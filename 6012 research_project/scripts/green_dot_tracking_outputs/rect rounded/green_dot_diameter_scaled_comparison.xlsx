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ss24g25_soton_ac_uk/Documents/Documents/02_Uni/01_Masters/6012 research project/code/research_project/6012 research_project/scripts/green_dot_tracking_outputs/rect rounded/"/>
    </mc:Choice>
  </mc:AlternateContent>
  <xr:revisionPtr revIDLastSave="36" documentId="11_AE21D5F922431A17E05DD80534D266F99F0A3FB4" xr6:coauthVersionLast="47" xr6:coauthVersionMax="47" xr10:uidLastSave="{8C5250B0-249A-4AFF-B9AD-56574C04EE18}"/>
  <bookViews>
    <workbookView xWindow="-108" yWindow="-108" windowWidth="23256" windowHeight="12456" xr2:uid="{00000000-000D-0000-FFFF-FFFF00000000}"/>
  </bookViews>
  <sheets>
    <sheet name="Comparison" sheetId="1" r:id="rId1"/>
    <sheet name="Raw Data" sheetId="2" r:id="rId2"/>
    <sheet name="Scaled Data" sheetId="3" r:id="rId3"/>
    <sheet name="Commanded Path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1" i="4" l="1"/>
  <c r="K361" i="4" s="1"/>
  <c r="F361" i="4"/>
  <c r="J361" i="4" s="1"/>
  <c r="E361" i="4"/>
  <c r="D361" i="4"/>
  <c r="G360" i="4"/>
  <c r="K360" i="4" s="1"/>
  <c r="F360" i="4"/>
  <c r="J360" i="4" s="1"/>
  <c r="E360" i="4"/>
  <c r="D360" i="4"/>
  <c r="G359" i="4"/>
  <c r="F359" i="4"/>
  <c r="E359" i="4"/>
  <c r="D359" i="4"/>
  <c r="G358" i="4"/>
  <c r="F358" i="4"/>
  <c r="E358" i="4"/>
  <c r="D358" i="4"/>
  <c r="G357" i="4"/>
  <c r="F357" i="4"/>
  <c r="E357" i="4"/>
  <c r="D357" i="4"/>
  <c r="G356" i="4"/>
  <c r="F356" i="4"/>
  <c r="E356" i="4"/>
  <c r="D356" i="4"/>
  <c r="G355" i="4"/>
  <c r="F355" i="4"/>
  <c r="E355" i="4"/>
  <c r="D355" i="4"/>
  <c r="G354" i="4"/>
  <c r="F354" i="4"/>
  <c r="E354" i="4"/>
  <c r="D354" i="4"/>
  <c r="G353" i="4"/>
  <c r="F353" i="4"/>
  <c r="E353" i="4"/>
  <c r="D353" i="4"/>
  <c r="G352" i="4"/>
  <c r="F352" i="4"/>
  <c r="E352" i="4"/>
  <c r="D352" i="4"/>
  <c r="G351" i="4"/>
  <c r="F351" i="4"/>
  <c r="E351" i="4"/>
  <c r="D351" i="4"/>
  <c r="G350" i="4"/>
  <c r="F350" i="4"/>
  <c r="E350" i="4"/>
  <c r="D350" i="4"/>
  <c r="G349" i="4"/>
  <c r="F349" i="4"/>
  <c r="E349" i="4"/>
  <c r="D349" i="4"/>
  <c r="G348" i="4"/>
  <c r="F348" i="4"/>
  <c r="E348" i="4"/>
  <c r="D348" i="4"/>
  <c r="G347" i="4"/>
  <c r="F347" i="4"/>
  <c r="E347" i="4"/>
  <c r="D347" i="4"/>
  <c r="G346" i="4"/>
  <c r="F346" i="4"/>
  <c r="E346" i="4"/>
  <c r="D346" i="4"/>
  <c r="G345" i="4"/>
  <c r="F345" i="4"/>
  <c r="E345" i="4"/>
  <c r="D345" i="4"/>
  <c r="G344" i="4"/>
  <c r="F344" i="4"/>
  <c r="E344" i="4"/>
  <c r="D344" i="4"/>
  <c r="G343" i="4"/>
  <c r="F343" i="4"/>
  <c r="E343" i="4"/>
  <c r="D343" i="4"/>
  <c r="G342" i="4"/>
  <c r="F342" i="4"/>
  <c r="E342" i="4"/>
  <c r="D342" i="4"/>
  <c r="G341" i="4"/>
  <c r="F341" i="4"/>
  <c r="E341" i="4"/>
  <c r="D341" i="4"/>
  <c r="G340" i="4"/>
  <c r="F340" i="4"/>
  <c r="E340" i="4"/>
  <c r="D340" i="4"/>
  <c r="G339" i="4"/>
  <c r="F339" i="4"/>
  <c r="E339" i="4"/>
  <c r="D339" i="4"/>
  <c r="G338" i="4"/>
  <c r="F338" i="4"/>
  <c r="E338" i="4"/>
  <c r="D338" i="4"/>
  <c r="G337" i="4"/>
  <c r="F337" i="4"/>
  <c r="E337" i="4"/>
  <c r="D337" i="4"/>
  <c r="G336" i="4"/>
  <c r="F336" i="4"/>
  <c r="E336" i="4"/>
  <c r="D336" i="4"/>
  <c r="G335" i="4"/>
  <c r="F335" i="4"/>
  <c r="E335" i="4"/>
  <c r="D335" i="4"/>
  <c r="G334" i="4"/>
  <c r="F334" i="4"/>
  <c r="E334" i="4"/>
  <c r="D334" i="4"/>
  <c r="G333" i="4"/>
  <c r="F333" i="4"/>
  <c r="E333" i="4"/>
  <c r="D333" i="4"/>
  <c r="G332" i="4"/>
  <c r="F332" i="4"/>
  <c r="E332" i="4"/>
  <c r="D332" i="4"/>
  <c r="G331" i="4"/>
  <c r="F331" i="4"/>
  <c r="E331" i="4"/>
  <c r="D331" i="4"/>
  <c r="G330" i="4"/>
  <c r="F330" i="4"/>
  <c r="E330" i="4"/>
  <c r="D330" i="4"/>
  <c r="G329" i="4"/>
  <c r="F329" i="4"/>
  <c r="E329" i="4"/>
  <c r="D329" i="4"/>
  <c r="G328" i="4"/>
  <c r="F328" i="4"/>
  <c r="E328" i="4"/>
  <c r="D328" i="4"/>
  <c r="G327" i="4"/>
  <c r="F327" i="4"/>
  <c r="E327" i="4"/>
  <c r="D327" i="4"/>
  <c r="G326" i="4"/>
  <c r="F326" i="4"/>
  <c r="E326" i="4"/>
  <c r="D326" i="4"/>
  <c r="G325" i="4"/>
  <c r="F325" i="4"/>
  <c r="E325" i="4"/>
  <c r="D325" i="4"/>
  <c r="G324" i="4"/>
  <c r="F324" i="4"/>
  <c r="E324" i="4"/>
  <c r="D324" i="4"/>
  <c r="G323" i="4"/>
  <c r="F323" i="4"/>
  <c r="E323" i="4"/>
  <c r="D323" i="4"/>
  <c r="G322" i="4"/>
  <c r="F322" i="4"/>
  <c r="E322" i="4"/>
  <c r="D322" i="4"/>
  <c r="G321" i="4"/>
  <c r="F321" i="4"/>
  <c r="E321" i="4"/>
  <c r="D321" i="4"/>
  <c r="G320" i="4"/>
  <c r="F320" i="4"/>
  <c r="E320" i="4"/>
  <c r="D320" i="4"/>
  <c r="G319" i="4"/>
  <c r="F319" i="4"/>
  <c r="E319" i="4"/>
  <c r="D319" i="4"/>
  <c r="G318" i="4"/>
  <c r="F318" i="4"/>
  <c r="E318" i="4"/>
  <c r="D318" i="4"/>
  <c r="G317" i="4"/>
  <c r="F317" i="4"/>
  <c r="E317" i="4"/>
  <c r="D317" i="4"/>
  <c r="G316" i="4"/>
  <c r="F316" i="4"/>
  <c r="E316" i="4"/>
  <c r="D316" i="4"/>
  <c r="G315" i="4"/>
  <c r="F315" i="4"/>
  <c r="E315" i="4"/>
  <c r="D315" i="4"/>
  <c r="G314" i="4"/>
  <c r="F314" i="4"/>
  <c r="E314" i="4"/>
  <c r="D314" i="4"/>
  <c r="G313" i="4"/>
  <c r="F313" i="4"/>
  <c r="E313" i="4"/>
  <c r="D313" i="4"/>
  <c r="G312" i="4"/>
  <c r="F312" i="4"/>
  <c r="E312" i="4"/>
  <c r="D312" i="4"/>
  <c r="G311" i="4"/>
  <c r="F311" i="4"/>
  <c r="E311" i="4"/>
  <c r="D311" i="4"/>
  <c r="G310" i="4"/>
  <c r="F310" i="4"/>
  <c r="E310" i="4"/>
  <c r="D310" i="4"/>
  <c r="G309" i="4"/>
  <c r="F309" i="4"/>
  <c r="E309" i="4"/>
  <c r="D309" i="4"/>
  <c r="G308" i="4"/>
  <c r="F308" i="4"/>
  <c r="E308" i="4"/>
  <c r="D308" i="4"/>
  <c r="G307" i="4"/>
  <c r="F307" i="4"/>
  <c r="E307" i="4"/>
  <c r="D307" i="4"/>
  <c r="G306" i="4"/>
  <c r="F306" i="4"/>
  <c r="E306" i="4"/>
  <c r="D306" i="4"/>
  <c r="G305" i="4"/>
  <c r="F305" i="4"/>
  <c r="E305" i="4"/>
  <c r="D305" i="4"/>
  <c r="G304" i="4"/>
  <c r="F304" i="4"/>
  <c r="E304" i="4"/>
  <c r="D304" i="4"/>
  <c r="G303" i="4"/>
  <c r="F303" i="4"/>
  <c r="E303" i="4"/>
  <c r="D303" i="4"/>
  <c r="G302" i="4"/>
  <c r="F302" i="4"/>
  <c r="E302" i="4"/>
  <c r="D302" i="4"/>
  <c r="G301" i="4"/>
  <c r="F301" i="4"/>
  <c r="E301" i="4"/>
  <c r="D301" i="4"/>
  <c r="G300" i="4"/>
  <c r="F300" i="4"/>
  <c r="E300" i="4"/>
  <c r="D300" i="4"/>
  <c r="G299" i="4"/>
  <c r="F299" i="4"/>
  <c r="E299" i="4"/>
  <c r="D299" i="4"/>
  <c r="G298" i="4"/>
  <c r="F298" i="4"/>
  <c r="E298" i="4"/>
  <c r="D298" i="4"/>
  <c r="G297" i="4"/>
  <c r="F297" i="4"/>
  <c r="E297" i="4"/>
  <c r="D297" i="4"/>
  <c r="G296" i="4"/>
  <c r="F296" i="4"/>
  <c r="E296" i="4"/>
  <c r="D296" i="4"/>
  <c r="G295" i="4"/>
  <c r="F295" i="4"/>
  <c r="E295" i="4"/>
  <c r="D295" i="4"/>
  <c r="G294" i="4"/>
  <c r="F294" i="4"/>
  <c r="E294" i="4"/>
  <c r="D294" i="4"/>
  <c r="G293" i="4"/>
  <c r="F293" i="4"/>
  <c r="E293" i="4"/>
  <c r="D293" i="4"/>
  <c r="G292" i="4"/>
  <c r="F292" i="4"/>
  <c r="E292" i="4"/>
  <c r="D292" i="4"/>
  <c r="G291" i="4"/>
  <c r="F291" i="4"/>
  <c r="E291" i="4"/>
  <c r="D291" i="4"/>
  <c r="G290" i="4"/>
  <c r="F290" i="4"/>
  <c r="E290" i="4"/>
  <c r="D290" i="4"/>
  <c r="G289" i="4"/>
  <c r="F289" i="4"/>
  <c r="E289" i="4"/>
  <c r="D289" i="4"/>
  <c r="G288" i="4"/>
  <c r="F288" i="4"/>
  <c r="E288" i="4"/>
  <c r="D288" i="4"/>
  <c r="G287" i="4"/>
  <c r="F287" i="4"/>
  <c r="E287" i="4"/>
  <c r="D287" i="4"/>
  <c r="G286" i="4"/>
  <c r="F286" i="4"/>
  <c r="E286" i="4"/>
  <c r="D286" i="4"/>
  <c r="G285" i="4"/>
  <c r="F285" i="4"/>
  <c r="E285" i="4"/>
  <c r="D285" i="4"/>
  <c r="G284" i="4"/>
  <c r="F284" i="4"/>
  <c r="E284" i="4"/>
  <c r="D284" i="4"/>
  <c r="G283" i="4"/>
  <c r="F283" i="4"/>
  <c r="E283" i="4"/>
  <c r="D283" i="4"/>
  <c r="G282" i="4"/>
  <c r="F282" i="4"/>
  <c r="E282" i="4"/>
  <c r="D282" i="4"/>
  <c r="G281" i="4"/>
  <c r="F281" i="4"/>
  <c r="E281" i="4"/>
  <c r="D281" i="4"/>
  <c r="G280" i="4"/>
  <c r="F280" i="4"/>
  <c r="E280" i="4"/>
  <c r="D280" i="4"/>
  <c r="G279" i="4"/>
  <c r="F279" i="4"/>
  <c r="E279" i="4"/>
  <c r="D279" i="4"/>
  <c r="G278" i="4"/>
  <c r="F278" i="4"/>
  <c r="E278" i="4"/>
  <c r="D278" i="4"/>
  <c r="G277" i="4"/>
  <c r="F277" i="4"/>
  <c r="E277" i="4"/>
  <c r="D277" i="4"/>
  <c r="G276" i="4"/>
  <c r="F276" i="4"/>
  <c r="E276" i="4"/>
  <c r="D276" i="4"/>
  <c r="G275" i="4"/>
  <c r="F275" i="4"/>
  <c r="E275" i="4"/>
  <c r="D275" i="4"/>
  <c r="G274" i="4"/>
  <c r="F274" i="4"/>
  <c r="E274" i="4"/>
  <c r="D274" i="4"/>
  <c r="G273" i="4"/>
  <c r="F273" i="4"/>
  <c r="E273" i="4"/>
  <c r="D273" i="4"/>
  <c r="G272" i="4"/>
  <c r="F272" i="4"/>
  <c r="E272" i="4"/>
  <c r="D272" i="4"/>
  <c r="G271" i="4"/>
  <c r="F271" i="4"/>
  <c r="E271" i="4"/>
  <c r="D271" i="4"/>
  <c r="G270" i="4"/>
  <c r="F270" i="4"/>
  <c r="E270" i="4"/>
  <c r="D270" i="4"/>
  <c r="G269" i="4"/>
  <c r="F269" i="4"/>
  <c r="E269" i="4"/>
  <c r="D269" i="4"/>
  <c r="G268" i="4"/>
  <c r="F268" i="4"/>
  <c r="E268" i="4"/>
  <c r="D268" i="4"/>
  <c r="G267" i="4"/>
  <c r="F267" i="4"/>
  <c r="E267" i="4"/>
  <c r="D267" i="4"/>
  <c r="G266" i="4"/>
  <c r="F266" i="4"/>
  <c r="E266" i="4"/>
  <c r="D266" i="4"/>
  <c r="G265" i="4"/>
  <c r="F265" i="4"/>
  <c r="E265" i="4"/>
  <c r="D265" i="4"/>
  <c r="G264" i="4"/>
  <c r="F264" i="4"/>
  <c r="E264" i="4"/>
  <c r="D264" i="4"/>
  <c r="G263" i="4"/>
  <c r="F263" i="4"/>
  <c r="E263" i="4"/>
  <c r="D263" i="4"/>
  <c r="G262" i="4"/>
  <c r="F262" i="4"/>
  <c r="E262" i="4"/>
  <c r="D262" i="4"/>
  <c r="G261" i="4"/>
  <c r="F261" i="4"/>
  <c r="E261" i="4"/>
  <c r="D261" i="4"/>
  <c r="G260" i="4"/>
  <c r="F260" i="4"/>
  <c r="E260" i="4"/>
  <c r="D260" i="4"/>
  <c r="G259" i="4"/>
  <c r="F259" i="4"/>
  <c r="E259" i="4"/>
  <c r="D259" i="4"/>
  <c r="G258" i="4"/>
  <c r="F258" i="4"/>
  <c r="E258" i="4"/>
  <c r="D258" i="4"/>
  <c r="G257" i="4"/>
  <c r="F257" i="4"/>
  <c r="E257" i="4"/>
  <c r="D257" i="4"/>
  <c r="G256" i="4"/>
  <c r="F256" i="4"/>
  <c r="E256" i="4"/>
  <c r="D256" i="4"/>
  <c r="G255" i="4"/>
  <c r="F255" i="4"/>
  <c r="E255" i="4"/>
  <c r="D255" i="4"/>
  <c r="G254" i="4"/>
  <c r="F254" i="4"/>
  <c r="E254" i="4"/>
  <c r="D254" i="4"/>
  <c r="G253" i="4"/>
  <c r="F253" i="4"/>
  <c r="E253" i="4"/>
  <c r="D253" i="4"/>
  <c r="G252" i="4"/>
  <c r="F252" i="4"/>
  <c r="E252" i="4"/>
  <c r="D252" i="4"/>
  <c r="G251" i="4"/>
  <c r="F251" i="4"/>
  <c r="E251" i="4"/>
  <c r="D251" i="4"/>
  <c r="G250" i="4"/>
  <c r="F250" i="4"/>
  <c r="E250" i="4"/>
  <c r="D250" i="4"/>
  <c r="G249" i="4"/>
  <c r="F249" i="4"/>
  <c r="E249" i="4"/>
  <c r="D249" i="4"/>
  <c r="G248" i="4"/>
  <c r="F248" i="4"/>
  <c r="E248" i="4"/>
  <c r="D248" i="4"/>
  <c r="G247" i="4"/>
  <c r="F247" i="4"/>
  <c r="E247" i="4"/>
  <c r="D247" i="4"/>
  <c r="G246" i="4"/>
  <c r="F246" i="4"/>
  <c r="E246" i="4"/>
  <c r="D246" i="4"/>
  <c r="G245" i="4"/>
  <c r="F245" i="4"/>
  <c r="E245" i="4"/>
  <c r="D245" i="4"/>
  <c r="G244" i="4"/>
  <c r="F244" i="4"/>
  <c r="E244" i="4"/>
  <c r="D244" i="4"/>
  <c r="G243" i="4"/>
  <c r="F243" i="4"/>
  <c r="E243" i="4"/>
  <c r="D243" i="4"/>
  <c r="G242" i="4"/>
  <c r="F242" i="4"/>
  <c r="E242" i="4"/>
  <c r="D242" i="4"/>
  <c r="G241" i="4"/>
  <c r="F241" i="4"/>
  <c r="E241" i="4"/>
  <c r="D241" i="4"/>
  <c r="G240" i="4"/>
  <c r="F240" i="4"/>
  <c r="E240" i="4"/>
  <c r="D240" i="4"/>
  <c r="G239" i="4"/>
  <c r="F239" i="4"/>
  <c r="E239" i="4"/>
  <c r="D239" i="4"/>
  <c r="G238" i="4"/>
  <c r="F238" i="4"/>
  <c r="E238" i="4"/>
  <c r="D238" i="4"/>
  <c r="G237" i="4"/>
  <c r="F237" i="4"/>
  <c r="E237" i="4"/>
  <c r="D237" i="4"/>
  <c r="G236" i="4"/>
  <c r="F236" i="4"/>
  <c r="E236" i="4"/>
  <c r="D236" i="4"/>
  <c r="G235" i="4"/>
  <c r="F235" i="4"/>
  <c r="E235" i="4"/>
  <c r="D235" i="4"/>
  <c r="G234" i="4"/>
  <c r="F234" i="4"/>
  <c r="E234" i="4"/>
  <c r="D234" i="4"/>
  <c r="G233" i="4"/>
  <c r="F233" i="4"/>
  <c r="E233" i="4"/>
  <c r="D233" i="4"/>
  <c r="G232" i="4"/>
  <c r="F232" i="4"/>
  <c r="E232" i="4"/>
  <c r="D232" i="4"/>
  <c r="G231" i="4"/>
  <c r="F231" i="4"/>
  <c r="E231" i="4"/>
  <c r="D231" i="4"/>
  <c r="G230" i="4"/>
  <c r="F230" i="4"/>
  <c r="E230" i="4"/>
  <c r="D230" i="4"/>
  <c r="G229" i="4"/>
  <c r="F229" i="4"/>
  <c r="E229" i="4"/>
  <c r="D229" i="4"/>
  <c r="G228" i="4"/>
  <c r="F228" i="4"/>
  <c r="E228" i="4"/>
  <c r="D228" i="4"/>
  <c r="G227" i="4"/>
  <c r="F227" i="4"/>
  <c r="E227" i="4"/>
  <c r="D227" i="4"/>
  <c r="G226" i="4"/>
  <c r="F226" i="4"/>
  <c r="E226" i="4"/>
  <c r="D226" i="4"/>
  <c r="G225" i="4"/>
  <c r="F225" i="4"/>
  <c r="E225" i="4"/>
  <c r="D225" i="4"/>
  <c r="G224" i="4"/>
  <c r="F224" i="4"/>
  <c r="E224" i="4"/>
  <c r="D224" i="4"/>
  <c r="G223" i="4"/>
  <c r="F223" i="4"/>
  <c r="E223" i="4"/>
  <c r="D223" i="4"/>
  <c r="G222" i="4"/>
  <c r="F222" i="4"/>
  <c r="E222" i="4"/>
  <c r="D222" i="4"/>
  <c r="G221" i="4"/>
  <c r="F221" i="4"/>
  <c r="E221" i="4"/>
  <c r="D221" i="4"/>
  <c r="G220" i="4"/>
  <c r="F220" i="4"/>
  <c r="E220" i="4"/>
  <c r="D220" i="4"/>
  <c r="G219" i="4"/>
  <c r="F219" i="4"/>
  <c r="E219" i="4"/>
  <c r="D219" i="4"/>
  <c r="G218" i="4"/>
  <c r="F218" i="4"/>
  <c r="E218" i="4"/>
  <c r="D218" i="4"/>
  <c r="G217" i="4"/>
  <c r="F217" i="4"/>
  <c r="E217" i="4"/>
  <c r="D217" i="4"/>
  <c r="G216" i="4"/>
  <c r="F216" i="4"/>
  <c r="E216" i="4"/>
  <c r="D216" i="4"/>
  <c r="G215" i="4"/>
  <c r="F215" i="4"/>
  <c r="E215" i="4"/>
  <c r="D215" i="4"/>
  <c r="G214" i="4"/>
  <c r="F214" i="4"/>
  <c r="E214" i="4"/>
  <c r="D214" i="4"/>
  <c r="G213" i="4"/>
  <c r="F213" i="4"/>
  <c r="E213" i="4"/>
  <c r="D213" i="4"/>
  <c r="G212" i="4"/>
  <c r="F212" i="4"/>
  <c r="E212" i="4"/>
  <c r="D212" i="4"/>
  <c r="G211" i="4"/>
  <c r="F211" i="4"/>
  <c r="E211" i="4"/>
  <c r="D211" i="4"/>
  <c r="G210" i="4"/>
  <c r="F210" i="4"/>
  <c r="E210" i="4"/>
  <c r="D210" i="4"/>
  <c r="G209" i="4"/>
  <c r="F209" i="4"/>
  <c r="E209" i="4"/>
  <c r="D209" i="4"/>
  <c r="G208" i="4"/>
  <c r="F208" i="4"/>
  <c r="E208" i="4"/>
  <c r="D208" i="4"/>
  <c r="G207" i="4"/>
  <c r="F207" i="4"/>
  <c r="E207" i="4"/>
  <c r="D207" i="4"/>
  <c r="G206" i="4"/>
  <c r="F206" i="4"/>
  <c r="E206" i="4"/>
  <c r="D206" i="4"/>
  <c r="G205" i="4"/>
  <c r="F205" i="4"/>
  <c r="E205" i="4"/>
  <c r="D205" i="4"/>
  <c r="G204" i="4"/>
  <c r="F204" i="4"/>
  <c r="E204" i="4"/>
  <c r="D204" i="4"/>
  <c r="G203" i="4"/>
  <c r="F203" i="4"/>
  <c r="E203" i="4"/>
  <c r="D203" i="4"/>
  <c r="G202" i="4"/>
  <c r="F202" i="4"/>
  <c r="E202" i="4"/>
  <c r="D202" i="4"/>
  <c r="G201" i="4"/>
  <c r="F201" i="4"/>
  <c r="E201" i="4"/>
  <c r="D201" i="4"/>
  <c r="G200" i="4"/>
  <c r="F200" i="4"/>
  <c r="E200" i="4"/>
  <c r="D200" i="4"/>
  <c r="G199" i="4"/>
  <c r="F199" i="4"/>
  <c r="E199" i="4"/>
  <c r="D199" i="4"/>
  <c r="G198" i="4"/>
  <c r="F198" i="4"/>
  <c r="E198" i="4"/>
  <c r="D198" i="4"/>
  <c r="G197" i="4"/>
  <c r="F197" i="4"/>
  <c r="E197" i="4"/>
  <c r="D197" i="4"/>
  <c r="G196" i="4"/>
  <c r="F196" i="4"/>
  <c r="E196" i="4"/>
  <c r="D196" i="4"/>
  <c r="G195" i="4"/>
  <c r="F195" i="4"/>
  <c r="E195" i="4"/>
  <c r="D195" i="4"/>
  <c r="G194" i="4"/>
  <c r="F194" i="4"/>
  <c r="E194" i="4"/>
  <c r="D194" i="4"/>
  <c r="G193" i="4"/>
  <c r="F193" i="4"/>
  <c r="E193" i="4"/>
  <c r="D193" i="4"/>
  <c r="G192" i="4"/>
  <c r="F192" i="4"/>
  <c r="E192" i="4"/>
  <c r="D192" i="4"/>
  <c r="G191" i="4"/>
  <c r="K191" i="4" s="1"/>
  <c r="F191" i="4"/>
  <c r="J191" i="4" s="1"/>
  <c r="E191" i="4"/>
  <c r="D191" i="4"/>
  <c r="J190" i="4"/>
  <c r="G190" i="4"/>
  <c r="K190" i="4" s="1"/>
  <c r="F190" i="4"/>
  <c r="H190" i="4" s="1"/>
  <c r="E190" i="4"/>
  <c r="D190" i="4"/>
  <c r="G189" i="4"/>
  <c r="K189" i="4" s="1"/>
  <c r="F189" i="4"/>
  <c r="J189" i="4" s="1"/>
  <c r="E189" i="4"/>
  <c r="D189" i="4"/>
  <c r="J188" i="4"/>
  <c r="G188" i="4"/>
  <c r="K188" i="4" s="1"/>
  <c r="F188" i="4"/>
  <c r="H188" i="4" s="1"/>
  <c r="E188" i="4"/>
  <c r="D188" i="4"/>
  <c r="G187" i="4"/>
  <c r="K187" i="4" s="1"/>
  <c r="F187" i="4"/>
  <c r="J187" i="4" s="1"/>
  <c r="E187" i="4"/>
  <c r="D187" i="4"/>
  <c r="J186" i="4"/>
  <c r="G186" i="4"/>
  <c r="K186" i="4" s="1"/>
  <c r="F186" i="4"/>
  <c r="H186" i="4" s="1"/>
  <c r="E186" i="4"/>
  <c r="D186" i="4"/>
  <c r="G185" i="4"/>
  <c r="K185" i="4" s="1"/>
  <c r="F185" i="4"/>
  <c r="J185" i="4" s="1"/>
  <c r="E185" i="4"/>
  <c r="D185" i="4"/>
  <c r="J184" i="4"/>
  <c r="G184" i="4"/>
  <c r="K184" i="4" s="1"/>
  <c r="F184" i="4"/>
  <c r="H184" i="4" s="1"/>
  <c r="E184" i="4"/>
  <c r="D184" i="4"/>
  <c r="G183" i="4"/>
  <c r="K183" i="4" s="1"/>
  <c r="F183" i="4"/>
  <c r="J183" i="4" s="1"/>
  <c r="E183" i="4"/>
  <c r="D183" i="4"/>
  <c r="J182" i="4"/>
  <c r="G182" i="4"/>
  <c r="K182" i="4" s="1"/>
  <c r="F182" i="4"/>
  <c r="H182" i="4" s="1"/>
  <c r="E182" i="4"/>
  <c r="D182" i="4"/>
  <c r="G181" i="4"/>
  <c r="K181" i="4" s="1"/>
  <c r="F181" i="4"/>
  <c r="J181" i="4" s="1"/>
  <c r="E181" i="4"/>
  <c r="D181" i="4"/>
  <c r="J180" i="4"/>
  <c r="G180" i="4"/>
  <c r="K180" i="4" s="1"/>
  <c r="F180" i="4"/>
  <c r="H180" i="4" s="1"/>
  <c r="E180" i="4"/>
  <c r="D180" i="4"/>
  <c r="G179" i="4"/>
  <c r="K179" i="4" s="1"/>
  <c r="F179" i="4"/>
  <c r="J179" i="4" s="1"/>
  <c r="E179" i="4"/>
  <c r="D179" i="4"/>
  <c r="J178" i="4"/>
  <c r="G178" i="4"/>
  <c r="K178" i="4" s="1"/>
  <c r="F178" i="4"/>
  <c r="H178" i="4" s="1"/>
  <c r="E178" i="4"/>
  <c r="D178" i="4"/>
  <c r="G177" i="4"/>
  <c r="K177" i="4" s="1"/>
  <c r="F177" i="4"/>
  <c r="J177" i="4" s="1"/>
  <c r="E177" i="4"/>
  <c r="D177" i="4"/>
  <c r="J176" i="4"/>
  <c r="G176" i="4"/>
  <c r="K176" i="4" s="1"/>
  <c r="F176" i="4"/>
  <c r="H176" i="4" s="1"/>
  <c r="E176" i="4"/>
  <c r="D176" i="4"/>
  <c r="G175" i="4"/>
  <c r="K175" i="4" s="1"/>
  <c r="F175" i="4"/>
  <c r="J175" i="4" s="1"/>
  <c r="E175" i="4"/>
  <c r="D175" i="4"/>
  <c r="J174" i="4"/>
  <c r="G174" i="4"/>
  <c r="K174" i="4" s="1"/>
  <c r="F174" i="4"/>
  <c r="H174" i="4" s="1"/>
  <c r="E174" i="4"/>
  <c r="D174" i="4"/>
  <c r="G173" i="4"/>
  <c r="K173" i="4" s="1"/>
  <c r="F173" i="4"/>
  <c r="J173" i="4" s="1"/>
  <c r="E173" i="4"/>
  <c r="D173" i="4"/>
  <c r="J172" i="4"/>
  <c r="G172" i="4"/>
  <c r="K172" i="4" s="1"/>
  <c r="F172" i="4"/>
  <c r="H172" i="4" s="1"/>
  <c r="E172" i="4"/>
  <c r="D172" i="4"/>
  <c r="G171" i="4"/>
  <c r="K171" i="4" s="1"/>
  <c r="F171" i="4"/>
  <c r="J171" i="4" s="1"/>
  <c r="E171" i="4"/>
  <c r="D171" i="4"/>
  <c r="J170" i="4"/>
  <c r="G170" i="4"/>
  <c r="K170" i="4" s="1"/>
  <c r="F170" i="4"/>
  <c r="H170" i="4" s="1"/>
  <c r="E170" i="4"/>
  <c r="D170" i="4"/>
  <c r="G169" i="4"/>
  <c r="K169" i="4" s="1"/>
  <c r="F169" i="4"/>
  <c r="J169" i="4" s="1"/>
  <c r="E169" i="4"/>
  <c r="D169" i="4"/>
  <c r="J168" i="4"/>
  <c r="G168" i="4"/>
  <c r="K168" i="4" s="1"/>
  <c r="F168" i="4"/>
  <c r="H168" i="4" s="1"/>
  <c r="E168" i="4"/>
  <c r="D168" i="4"/>
  <c r="G167" i="4"/>
  <c r="K167" i="4" s="1"/>
  <c r="F167" i="4"/>
  <c r="J167" i="4" s="1"/>
  <c r="E167" i="4"/>
  <c r="D167" i="4"/>
  <c r="J166" i="4"/>
  <c r="G166" i="4"/>
  <c r="K166" i="4" s="1"/>
  <c r="F166" i="4"/>
  <c r="H166" i="4" s="1"/>
  <c r="E166" i="4"/>
  <c r="D166" i="4"/>
  <c r="G165" i="4"/>
  <c r="K165" i="4" s="1"/>
  <c r="F165" i="4"/>
  <c r="J165" i="4" s="1"/>
  <c r="E165" i="4"/>
  <c r="D165" i="4"/>
  <c r="J164" i="4"/>
  <c r="G164" i="4"/>
  <c r="K164" i="4" s="1"/>
  <c r="F164" i="4"/>
  <c r="H164" i="4" s="1"/>
  <c r="E164" i="4"/>
  <c r="D164" i="4"/>
  <c r="G163" i="4"/>
  <c r="K163" i="4" s="1"/>
  <c r="F163" i="4"/>
  <c r="J163" i="4" s="1"/>
  <c r="E163" i="4"/>
  <c r="D163" i="4"/>
  <c r="J162" i="4"/>
  <c r="G162" i="4"/>
  <c r="K162" i="4" s="1"/>
  <c r="F162" i="4"/>
  <c r="H162" i="4" s="1"/>
  <c r="E162" i="4"/>
  <c r="D162" i="4"/>
  <c r="G161" i="4"/>
  <c r="K161" i="4" s="1"/>
  <c r="F161" i="4"/>
  <c r="J161" i="4" s="1"/>
  <c r="E161" i="4"/>
  <c r="D161" i="4"/>
  <c r="J160" i="4"/>
  <c r="G160" i="4"/>
  <c r="K160" i="4" s="1"/>
  <c r="F160" i="4"/>
  <c r="H160" i="4" s="1"/>
  <c r="E160" i="4"/>
  <c r="D160" i="4"/>
  <c r="G159" i="4"/>
  <c r="K159" i="4" s="1"/>
  <c r="F159" i="4"/>
  <c r="J159" i="4" s="1"/>
  <c r="E159" i="4"/>
  <c r="D159" i="4"/>
  <c r="J158" i="4"/>
  <c r="G158" i="4"/>
  <c r="K158" i="4" s="1"/>
  <c r="F158" i="4"/>
  <c r="H158" i="4" s="1"/>
  <c r="E158" i="4"/>
  <c r="D158" i="4"/>
  <c r="G157" i="4"/>
  <c r="K157" i="4" s="1"/>
  <c r="F157" i="4"/>
  <c r="J157" i="4" s="1"/>
  <c r="E157" i="4"/>
  <c r="D157" i="4"/>
  <c r="J156" i="4"/>
  <c r="G156" i="4"/>
  <c r="K156" i="4" s="1"/>
  <c r="F156" i="4"/>
  <c r="H156" i="4" s="1"/>
  <c r="E156" i="4"/>
  <c r="D156" i="4"/>
  <c r="G155" i="4"/>
  <c r="K155" i="4" s="1"/>
  <c r="F155" i="4"/>
  <c r="J155" i="4" s="1"/>
  <c r="E155" i="4"/>
  <c r="D155" i="4"/>
  <c r="J154" i="4"/>
  <c r="G154" i="4"/>
  <c r="K154" i="4" s="1"/>
  <c r="F154" i="4"/>
  <c r="H154" i="4" s="1"/>
  <c r="E154" i="4"/>
  <c r="D154" i="4"/>
  <c r="G153" i="4"/>
  <c r="K153" i="4" s="1"/>
  <c r="F153" i="4"/>
  <c r="J153" i="4" s="1"/>
  <c r="E153" i="4"/>
  <c r="D153" i="4"/>
  <c r="J152" i="4"/>
  <c r="G152" i="4"/>
  <c r="K152" i="4" s="1"/>
  <c r="F152" i="4"/>
  <c r="H152" i="4" s="1"/>
  <c r="E152" i="4"/>
  <c r="D152" i="4"/>
  <c r="G151" i="4"/>
  <c r="K151" i="4" s="1"/>
  <c r="F151" i="4"/>
  <c r="J151" i="4" s="1"/>
  <c r="E151" i="4"/>
  <c r="D151" i="4"/>
  <c r="J150" i="4"/>
  <c r="G150" i="4"/>
  <c r="K150" i="4" s="1"/>
  <c r="F150" i="4"/>
  <c r="H150" i="4" s="1"/>
  <c r="E150" i="4"/>
  <c r="D150" i="4"/>
  <c r="G149" i="4"/>
  <c r="K149" i="4" s="1"/>
  <c r="F149" i="4"/>
  <c r="J149" i="4" s="1"/>
  <c r="E149" i="4"/>
  <c r="D149" i="4"/>
  <c r="J148" i="4"/>
  <c r="G148" i="4"/>
  <c r="K148" i="4" s="1"/>
  <c r="F148" i="4"/>
  <c r="H148" i="4" s="1"/>
  <c r="E148" i="4"/>
  <c r="D148" i="4"/>
  <c r="G147" i="4"/>
  <c r="K147" i="4" s="1"/>
  <c r="F147" i="4"/>
  <c r="J147" i="4" s="1"/>
  <c r="E147" i="4"/>
  <c r="D147" i="4"/>
  <c r="J146" i="4"/>
  <c r="G146" i="4"/>
  <c r="K146" i="4" s="1"/>
  <c r="F146" i="4"/>
  <c r="H146" i="4" s="1"/>
  <c r="E146" i="4"/>
  <c r="D146" i="4"/>
  <c r="G145" i="4"/>
  <c r="K145" i="4" s="1"/>
  <c r="F145" i="4"/>
  <c r="J145" i="4" s="1"/>
  <c r="E145" i="4"/>
  <c r="D145" i="4"/>
  <c r="J144" i="4"/>
  <c r="G144" i="4"/>
  <c r="K144" i="4" s="1"/>
  <c r="F144" i="4"/>
  <c r="H144" i="4" s="1"/>
  <c r="E144" i="4"/>
  <c r="D144" i="4"/>
  <c r="G143" i="4"/>
  <c r="K143" i="4" s="1"/>
  <c r="F143" i="4"/>
  <c r="J143" i="4" s="1"/>
  <c r="E143" i="4"/>
  <c r="D143" i="4"/>
  <c r="J142" i="4"/>
  <c r="G142" i="4"/>
  <c r="K142" i="4" s="1"/>
  <c r="F142" i="4"/>
  <c r="H142" i="4" s="1"/>
  <c r="E142" i="4"/>
  <c r="D142" i="4"/>
  <c r="G141" i="4"/>
  <c r="K141" i="4" s="1"/>
  <c r="F141" i="4"/>
  <c r="J141" i="4" s="1"/>
  <c r="E141" i="4"/>
  <c r="D141" i="4"/>
  <c r="J140" i="4"/>
  <c r="G140" i="4"/>
  <c r="K140" i="4" s="1"/>
  <c r="F140" i="4"/>
  <c r="H140" i="4" s="1"/>
  <c r="E140" i="4"/>
  <c r="D140" i="4"/>
  <c r="G139" i="4"/>
  <c r="K139" i="4" s="1"/>
  <c r="F139" i="4"/>
  <c r="J139" i="4" s="1"/>
  <c r="E139" i="4"/>
  <c r="D139" i="4"/>
  <c r="J138" i="4"/>
  <c r="G138" i="4"/>
  <c r="K138" i="4" s="1"/>
  <c r="F138" i="4"/>
  <c r="H138" i="4" s="1"/>
  <c r="E138" i="4"/>
  <c r="D138" i="4"/>
  <c r="G137" i="4"/>
  <c r="K137" i="4" s="1"/>
  <c r="F137" i="4"/>
  <c r="J137" i="4" s="1"/>
  <c r="E137" i="4"/>
  <c r="D137" i="4"/>
  <c r="J136" i="4"/>
  <c r="G136" i="4"/>
  <c r="K136" i="4" s="1"/>
  <c r="F136" i="4"/>
  <c r="H136" i="4" s="1"/>
  <c r="E136" i="4"/>
  <c r="D136" i="4"/>
  <c r="G135" i="4"/>
  <c r="K135" i="4" s="1"/>
  <c r="F135" i="4"/>
  <c r="J135" i="4" s="1"/>
  <c r="E135" i="4"/>
  <c r="D135" i="4"/>
  <c r="J134" i="4"/>
  <c r="G134" i="4"/>
  <c r="K134" i="4" s="1"/>
  <c r="F134" i="4"/>
  <c r="H134" i="4" s="1"/>
  <c r="E134" i="4"/>
  <c r="D134" i="4"/>
  <c r="G133" i="4"/>
  <c r="K133" i="4" s="1"/>
  <c r="F133" i="4"/>
  <c r="J133" i="4" s="1"/>
  <c r="E133" i="4"/>
  <c r="D133" i="4"/>
  <c r="J132" i="4"/>
  <c r="G132" i="4"/>
  <c r="K132" i="4" s="1"/>
  <c r="F132" i="4"/>
  <c r="H132" i="4" s="1"/>
  <c r="E132" i="4"/>
  <c r="D132" i="4"/>
  <c r="G131" i="4"/>
  <c r="K131" i="4" s="1"/>
  <c r="F131" i="4"/>
  <c r="J131" i="4" s="1"/>
  <c r="E131" i="4"/>
  <c r="D131" i="4"/>
  <c r="J130" i="4"/>
  <c r="G130" i="4"/>
  <c r="K130" i="4" s="1"/>
  <c r="F130" i="4"/>
  <c r="H130" i="4" s="1"/>
  <c r="E130" i="4"/>
  <c r="D130" i="4"/>
  <c r="G129" i="4"/>
  <c r="K129" i="4" s="1"/>
  <c r="F129" i="4"/>
  <c r="J129" i="4" s="1"/>
  <c r="E129" i="4"/>
  <c r="D129" i="4"/>
  <c r="J128" i="4"/>
  <c r="G128" i="4"/>
  <c r="K128" i="4" s="1"/>
  <c r="F128" i="4"/>
  <c r="H128" i="4" s="1"/>
  <c r="E128" i="4"/>
  <c r="D128" i="4"/>
  <c r="G127" i="4"/>
  <c r="K127" i="4" s="1"/>
  <c r="F127" i="4"/>
  <c r="J127" i="4" s="1"/>
  <c r="E127" i="4"/>
  <c r="D127" i="4"/>
  <c r="J126" i="4"/>
  <c r="G126" i="4"/>
  <c r="K126" i="4" s="1"/>
  <c r="F126" i="4"/>
  <c r="H126" i="4" s="1"/>
  <c r="E126" i="4"/>
  <c r="D126" i="4"/>
  <c r="G125" i="4"/>
  <c r="K125" i="4" s="1"/>
  <c r="F125" i="4"/>
  <c r="J125" i="4" s="1"/>
  <c r="E125" i="4"/>
  <c r="D125" i="4"/>
  <c r="J124" i="4"/>
  <c r="G124" i="4"/>
  <c r="K124" i="4" s="1"/>
  <c r="F124" i="4"/>
  <c r="H124" i="4" s="1"/>
  <c r="E124" i="4"/>
  <c r="D124" i="4"/>
  <c r="G123" i="4"/>
  <c r="K123" i="4" s="1"/>
  <c r="F123" i="4"/>
  <c r="J123" i="4" s="1"/>
  <c r="E123" i="4"/>
  <c r="D123" i="4"/>
  <c r="J122" i="4"/>
  <c r="G122" i="4"/>
  <c r="K122" i="4" s="1"/>
  <c r="F122" i="4"/>
  <c r="H122" i="4" s="1"/>
  <c r="E122" i="4"/>
  <c r="D122" i="4"/>
  <c r="G121" i="4"/>
  <c r="K121" i="4" s="1"/>
  <c r="F121" i="4"/>
  <c r="J121" i="4" s="1"/>
  <c r="E121" i="4"/>
  <c r="D121" i="4"/>
  <c r="J120" i="4"/>
  <c r="G120" i="4"/>
  <c r="K120" i="4" s="1"/>
  <c r="F120" i="4"/>
  <c r="H120" i="4" s="1"/>
  <c r="E120" i="4"/>
  <c r="D120" i="4"/>
  <c r="G119" i="4"/>
  <c r="K119" i="4" s="1"/>
  <c r="F119" i="4"/>
  <c r="J119" i="4" s="1"/>
  <c r="E119" i="4"/>
  <c r="D119" i="4"/>
  <c r="J118" i="4"/>
  <c r="G118" i="4"/>
  <c r="K118" i="4" s="1"/>
  <c r="F118" i="4"/>
  <c r="H118" i="4" s="1"/>
  <c r="E118" i="4"/>
  <c r="D118" i="4"/>
  <c r="G117" i="4"/>
  <c r="K117" i="4" s="1"/>
  <c r="F117" i="4"/>
  <c r="J117" i="4" s="1"/>
  <c r="E117" i="4"/>
  <c r="D117" i="4"/>
  <c r="J116" i="4"/>
  <c r="G116" i="4"/>
  <c r="K116" i="4" s="1"/>
  <c r="F116" i="4"/>
  <c r="H116" i="4" s="1"/>
  <c r="E116" i="4"/>
  <c r="D116" i="4"/>
  <c r="G115" i="4"/>
  <c r="K115" i="4" s="1"/>
  <c r="F115" i="4"/>
  <c r="J115" i="4" s="1"/>
  <c r="E115" i="4"/>
  <c r="D115" i="4"/>
  <c r="J114" i="4"/>
  <c r="G114" i="4"/>
  <c r="K114" i="4" s="1"/>
  <c r="F114" i="4"/>
  <c r="H114" i="4" s="1"/>
  <c r="E114" i="4"/>
  <c r="D114" i="4"/>
  <c r="G113" i="4"/>
  <c r="K113" i="4" s="1"/>
  <c r="F113" i="4"/>
  <c r="J113" i="4" s="1"/>
  <c r="E113" i="4"/>
  <c r="D113" i="4"/>
  <c r="J112" i="4"/>
  <c r="G112" i="4"/>
  <c r="K112" i="4" s="1"/>
  <c r="F112" i="4"/>
  <c r="H112" i="4" s="1"/>
  <c r="E112" i="4"/>
  <c r="D112" i="4"/>
  <c r="G111" i="4"/>
  <c r="K111" i="4" s="1"/>
  <c r="F111" i="4"/>
  <c r="J111" i="4" s="1"/>
  <c r="E111" i="4"/>
  <c r="D111" i="4"/>
  <c r="J110" i="4"/>
  <c r="G110" i="4"/>
  <c r="K110" i="4" s="1"/>
  <c r="F110" i="4"/>
  <c r="H110" i="4" s="1"/>
  <c r="E110" i="4"/>
  <c r="D110" i="4"/>
  <c r="G109" i="4"/>
  <c r="K109" i="4" s="1"/>
  <c r="F109" i="4"/>
  <c r="J109" i="4" s="1"/>
  <c r="E109" i="4"/>
  <c r="D109" i="4"/>
  <c r="J108" i="4"/>
  <c r="G108" i="4"/>
  <c r="K108" i="4" s="1"/>
  <c r="F108" i="4"/>
  <c r="H108" i="4" s="1"/>
  <c r="E108" i="4"/>
  <c r="D108" i="4"/>
  <c r="G107" i="4"/>
  <c r="K107" i="4" s="1"/>
  <c r="F107" i="4"/>
  <c r="J107" i="4" s="1"/>
  <c r="E107" i="4"/>
  <c r="D107" i="4"/>
  <c r="J106" i="4"/>
  <c r="G106" i="4"/>
  <c r="K106" i="4" s="1"/>
  <c r="F106" i="4"/>
  <c r="H106" i="4" s="1"/>
  <c r="E106" i="4"/>
  <c r="D106" i="4"/>
  <c r="G105" i="4"/>
  <c r="K105" i="4" s="1"/>
  <c r="F105" i="4"/>
  <c r="J105" i="4" s="1"/>
  <c r="E105" i="4"/>
  <c r="D105" i="4"/>
  <c r="J104" i="4"/>
  <c r="G104" i="4"/>
  <c r="K104" i="4" s="1"/>
  <c r="F104" i="4"/>
  <c r="H104" i="4" s="1"/>
  <c r="E104" i="4"/>
  <c r="D104" i="4"/>
  <c r="G103" i="4"/>
  <c r="K103" i="4" s="1"/>
  <c r="F103" i="4"/>
  <c r="J103" i="4" s="1"/>
  <c r="E103" i="4"/>
  <c r="D103" i="4"/>
  <c r="J102" i="4"/>
  <c r="G102" i="4"/>
  <c r="K102" i="4" s="1"/>
  <c r="F102" i="4"/>
  <c r="H102" i="4" s="1"/>
  <c r="E102" i="4"/>
  <c r="D102" i="4"/>
  <c r="G101" i="4"/>
  <c r="K101" i="4" s="1"/>
  <c r="F101" i="4"/>
  <c r="J101" i="4" s="1"/>
  <c r="E101" i="4"/>
  <c r="D101" i="4"/>
  <c r="J100" i="4"/>
  <c r="G100" i="4"/>
  <c r="K100" i="4" s="1"/>
  <c r="F100" i="4"/>
  <c r="H100" i="4" s="1"/>
  <c r="E100" i="4"/>
  <c r="D100" i="4"/>
  <c r="G99" i="4"/>
  <c r="K99" i="4" s="1"/>
  <c r="F99" i="4"/>
  <c r="J99" i="4" s="1"/>
  <c r="E99" i="4"/>
  <c r="D99" i="4"/>
  <c r="J98" i="4"/>
  <c r="G98" i="4"/>
  <c r="K98" i="4" s="1"/>
  <c r="F98" i="4"/>
  <c r="H98" i="4" s="1"/>
  <c r="E98" i="4"/>
  <c r="D98" i="4"/>
  <c r="G97" i="4"/>
  <c r="K97" i="4" s="1"/>
  <c r="F97" i="4"/>
  <c r="J97" i="4" s="1"/>
  <c r="E97" i="4"/>
  <c r="D97" i="4"/>
  <c r="J96" i="4"/>
  <c r="G96" i="4"/>
  <c r="K96" i="4" s="1"/>
  <c r="F96" i="4"/>
  <c r="H96" i="4" s="1"/>
  <c r="E96" i="4"/>
  <c r="D96" i="4"/>
  <c r="G95" i="4"/>
  <c r="K95" i="4" s="1"/>
  <c r="F95" i="4"/>
  <c r="J95" i="4" s="1"/>
  <c r="E95" i="4"/>
  <c r="D95" i="4"/>
  <c r="J94" i="4"/>
  <c r="G94" i="4"/>
  <c r="K94" i="4" s="1"/>
  <c r="F94" i="4"/>
  <c r="H94" i="4" s="1"/>
  <c r="E94" i="4"/>
  <c r="D94" i="4"/>
  <c r="G93" i="4"/>
  <c r="K93" i="4" s="1"/>
  <c r="F93" i="4"/>
  <c r="J93" i="4" s="1"/>
  <c r="E93" i="4"/>
  <c r="D93" i="4"/>
  <c r="J92" i="4"/>
  <c r="G92" i="4"/>
  <c r="K92" i="4" s="1"/>
  <c r="F92" i="4"/>
  <c r="H92" i="4" s="1"/>
  <c r="E92" i="4"/>
  <c r="D92" i="4"/>
  <c r="G91" i="4"/>
  <c r="K91" i="4" s="1"/>
  <c r="F91" i="4"/>
  <c r="J91" i="4" s="1"/>
  <c r="E91" i="4"/>
  <c r="D91" i="4"/>
  <c r="J90" i="4"/>
  <c r="G90" i="4"/>
  <c r="K90" i="4" s="1"/>
  <c r="F90" i="4"/>
  <c r="H90" i="4" s="1"/>
  <c r="E90" i="4"/>
  <c r="D90" i="4"/>
  <c r="G89" i="4"/>
  <c r="K89" i="4" s="1"/>
  <c r="F89" i="4"/>
  <c r="J89" i="4" s="1"/>
  <c r="E89" i="4"/>
  <c r="D89" i="4"/>
  <c r="J88" i="4"/>
  <c r="G88" i="4"/>
  <c r="K88" i="4" s="1"/>
  <c r="F88" i="4"/>
  <c r="H88" i="4" s="1"/>
  <c r="E88" i="4"/>
  <c r="D88" i="4"/>
  <c r="G87" i="4"/>
  <c r="K87" i="4" s="1"/>
  <c r="F87" i="4"/>
  <c r="J87" i="4" s="1"/>
  <c r="E87" i="4"/>
  <c r="D87" i="4"/>
  <c r="J86" i="4"/>
  <c r="G86" i="4"/>
  <c r="K86" i="4" s="1"/>
  <c r="F86" i="4"/>
  <c r="H86" i="4" s="1"/>
  <c r="E86" i="4"/>
  <c r="D86" i="4"/>
  <c r="G85" i="4"/>
  <c r="K85" i="4" s="1"/>
  <c r="F85" i="4"/>
  <c r="J85" i="4" s="1"/>
  <c r="E85" i="4"/>
  <c r="D85" i="4"/>
  <c r="J84" i="4"/>
  <c r="G84" i="4"/>
  <c r="K84" i="4" s="1"/>
  <c r="F84" i="4"/>
  <c r="H84" i="4" s="1"/>
  <c r="E84" i="4"/>
  <c r="D84" i="4"/>
  <c r="G83" i="4"/>
  <c r="K83" i="4" s="1"/>
  <c r="F83" i="4"/>
  <c r="J83" i="4" s="1"/>
  <c r="E83" i="4"/>
  <c r="D83" i="4"/>
  <c r="J82" i="4"/>
  <c r="G82" i="4"/>
  <c r="K82" i="4" s="1"/>
  <c r="F82" i="4"/>
  <c r="H82" i="4" s="1"/>
  <c r="E82" i="4"/>
  <c r="D82" i="4"/>
  <c r="G81" i="4"/>
  <c r="K81" i="4" s="1"/>
  <c r="F81" i="4"/>
  <c r="J81" i="4" s="1"/>
  <c r="E81" i="4"/>
  <c r="D81" i="4"/>
  <c r="J80" i="4"/>
  <c r="G80" i="4"/>
  <c r="K80" i="4" s="1"/>
  <c r="F80" i="4"/>
  <c r="H80" i="4" s="1"/>
  <c r="E80" i="4"/>
  <c r="D80" i="4"/>
  <c r="G79" i="4"/>
  <c r="K79" i="4" s="1"/>
  <c r="F79" i="4"/>
  <c r="J79" i="4" s="1"/>
  <c r="E79" i="4"/>
  <c r="D79" i="4"/>
  <c r="J78" i="4"/>
  <c r="G78" i="4"/>
  <c r="K78" i="4" s="1"/>
  <c r="F78" i="4"/>
  <c r="H78" i="4" s="1"/>
  <c r="E78" i="4"/>
  <c r="D78" i="4"/>
  <c r="G77" i="4"/>
  <c r="K77" i="4" s="1"/>
  <c r="F77" i="4"/>
  <c r="J77" i="4" s="1"/>
  <c r="E77" i="4"/>
  <c r="D77" i="4"/>
  <c r="J76" i="4"/>
  <c r="G76" i="4"/>
  <c r="K76" i="4" s="1"/>
  <c r="F76" i="4"/>
  <c r="H76" i="4" s="1"/>
  <c r="E76" i="4"/>
  <c r="D76" i="4"/>
  <c r="G75" i="4"/>
  <c r="K75" i="4" s="1"/>
  <c r="F75" i="4"/>
  <c r="J75" i="4" s="1"/>
  <c r="E75" i="4"/>
  <c r="D75" i="4"/>
  <c r="J74" i="4"/>
  <c r="G74" i="4"/>
  <c r="K74" i="4" s="1"/>
  <c r="F74" i="4"/>
  <c r="H74" i="4" s="1"/>
  <c r="E74" i="4"/>
  <c r="D74" i="4"/>
  <c r="G73" i="4"/>
  <c r="K73" i="4" s="1"/>
  <c r="F73" i="4"/>
  <c r="J73" i="4" s="1"/>
  <c r="E73" i="4"/>
  <c r="D73" i="4"/>
  <c r="J72" i="4"/>
  <c r="G72" i="4"/>
  <c r="K72" i="4" s="1"/>
  <c r="F72" i="4"/>
  <c r="H72" i="4" s="1"/>
  <c r="E72" i="4"/>
  <c r="D72" i="4"/>
  <c r="G71" i="4"/>
  <c r="K71" i="4" s="1"/>
  <c r="F71" i="4"/>
  <c r="J71" i="4" s="1"/>
  <c r="E71" i="4"/>
  <c r="D71" i="4"/>
  <c r="J70" i="4"/>
  <c r="G70" i="4"/>
  <c r="K70" i="4" s="1"/>
  <c r="F70" i="4"/>
  <c r="H70" i="4" s="1"/>
  <c r="E70" i="4"/>
  <c r="D70" i="4"/>
  <c r="G69" i="4"/>
  <c r="K69" i="4" s="1"/>
  <c r="F69" i="4"/>
  <c r="J69" i="4" s="1"/>
  <c r="E69" i="4"/>
  <c r="D69" i="4"/>
  <c r="J68" i="4"/>
  <c r="G68" i="4"/>
  <c r="K68" i="4" s="1"/>
  <c r="F68" i="4"/>
  <c r="H68" i="4" s="1"/>
  <c r="E68" i="4"/>
  <c r="D68" i="4"/>
  <c r="G67" i="4"/>
  <c r="K67" i="4" s="1"/>
  <c r="F67" i="4"/>
  <c r="J67" i="4" s="1"/>
  <c r="E67" i="4"/>
  <c r="D67" i="4"/>
  <c r="J66" i="4"/>
  <c r="G66" i="4"/>
  <c r="K66" i="4" s="1"/>
  <c r="F66" i="4"/>
  <c r="H66" i="4" s="1"/>
  <c r="E66" i="4"/>
  <c r="D66" i="4"/>
  <c r="G65" i="4"/>
  <c r="K65" i="4" s="1"/>
  <c r="F65" i="4"/>
  <c r="J65" i="4" s="1"/>
  <c r="E65" i="4"/>
  <c r="D65" i="4"/>
  <c r="J64" i="4"/>
  <c r="G64" i="4"/>
  <c r="K64" i="4" s="1"/>
  <c r="F64" i="4"/>
  <c r="H64" i="4" s="1"/>
  <c r="E64" i="4"/>
  <c r="D64" i="4"/>
  <c r="G63" i="4"/>
  <c r="K63" i="4" s="1"/>
  <c r="F63" i="4"/>
  <c r="J63" i="4" s="1"/>
  <c r="E63" i="4"/>
  <c r="D63" i="4"/>
  <c r="J62" i="4"/>
  <c r="G62" i="4"/>
  <c r="K62" i="4" s="1"/>
  <c r="F62" i="4"/>
  <c r="H62" i="4" s="1"/>
  <c r="E62" i="4"/>
  <c r="D62" i="4"/>
  <c r="G61" i="4"/>
  <c r="K61" i="4" s="1"/>
  <c r="F61" i="4"/>
  <c r="J61" i="4" s="1"/>
  <c r="E61" i="4"/>
  <c r="D61" i="4"/>
  <c r="J60" i="4"/>
  <c r="G60" i="4"/>
  <c r="K60" i="4" s="1"/>
  <c r="F60" i="4"/>
  <c r="H60" i="4" s="1"/>
  <c r="E60" i="4"/>
  <c r="D60" i="4"/>
  <c r="G59" i="4"/>
  <c r="K59" i="4" s="1"/>
  <c r="F59" i="4"/>
  <c r="J59" i="4" s="1"/>
  <c r="E59" i="4"/>
  <c r="D59" i="4"/>
  <c r="J58" i="4"/>
  <c r="G58" i="4"/>
  <c r="K58" i="4" s="1"/>
  <c r="F58" i="4"/>
  <c r="H58" i="4" s="1"/>
  <c r="E58" i="4"/>
  <c r="D58" i="4"/>
  <c r="G57" i="4"/>
  <c r="K57" i="4" s="1"/>
  <c r="F57" i="4"/>
  <c r="J57" i="4" s="1"/>
  <c r="E57" i="4"/>
  <c r="D57" i="4"/>
  <c r="J56" i="4"/>
  <c r="G56" i="4"/>
  <c r="K56" i="4" s="1"/>
  <c r="F56" i="4"/>
  <c r="H56" i="4" s="1"/>
  <c r="E56" i="4"/>
  <c r="D56" i="4"/>
  <c r="G55" i="4"/>
  <c r="K55" i="4" s="1"/>
  <c r="F55" i="4"/>
  <c r="J55" i="4" s="1"/>
  <c r="E55" i="4"/>
  <c r="D55" i="4"/>
  <c r="J54" i="4"/>
  <c r="G54" i="4"/>
  <c r="K54" i="4" s="1"/>
  <c r="F54" i="4"/>
  <c r="H54" i="4" s="1"/>
  <c r="E54" i="4"/>
  <c r="D54" i="4"/>
  <c r="G53" i="4"/>
  <c r="K53" i="4" s="1"/>
  <c r="F53" i="4"/>
  <c r="J53" i="4" s="1"/>
  <c r="E53" i="4"/>
  <c r="D53" i="4"/>
  <c r="J52" i="4"/>
  <c r="G52" i="4"/>
  <c r="K52" i="4" s="1"/>
  <c r="F52" i="4"/>
  <c r="H52" i="4" s="1"/>
  <c r="E52" i="4"/>
  <c r="D52" i="4"/>
  <c r="G51" i="4"/>
  <c r="K51" i="4" s="1"/>
  <c r="F51" i="4"/>
  <c r="J51" i="4" s="1"/>
  <c r="E51" i="4"/>
  <c r="D51" i="4"/>
  <c r="J50" i="4"/>
  <c r="G50" i="4"/>
  <c r="K50" i="4" s="1"/>
  <c r="F50" i="4"/>
  <c r="H50" i="4" s="1"/>
  <c r="E50" i="4"/>
  <c r="D50" i="4"/>
  <c r="G49" i="4"/>
  <c r="K49" i="4" s="1"/>
  <c r="F49" i="4"/>
  <c r="J49" i="4" s="1"/>
  <c r="E49" i="4"/>
  <c r="D49" i="4"/>
  <c r="G48" i="4"/>
  <c r="K48" i="4" s="1"/>
  <c r="F48" i="4"/>
  <c r="J48" i="4" s="1"/>
  <c r="E48" i="4"/>
  <c r="D48" i="4"/>
  <c r="G47" i="4"/>
  <c r="K47" i="4" s="1"/>
  <c r="F47" i="4"/>
  <c r="J47" i="4" s="1"/>
  <c r="E47" i="4"/>
  <c r="D47" i="4"/>
  <c r="J46" i="4"/>
  <c r="G46" i="4"/>
  <c r="K46" i="4" s="1"/>
  <c r="F46" i="4"/>
  <c r="H46" i="4" s="1"/>
  <c r="E46" i="4"/>
  <c r="D46" i="4"/>
  <c r="G45" i="4"/>
  <c r="K45" i="4" s="1"/>
  <c r="F45" i="4"/>
  <c r="J45" i="4" s="1"/>
  <c r="E45" i="4"/>
  <c r="D45" i="4"/>
  <c r="G44" i="4"/>
  <c r="K44" i="4" s="1"/>
  <c r="F44" i="4"/>
  <c r="J44" i="4" s="1"/>
  <c r="E44" i="4"/>
  <c r="D44" i="4"/>
  <c r="G43" i="4"/>
  <c r="K43" i="4" s="1"/>
  <c r="F43" i="4"/>
  <c r="J43" i="4" s="1"/>
  <c r="E43" i="4"/>
  <c r="D43" i="4"/>
  <c r="G42" i="4"/>
  <c r="K42" i="4" s="1"/>
  <c r="F42" i="4"/>
  <c r="J42" i="4" s="1"/>
  <c r="E42" i="4"/>
  <c r="D42" i="4"/>
  <c r="G41" i="4"/>
  <c r="K41" i="4" s="1"/>
  <c r="F41" i="4"/>
  <c r="J41" i="4" s="1"/>
  <c r="E41" i="4"/>
  <c r="D41" i="4"/>
  <c r="G40" i="4"/>
  <c r="K40" i="4" s="1"/>
  <c r="F40" i="4"/>
  <c r="J40" i="4" s="1"/>
  <c r="E40" i="4"/>
  <c r="D40" i="4"/>
  <c r="G39" i="4"/>
  <c r="K39" i="4" s="1"/>
  <c r="F39" i="4"/>
  <c r="J39" i="4" s="1"/>
  <c r="E39" i="4"/>
  <c r="D39" i="4"/>
  <c r="G38" i="4"/>
  <c r="K38" i="4" s="1"/>
  <c r="F38" i="4"/>
  <c r="J38" i="4" s="1"/>
  <c r="E38" i="4"/>
  <c r="D38" i="4"/>
  <c r="G37" i="4"/>
  <c r="K37" i="4" s="1"/>
  <c r="F37" i="4"/>
  <c r="J37" i="4" s="1"/>
  <c r="E37" i="4"/>
  <c r="D37" i="4"/>
  <c r="G36" i="4"/>
  <c r="K36" i="4" s="1"/>
  <c r="F36" i="4"/>
  <c r="J36" i="4" s="1"/>
  <c r="E36" i="4"/>
  <c r="D36" i="4"/>
  <c r="G35" i="4"/>
  <c r="K35" i="4" s="1"/>
  <c r="F35" i="4"/>
  <c r="J35" i="4" s="1"/>
  <c r="E35" i="4"/>
  <c r="D35" i="4"/>
  <c r="G34" i="4"/>
  <c r="K34" i="4" s="1"/>
  <c r="F34" i="4"/>
  <c r="J34" i="4" s="1"/>
  <c r="E34" i="4"/>
  <c r="D34" i="4"/>
  <c r="G33" i="4"/>
  <c r="K33" i="4" s="1"/>
  <c r="F33" i="4"/>
  <c r="J33" i="4" s="1"/>
  <c r="E33" i="4"/>
  <c r="D33" i="4"/>
  <c r="G32" i="4"/>
  <c r="K32" i="4" s="1"/>
  <c r="F32" i="4"/>
  <c r="J32" i="4" s="1"/>
  <c r="E32" i="4"/>
  <c r="D32" i="4"/>
  <c r="G31" i="4"/>
  <c r="K31" i="4" s="1"/>
  <c r="F31" i="4"/>
  <c r="J31" i="4" s="1"/>
  <c r="E31" i="4"/>
  <c r="D31" i="4"/>
  <c r="G30" i="4"/>
  <c r="K30" i="4" s="1"/>
  <c r="F30" i="4"/>
  <c r="J30" i="4" s="1"/>
  <c r="E30" i="4"/>
  <c r="D30" i="4"/>
  <c r="G29" i="4"/>
  <c r="K29" i="4" s="1"/>
  <c r="F29" i="4"/>
  <c r="J29" i="4" s="1"/>
  <c r="E29" i="4"/>
  <c r="D29" i="4"/>
  <c r="G28" i="4"/>
  <c r="K28" i="4" s="1"/>
  <c r="F28" i="4"/>
  <c r="J28" i="4" s="1"/>
  <c r="E28" i="4"/>
  <c r="D28" i="4"/>
  <c r="G27" i="4"/>
  <c r="K27" i="4" s="1"/>
  <c r="F27" i="4"/>
  <c r="J27" i="4" s="1"/>
  <c r="E27" i="4"/>
  <c r="D27" i="4"/>
  <c r="G26" i="4"/>
  <c r="K26" i="4" s="1"/>
  <c r="F26" i="4"/>
  <c r="J26" i="4" s="1"/>
  <c r="E26" i="4"/>
  <c r="D26" i="4"/>
  <c r="G25" i="4"/>
  <c r="K25" i="4" s="1"/>
  <c r="F25" i="4"/>
  <c r="J25" i="4" s="1"/>
  <c r="E25" i="4"/>
  <c r="D25" i="4"/>
  <c r="G24" i="4"/>
  <c r="K24" i="4" s="1"/>
  <c r="F24" i="4"/>
  <c r="J24" i="4" s="1"/>
  <c r="E24" i="4"/>
  <c r="D24" i="4"/>
  <c r="G23" i="4"/>
  <c r="K23" i="4" s="1"/>
  <c r="F23" i="4"/>
  <c r="J23" i="4" s="1"/>
  <c r="E23" i="4"/>
  <c r="D23" i="4"/>
  <c r="G22" i="4"/>
  <c r="K22" i="4" s="1"/>
  <c r="F22" i="4"/>
  <c r="J22" i="4" s="1"/>
  <c r="E22" i="4"/>
  <c r="D22" i="4"/>
  <c r="G21" i="4"/>
  <c r="K21" i="4" s="1"/>
  <c r="F21" i="4"/>
  <c r="J21" i="4" s="1"/>
  <c r="E21" i="4"/>
  <c r="D21" i="4"/>
  <c r="G20" i="4"/>
  <c r="K20" i="4" s="1"/>
  <c r="F20" i="4"/>
  <c r="J20" i="4" s="1"/>
  <c r="E20" i="4"/>
  <c r="D20" i="4"/>
  <c r="G19" i="4"/>
  <c r="K19" i="4" s="1"/>
  <c r="F19" i="4"/>
  <c r="J19" i="4" s="1"/>
  <c r="E19" i="4"/>
  <c r="D19" i="4"/>
  <c r="G18" i="4"/>
  <c r="K18" i="4" s="1"/>
  <c r="F18" i="4"/>
  <c r="J18" i="4" s="1"/>
  <c r="E18" i="4"/>
  <c r="D18" i="4"/>
  <c r="G17" i="4"/>
  <c r="K17" i="4" s="1"/>
  <c r="F17" i="4"/>
  <c r="J17" i="4" s="1"/>
  <c r="E17" i="4"/>
  <c r="D17" i="4"/>
  <c r="G16" i="4"/>
  <c r="K16" i="4" s="1"/>
  <c r="F16" i="4"/>
  <c r="J16" i="4" s="1"/>
  <c r="E16" i="4"/>
  <c r="D16" i="4"/>
  <c r="G15" i="4"/>
  <c r="K15" i="4" s="1"/>
  <c r="F15" i="4"/>
  <c r="J15" i="4" s="1"/>
  <c r="E15" i="4"/>
  <c r="D15" i="4"/>
  <c r="G14" i="4"/>
  <c r="K14" i="4" s="1"/>
  <c r="F14" i="4"/>
  <c r="J14" i="4" s="1"/>
  <c r="E14" i="4"/>
  <c r="D14" i="4"/>
  <c r="G13" i="4"/>
  <c r="K13" i="4" s="1"/>
  <c r="F13" i="4"/>
  <c r="J13" i="4" s="1"/>
  <c r="E13" i="4"/>
  <c r="D13" i="4"/>
  <c r="G12" i="4"/>
  <c r="K12" i="4" s="1"/>
  <c r="F12" i="4"/>
  <c r="J12" i="4" s="1"/>
  <c r="E12" i="4"/>
  <c r="D12" i="4"/>
  <c r="G11" i="4"/>
  <c r="F11" i="4"/>
  <c r="J11" i="4" s="1"/>
  <c r="E11" i="4"/>
  <c r="D11" i="4"/>
  <c r="G10" i="4"/>
  <c r="K10" i="4" s="1"/>
  <c r="F10" i="4"/>
  <c r="J10" i="4" s="1"/>
  <c r="E10" i="4"/>
  <c r="D10" i="4"/>
  <c r="G9" i="4"/>
  <c r="F9" i="4"/>
  <c r="J9" i="4" s="1"/>
  <c r="E9" i="4"/>
  <c r="D9" i="4"/>
  <c r="G8" i="4"/>
  <c r="K8" i="4" s="1"/>
  <c r="F8" i="4"/>
  <c r="J8" i="4" s="1"/>
  <c r="E8" i="4"/>
  <c r="D8" i="4"/>
  <c r="G7" i="4"/>
  <c r="F7" i="4"/>
  <c r="J7" i="4" s="1"/>
  <c r="E7" i="4"/>
  <c r="D7" i="4"/>
  <c r="G6" i="4"/>
  <c r="K6" i="4" s="1"/>
  <c r="F6" i="4"/>
  <c r="J6" i="4" s="1"/>
  <c r="E6" i="4"/>
  <c r="D6" i="4"/>
  <c r="G5" i="4"/>
  <c r="F5" i="4"/>
  <c r="J5" i="4" s="1"/>
  <c r="E5" i="4"/>
  <c r="D5" i="4"/>
  <c r="G4" i="4"/>
  <c r="K4" i="4" s="1"/>
  <c r="F4" i="4"/>
  <c r="J4" i="4" s="1"/>
  <c r="E4" i="4"/>
  <c r="D4" i="4"/>
  <c r="G3" i="4"/>
  <c r="F3" i="4"/>
  <c r="J3" i="4" s="1"/>
  <c r="E3" i="4"/>
  <c r="D3" i="4"/>
  <c r="G2" i="4"/>
  <c r="K2" i="4" s="1"/>
  <c r="F2" i="4"/>
  <c r="J2" i="4" s="1"/>
  <c r="E2" i="4"/>
  <c r="D2" i="4"/>
  <c r="E920" i="3"/>
  <c r="D920" i="3"/>
  <c r="C920" i="3"/>
  <c r="B920" i="3"/>
  <c r="A920" i="3"/>
  <c r="E919" i="3"/>
  <c r="D919" i="3"/>
  <c r="C919" i="3"/>
  <c r="B919" i="3"/>
  <c r="A919" i="3"/>
  <c r="E918" i="3"/>
  <c r="D918" i="3"/>
  <c r="C918" i="3"/>
  <c r="B918" i="3"/>
  <c r="A918" i="3"/>
  <c r="E917" i="3"/>
  <c r="D917" i="3"/>
  <c r="C917" i="3"/>
  <c r="B917" i="3"/>
  <c r="A917" i="3"/>
  <c r="E916" i="3"/>
  <c r="D916" i="3"/>
  <c r="C916" i="3"/>
  <c r="B916" i="3"/>
  <c r="A916" i="3"/>
  <c r="E915" i="3"/>
  <c r="D915" i="3"/>
  <c r="C915" i="3"/>
  <c r="B915" i="3"/>
  <c r="A915" i="3"/>
  <c r="E914" i="3"/>
  <c r="D914" i="3"/>
  <c r="C914" i="3"/>
  <c r="B914" i="3"/>
  <c r="A914" i="3"/>
  <c r="E913" i="3"/>
  <c r="D913" i="3"/>
  <c r="C913" i="3"/>
  <c r="B913" i="3"/>
  <c r="A913" i="3"/>
  <c r="E912" i="3"/>
  <c r="D912" i="3"/>
  <c r="C912" i="3"/>
  <c r="B912" i="3"/>
  <c r="A912" i="3"/>
  <c r="E911" i="3"/>
  <c r="D911" i="3"/>
  <c r="C911" i="3"/>
  <c r="B911" i="3"/>
  <c r="A911" i="3"/>
  <c r="E910" i="3"/>
  <c r="D910" i="3"/>
  <c r="C910" i="3"/>
  <c r="B910" i="3"/>
  <c r="A910" i="3"/>
  <c r="E909" i="3"/>
  <c r="D909" i="3"/>
  <c r="C909" i="3"/>
  <c r="B909" i="3"/>
  <c r="A909" i="3"/>
  <c r="E908" i="3"/>
  <c r="D908" i="3"/>
  <c r="C908" i="3"/>
  <c r="B908" i="3"/>
  <c r="A908" i="3"/>
  <c r="E907" i="3"/>
  <c r="D907" i="3"/>
  <c r="C907" i="3"/>
  <c r="B907" i="3"/>
  <c r="A907" i="3"/>
  <c r="E906" i="3"/>
  <c r="D906" i="3"/>
  <c r="C906" i="3"/>
  <c r="B906" i="3"/>
  <c r="A906" i="3"/>
  <c r="E905" i="3"/>
  <c r="D905" i="3"/>
  <c r="C905" i="3"/>
  <c r="B905" i="3"/>
  <c r="A905" i="3"/>
  <c r="E904" i="3"/>
  <c r="D904" i="3"/>
  <c r="C904" i="3"/>
  <c r="B904" i="3"/>
  <c r="A904" i="3"/>
  <c r="E903" i="3"/>
  <c r="D903" i="3"/>
  <c r="C903" i="3"/>
  <c r="B903" i="3"/>
  <c r="A903" i="3"/>
  <c r="E902" i="3"/>
  <c r="D902" i="3"/>
  <c r="C902" i="3"/>
  <c r="B902" i="3"/>
  <c r="A902" i="3"/>
  <c r="E901" i="3"/>
  <c r="D901" i="3"/>
  <c r="C901" i="3"/>
  <c r="B901" i="3"/>
  <c r="A901" i="3"/>
  <c r="E900" i="3"/>
  <c r="D900" i="3"/>
  <c r="C900" i="3"/>
  <c r="B900" i="3"/>
  <c r="A900" i="3"/>
  <c r="E899" i="3"/>
  <c r="D899" i="3"/>
  <c r="C899" i="3"/>
  <c r="B899" i="3"/>
  <c r="A899" i="3"/>
  <c r="E898" i="3"/>
  <c r="D898" i="3"/>
  <c r="C898" i="3"/>
  <c r="B898" i="3"/>
  <c r="A898" i="3"/>
  <c r="E897" i="3"/>
  <c r="D897" i="3"/>
  <c r="C897" i="3"/>
  <c r="B897" i="3"/>
  <c r="A897" i="3"/>
  <c r="E896" i="3"/>
  <c r="D896" i="3"/>
  <c r="C896" i="3"/>
  <c r="B896" i="3"/>
  <c r="A896" i="3"/>
  <c r="E895" i="3"/>
  <c r="D895" i="3"/>
  <c r="C895" i="3"/>
  <c r="B895" i="3"/>
  <c r="A895" i="3"/>
  <c r="E894" i="3"/>
  <c r="D894" i="3"/>
  <c r="C894" i="3"/>
  <c r="B894" i="3"/>
  <c r="A894" i="3"/>
  <c r="E893" i="3"/>
  <c r="D893" i="3"/>
  <c r="C893" i="3"/>
  <c r="B893" i="3"/>
  <c r="A893" i="3"/>
  <c r="E892" i="3"/>
  <c r="D892" i="3"/>
  <c r="C892" i="3"/>
  <c r="B892" i="3"/>
  <c r="A892" i="3"/>
  <c r="E891" i="3"/>
  <c r="D891" i="3"/>
  <c r="C891" i="3"/>
  <c r="B891" i="3"/>
  <c r="A891" i="3"/>
  <c r="E890" i="3"/>
  <c r="D890" i="3"/>
  <c r="C890" i="3"/>
  <c r="B890" i="3"/>
  <c r="A890" i="3"/>
  <c r="E889" i="3"/>
  <c r="D889" i="3"/>
  <c r="C889" i="3"/>
  <c r="B889" i="3"/>
  <c r="A889" i="3"/>
  <c r="E888" i="3"/>
  <c r="D888" i="3"/>
  <c r="C888" i="3"/>
  <c r="B888" i="3"/>
  <c r="A888" i="3"/>
  <c r="E887" i="3"/>
  <c r="D887" i="3"/>
  <c r="C887" i="3"/>
  <c r="B887" i="3"/>
  <c r="A887" i="3"/>
  <c r="E886" i="3"/>
  <c r="D886" i="3"/>
  <c r="C886" i="3"/>
  <c r="B886" i="3"/>
  <c r="A886" i="3"/>
  <c r="E885" i="3"/>
  <c r="D885" i="3"/>
  <c r="C885" i="3"/>
  <c r="B885" i="3"/>
  <c r="A885" i="3"/>
  <c r="E884" i="3"/>
  <c r="D884" i="3"/>
  <c r="C884" i="3"/>
  <c r="B884" i="3"/>
  <c r="A884" i="3"/>
  <c r="E883" i="3"/>
  <c r="D883" i="3"/>
  <c r="C883" i="3"/>
  <c r="B883" i="3"/>
  <c r="A883" i="3"/>
  <c r="E882" i="3"/>
  <c r="D882" i="3"/>
  <c r="C882" i="3"/>
  <c r="B882" i="3"/>
  <c r="A882" i="3"/>
  <c r="E881" i="3"/>
  <c r="D881" i="3"/>
  <c r="C881" i="3"/>
  <c r="B881" i="3"/>
  <c r="A881" i="3"/>
  <c r="E880" i="3"/>
  <c r="D880" i="3"/>
  <c r="C880" i="3"/>
  <c r="B880" i="3"/>
  <c r="A880" i="3"/>
  <c r="E879" i="3"/>
  <c r="D879" i="3"/>
  <c r="C879" i="3"/>
  <c r="B879" i="3"/>
  <c r="A879" i="3"/>
  <c r="E878" i="3"/>
  <c r="D878" i="3"/>
  <c r="C878" i="3"/>
  <c r="B878" i="3"/>
  <c r="A878" i="3"/>
  <c r="E877" i="3"/>
  <c r="D877" i="3"/>
  <c r="C877" i="3"/>
  <c r="B877" i="3"/>
  <c r="A877" i="3"/>
  <c r="E876" i="3"/>
  <c r="D876" i="3"/>
  <c r="C876" i="3"/>
  <c r="B876" i="3"/>
  <c r="A876" i="3"/>
  <c r="E875" i="3"/>
  <c r="D875" i="3"/>
  <c r="C875" i="3"/>
  <c r="B875" i="3"/>
  <c r="A875" i="3"/>
  <c r="E874" i="3"/>
  <c r="D874" i="3"/>
  <c r="C874" i="3"/>
  <c r="B874" i="3"/>
  <c r="A874" i="3"/>
  <c r="E873" i="3"/>
  <c r="D873" i="3"/>
  <c r="C873" i="3"/>
  <c r="B873" i="3"/>
  <c r="A873" i="3"/>
  <c r="E872" i="3"/>
  <c r="D872" i="3"/>
  <c r="C872" i="3"/>
  <c r="B872" i="3"/>
  <c r="A872" i="3"/>
  <c r="E871" i="3"/>
  <c r="D871" i="3"/>
  <c r="C871" i="3"/>
  <c r="B871" i="3"/>
  <c r="A871" i="3"/>
  <c r="E870" i="3"/>
  <c r="D870" i="3"/>
  <c r="C870" i="3"/>
  <c r="B870" i="3"/>
  <c r="A870" i="3"/>
  <c r="E869" i="3"/>
  <c r="D869" i="3"/>
  <c r="C869" i="3"/>
  <c r="B869" i="3"/>
  <c r="A869" i="3"/>
  <c r="E868" i="3"/>
  <c r="D868" i="3"/>
  <c r="C868" i="3"/>
  <c r="B868" i="3"/>
  <c r="A868" i="3"/>
  <c r="E867" i="3"/>
  <c r="D867" i="3"/>
  <c r="C867" i="3"/>
  <c r="B867" i="3"/>
  <c r="A867" i="3"/>
  <c r="E866" i="3"/>
  <c r="D866" i="3"/>
  <c r="C866" i="3"/>
  <c r="B866" i="3"/>
  <c r="A866" i="3"/>
  <c r="E865" i="3"/>
  <c r="D865" i="3"/>
  <c r="C865" i="3"/>
  <c r="B865" i="3"/>
  <c r="A865" i="3"/>
  <c r="E864" i="3"/>
  <c r="D864" i="3"/>
  <c r="C864" i="3"/>
  <c r="B864" i="3"/>
  <c r="A864" i="3"/>
  <c r="E863" i="3"/>
  <c r="D863" i="3"/>
  <c r="C863" i="3"/>
  <c r="B863" i="3"/>
  <c r="A863" i="3"/>
  <c r="E862" i="3"/>
  <c r="D862" i="3"/>
  <c r="C862" i="3"/>
  <c r="B862" i="3"/>
  <c r="A862" i="3"/>
  <c r="E861" i="3"/>
  <c r="D861" i="3"/>
  <c r="C861" i="3"/>
  <c r="B861" i="3"/>
  <c r="A861" i="3"/>
  <c r="E860" i="3"/>
  <c r="D860" i="3"/>
  <c r="C860" i="3"/>
  <c r="B860" i="3"/>
  <c r="A860" i="3"/>
  <c r="E859" i="3"/>
  <c r="D859" i="3"/>
  <c r="C859" i="3"/>
  <c r="B859" i="3"/>
  <c r="A859" i="3"/>
  <c r="E858" i="3"/>
  <c r="D858" i="3"/>
  <c r="C858" i="3"/>
  <c r="B858" i="3"/>
  <c r="A858" i="3"/>
  <c r="E857" i="3"/>
  <c r="D857" i="3"/>
  <c r="C857" i="3"/>
  <c r="B857" i="3"/>
  <c r="A857" i="3"/>
  <c r="E856" i="3"/>
  <c r="D856" i="3"/>
  <c r="C856" i="3"/>
  <c r="B856" i="3"/>
  <c r="A856" i="3"/>
  <c r="E855" i="3"/>
  <c r="D855" i="3"/>
  <c r="C855" i="3"/>
  <c r="B855" i="3"/>
  <c r="A855" i="3"/>
  <c r="E854" i="3"/>
  <c r="D854" i="3"/>
  <c r="C854" i="3"/>
  <c r="B854" i="3"/>
  <c r="A854" i="3"/>
  <c r="E853" i="3"/>
  <c r="D853" i="3"/>
  <c r="C853" i="3"/>
  <c r="B853" i="3"/>
  <c r="A853" i="3"/>
  <c r="E852" i="3"/>
  <c r="D852" i="3"/>
  <c r="C852" i="3"/>
  <c r="B852" i="3"/>
  <c r="A852" i="3"/>
  <c r="E851" i="3"/>
  <c r="D851" i="3"/>
  <c r="C851" i="3"/>
  <c r="B851" i="3"/>
  <c r="A851" i="3"/>
  <c r="E850" i="3"/>
  <c r="D850" i="3"/>
  <c r="C850" i="3"/>
  <c r="B850" i="3"/>
  <c r="A850" i="3"/>
  <c r="E849" i="3"/>
  <c r="D849" i="3"/>
  <c r="C849" i="3"/>
  <c r="B849" i="3"/>
  <c r="A849" i="3"/>
  <c r="E848" i="3"/>
  <c r="D848" i="3"/>
  <c r="C848" i="3"/>
  <c r="B848" i="3"/>
  <c r="A848" i="3"/>
  <c r="E847" i="3"/>
  <c r="D847" i="3"/>
  <c r="C847" i="3"/>
  <c r="B847" i="3"/>
  <c r="A847" i="3"/>
  <c r="E846" i="3"/>
  <c r="D846" i="3"/>
  <c r="C846" i="3"/>
  <c r="B846" i="3"/>
  <c r="A846" i="3"/>
  <c r="E845" i="3"/>
  <c r="D845" i="3"/>
  <c r="C845" i="3"/>
  <c r="B845" i="3"/>
  <c r="A845" i="3"/>
  <c r="E844" i="3"/>
  <c r="D844" i="3"/>
  <c r="C844" i="3"/>
  <c r="B844" i="3"/>
  <c r="A844" i="3"/>
  <c r="E843" i="3"/>
  <c r="D843" i="3"/>
  <c r="C843" i="3"/>
  <c r="B843" i="3"/>
  <c r="A843" i="3"/>
  <c r="E842" i="3"/>
  <c r="D842" i="3"/>
  <c r="C842" i="3"/>
  <c r="B842" i="3"/>
  <c r="A842" i="3"/>
  <c r="E841" i="3"/>
  <c r="D841" i="3"/>
  <c r="C841" i="3"/>
  <c r="B841" i="3"/>
  <c r="A841" i="3"/>
  <c r="E840" i="3"/>
  <c r="D840" i="3"/>
  <c r="C840" i="3"/>
  <c r="B840" i="3"/>
  <c r="A840" i="3"/>
  <c r="E839" i="3"/>
  <c r="D839" i="3"/>
  <c r="C839" i="3"/>
  <c r="B839" i="3"/>
  <c r="A839" i="3"/>
  <c r="E838" i="3"/>
  <c r="D838" i="3"/>
  <c r="C838" i="3"/>
  <c r="B838" i="3"/>
  <c r="A838" i="3"/>
  <c r="E837" i="3"/>
  <c r="D837" i="3"/>
  <c r="C837" i="3"/>
  <c r="B837" i="3"/>
  <c r="A837" i="3"/>
  <c r="E836" i="3"/>
  <c r="D836" i="3"/>
  <c r="C836" i="3"/>
  <c r="B836" i="3"/>
  <c r="A836" i="3"/>
  <c r="E835" i="3"/>
  <c r="D835" i="3"/>
  <c r="C835" i="3"/>
  <c r="B835" i="3"/>
  <c r="A835" i="3"/>
  <c r="E834" i="3"/>
  <c r="D834" i="3"/>
  <c r="C834" i="3"/>
  <c r="B834" i="3"/>
  <c r="A834" i="3"/>
  <c r="E833" i="3"/>
  <c r="D833" i="3"/>
  <c r="C833" i="3"/>
  <c r="B833" i="3"/>
  <c r="A833" i="3"/>
  <c r="E832" i="3"/>
  <c r="D832" i="3"/>
  <c r="C832" i="3"/>
  <c r="B832" i="3"/>
  <c r="A832" i="3"/>
  <c r="E831" i="3"/>
  <c r="D831" i="3"/>
  <c r="C831" i="3"/>
  <c r="B831" i="3"/>
  <c r="A831" i="3"/>
  <c r="E830" i="3"/>
  <c r="D830" i="3"/>
  <c r="C830" i="3"/>
  <c r="B830" i="3"/>
  <c r="A830" i="3"/>
  <c r="E829" i="3"/>
  <c r="D829" i="3"/>
  <c r="C829" i="3"/>
  <c r="B829" i="3"/>
  <c r="A829" i="3"/>
  <c r="E828" i="3"/>
  <c r="D828" i="3"/>
  <c r="C828" i="3"/>
  <c r="B828" i="3"/>
  <c r="A828" i="3"/>
  <c r="E827" i="3"/>
  <c r="D827" i="3"/>
  <c r="C827" i="3"/>
  <c r="B827" i="3"/>
  <c r="A827" i="3"/>
  <c r="E826" i="3"/>
  <c r="D826" i="3"/>
  <c r="C826" i="3"/>
  <c r="B826" i="3"/>
  <c r="A826" i="3"/>
  <c r="E825" i="3"/>
  <c r="D825" i="3"/>
  <c r="C825" i="3"/>
  <c r="B825" i="3"/>
  <c r="A825" i="3"/>
  <c r="E824" i="3"/>
  <c r="D824" i="3"/>
  <c r="C824" i="3"/>
  <c r="B824" i="3"/>
  <c r="A824" i="3"/>
  <c r="E823" i="3"/>
  <c r="D823" i="3"/>
  <c r="C823" i="3"/>
  <c r="B823" i="3"/>
  <c r="A823" i="3"/>
  <c r="E822" i="3"/>
  <c r="D822" i="3"/>
  <c r="C822" i="3"/>
  <c r="B822" i="3"/>
  <c r="A822" i="3"/>
  <c r="E821" i="3"/>
  <c r="D821" i="3"/>
  <c r="C821" i="3"/>
  <c r="B821" i="3"/>
  <c r="A821" i="3"/>
  <c r="E820" i="3"/>
  <c r="D820" i="3"/>
  <c r="C820" i="3"/>
  <c r="B820" i="3"/>
  <c r="A820" i="3"/>
  <c r="E819" i="3"/>
  <c r="D819" i="3"/>
  <c r="C819" i="3"/>
  <c r="B819" i="3"/>
  <c r="A819" i="3"/>
  <c r="E818" i="3"/>
  <c r="D818" i="3"/>
  <c r="C818" i="3"/>
  <c r="B818" i="3"/>
  <c r="A818" i="3"/>
  <c r="E817" i="3"/>
  <c r="D817" i="3"/>
  <c r="C817" i="3"/>
  <c r="B817" i="3"/>
  <c r="A817" i="3"/>
  <c r="E816" i="3"/>
  <c r="D816" i="3"/>
  <c r="C816" i="3"/>
  <c r="B816" i="3"/>
  <c r="A816" i="3"/>
  <c r="E815" i="3"/>
  <c r="D815" i="3"/>
  <c r="C815" i="3"/>
  <c r="B815" i="3"/>
  <c r="A815" i="3"/>
  <c r="E814" i="3"/>
  <c r="D814" i="3"/>
  <c r="C814" i="3"/>
  <c r="B814" i="3"/>
  <c r="A814" i="3"/>
  <c r="E813" i="3"/>
  <c r="D813" i="3"/>
  <c r="C813" i="3"/>
  <c r="B813" i="3"/>
  <c r="A813" i="3"/>
  <c r="E812" i="3"/>
  <c r="D812" i="3"/>
  <c r="C812" i="3"/>
  <c r="B812" i="3"/>
  <c r="A812" i="3"/>
  <c r="E811" i="3"/>
  <c r="D811" i="3"/>
  <c r="C811" i="3"/>
  <c r="B811" i="3"/>
  <c r="A811" i="3"/>
  <c r="E810" i="3"/>
  <c r="D810" i="3"/>
  <c r="C810" i="3"/>
  <c r="B810" i="3"/>
  <c r="A810" i="3"/>
  <c r="E809" i="3"/>
  <c r="D809" i="3"/>
  <c r="C809" i="3"/>
  <c r="B809" i="3"/>
  <c r="A809" i="3"/>
  <c r="E808" i="3"/>
  <c r="D808" i="3"/>
  <c r="C808" i="3"/>
  <c r="B808" i="3"/>
  <c r="A808" i="3"/>
  <c r="E807" i="3"/>
  <c r="D807" i="3"/>
  <c r="C807" i="3"/>
  <c r="B807" i="3"/>
  <c r="A807" i="3"/>
  <c r="E806" i="3"/>
  <c r="D806" i="3"/>
  <c r="C806" i="3"/>
  <c r="B806" i="3"/>
  <c r="A806" i="3"/>
  <c r="E805" i="3"/>
  <c r="D805" i="3"/>
  <c r="C805" i="3"/>
  <c r="B805" i="3"/>
  <c r="A805" i="3"/>
  <c r="E804" i="3"/>
  <c r="D804" i="3"/>
  <c r="C804" i="3"/>
  <c r="B804" i="3"/>
  <c r="A804" i="3"/>
  <c r="E803" i="3"/>
  <c r="D803" i="3"/>
  <c r="C803" i="3"/>
  <c r="B803" i="3"/>
  <c r="A803" i="3"/>
  <c r="E802" i="3"/>
  <c r="D802" i="3"/>
  <c r="C802" i="3"/>
  <c r="B802" i="3"/>
  <c r="A802" i="3"/>
  <c r="E801" i="3"/>
  <c r="D801" i="3"/>
  <c r="C801" i="3"/>
  <c r="B801" i="3"/>
  <c r="A801" i="3"/>
  <c r="E800" i="3"/>
  <c r="D800" i="3"/>
  <c r="C800" i="3"/>
  <c r="B800" i="3"/>
  <c r="A800" i="3"/>
  <c r="E799" i="3"/>
  <c r="D799" i="3"/>
  <c r="C799" i="3"/>
  <c r="B799" i="3"/>
  <c r="A799" i="3"/>
  <c r="E798" i="3"/>
  <c r="D798" i="3"/>
  <c r="C798" i="3"/>
  <c r="B798" i="3"/>
  <c r="A798" i="3"/>
  <c r="E797" i="3"/>
  <c r="D797" i="3"/>
  <c r="C797" i="3"/>
  <c r="B797" i="3"/>
  <c r="A797" i="3"/>
  <c r="E796" i="3"/>
  <c r="D796" i="3"/>
  <c r="C796" i="3"/>
  <c r="B796" i="3"/>
  <c r="A796" i="3"/>
  <c r="E795" i="3"/>
  <c r="D795" i="3"/>
  <c r="C795" i="3"/>
  <c r="B795" i="3"/>
  <c r="A795" i="3"/>
  <c r="E794" i="3"/>
  <c r="D794" i="3"/>
  <c r="C794" i="3"/>
  <c r="B794" i="3"/>
  <c r="A794" i="3"/>
  <c r="E793" i="3"/>
  <c r="D793" i="3"/>
  <c r="C793" i="3"/>
  <c r="B793" i="3"/>
  <c r="A793" i="3"/>
  <c r="E792" i="3"/>
  <c r="D792" i="3"/>
  <c r="C792" i="3"/>
  <c r="B792" i="3"/>
  <c r="A792" i="3"/>
  <c r="E791" i="3"/>
  <c r="D791" i="3"/>
  <c r="C791" i="3"/>
  <c r="B791" i="3"/>
  <c r="A791" i="3"/>
  <c r="E790" i="3"/>
  <c r="D790" i="3"/>
  <c r="C790" i="3"/>
  <c r="B790" i="3"/>
  <c r="A790" i="3"/>
  <c r="E789" i="3"/>
  <c r="D789" i="3"/>
  <c r="C789" i="3"/>
  <c r="B789" i="3"/>
  <c r="A789" i="3"/>
  <c r="E788" i="3"/>
  <c r="D788" i="3"/>
  <c r="C788" i="3"/>
  <c r="B788" i="3"/>
  <c r="A788" i="3"/>
  <c r="E787" i="3"/>
  <c r="D787" i="3"/>
  <c r="C787" i="3"/>
  <c r="B787" i="3"/>
  <c r="A787" i="3"/>
  <c r="E786" i="3"/>
  <c r="D786" i="3"/>
  <c r="C786" i="3"/>
  <c r="B786" i="3"/>
  <c r="A786" i="3"/>
  <c r="E785" i="3"/>
  <c r="D785" i="3"/>
  <c r="C785" i="3"/>
  <c r="B785" i="3"/>
  <c r="A785" i="3"/>
  <c r="E784" i="3"/>
  <c r="D784" i="3"/>
  <c r="C784" i="3"/>
  <c r="B784" i="3"/>
  <c r="A784" i="3"/>
  <c r="E783" i="3"/>
  <c r="D783" i="3"/>
  <c r="C783" i="3"/>
  <c r="B783" i="3"/>
  <c r="A783" i="3"/>
  <c r="E782" i="3"/>
  <c r="D782" i="3"/>
  <c r="C782" i="3"/>
  <c r="B782" i="3"/>
  <c r="A782" i="3"/>
  <c r="E781" i="3"/>
  <c r="D781" i="3"/>
  <c r="C781" i="3"/>
  <c r="B781" i="3"/>
  <c r="A781" i="3"/>
  <c r="E780" i="3"/>
  <c r="D780" i="3"/>
  <c r="C780" i="3"/>
  <c r="B780" i="3"/>
  <c r="A780" i="3"/>
  <c r="E779" i="3"/>
  <c r="D779" i="3"/>
  <c r="C779" i="3"/>
  <c r="B779" i="3"/>
  <c r="A779" i="3"/>
  <c r="E778" i="3"/>
  <c r="D778" i="3"/>
  <c r="C778" i="3"/>
  <c r="B778" i="3"/>
  <c r="A778" i="3"/>
  <c r="E777" i="3"/>
  <c r="D777" i="3"/>
  <c r="C777" i="3"/>
  <c r="B777" i="3"/>
  <c r="A777" i="3"/>
  <c r="E776" i="3"/>
  <c r="D776" i="3"/>
  <c r="C776" i="3"/>
  <c r="B776" i="3"/>
  <c r="A776" i="3"/>
  <c r="E775" i="3"/>
  <c r="D775" i="3"/>
  <c r="C775" i="3"/>
  <c r="B775" i="3"/>
  <c r="A775" i="3"/>
  <c r="E774" i="3"/>
  <c r="D774" i="3"/>
  <c r="C774" i="3"/>
  <c r="B774" i="3"/>
  <c r="A774" i="3"/>
  <c r="E773" i="3"/>
  <c r="D773" i="3"/>
  <c r="C773" i="3"/>
  <c r="B773" i="3"/>
  <c r="A773" i="3"/>
  <c r="E772" i="3"/>
  <c r="D772" i="3"/>
  <c r="C772" i="3"/>
  <c r="B772" i="3"/>
  <c r="A772" i="3"/>
  <c r="E771" i="3"/>
  <c r="D771" i="3"/>
  <c r="C771" i="3"/>
  <c r="B771" i="3"/>
  <c r="A771" i="3"/>
  <c r="E770" i="3"/>
  <c r="D770" i="3"/>
  <c r="C770" i="3"/>
  <c r="B770" i="3"/>
  <c r="A770" i="3"/>
  <c r="E769" i="3"/>
  <c r="D769" i="3"/>
  <c r="C769" i="3"/>
  <c r="B769" i="3"/>
  <c r="A769" i="3"/>
  <c r="E768" i="3"/>
  <c r="D768" i="3"/>
  <c r="C768" i="3"/>
  <c r="B768" i="3"/>
  <c r="A768" i="3"/>
  <c r="E767" i="3"/>
  <c r="D767" i="3"/>
  <c r="C767" i="3"/>
  <c r="B767" i="3"/>
  <c r="A767" i="3"/>
  <c r="E766" i="3"/>
  <c r="D766" i="3"/>
  <c r="C766" i="3"/>
  <c r="B766" i="3"/>
  <c r="A766" i="3"/>
  <c r="E765" i="3"/>
  <c r="D765" i="3"/>
  <c r="C765" i="3"/>
  <c r="B765" i="3"/>
  <c r="A765" i="3"/>
  <c r="E764" i="3"/>
  <c r="D764" i="3"/>
  <c r="C764" i="3"/>
  <c r="B764" i="3"/>
  <c r="A764" i="3"/>
  <c r="E763" i="3"/>
  <c r="D763" i="3"/>
  <c r="C763" i="3"/>
  <c r="B763" i="3"/>
  <c r="A763" i="3"/>
  <c r="E762" i="3"/>
  <c r="D762" i="3"/>
  <c r="C762" i="3"/>
  <c r="B762" i="3"/>
  <c r="A762" i="3"/>
  <c r="E761" i="3"/>
  <c r="D761" i="3"/>
  <c r="C761" i="3"/>
  <c r="B761" i="3"/>
  <c r="A761" i="3"/>
  <c r="E760" i="3"/>
  <c r="D760" i="3"/>
  <c r="C760" i="3"/>
  <c r="B760" i="3"/>
  <c r="A760" i="3"/>
  <c r="E759" i="3"/>
  <c r="D759" i="3"/>
  <c r="C759" i="3"/>
  <c r="B759" i="3"/>
  <c r="A759" i="3"/>
  <c r="E758" i="3"/>
  <c r="D758" i="3"/>
  <c r="C758" i="3"/>
  <c r="B758" i="3"/>
  <c r="A758" i="3"/>
  <c r="E757" i="3"/>
  <c r="D757" i="3"/>
  <c r="C757" i="3"/>
  <c r="B757" i="3"/>
  <c r="A757" i="3"/>
  <c r="E756" i="3"/>
  <c r="D756" i="3"/>
  <c r="C756" i="3"/>
  <c r="B756" i="3"/>
  <c r="A756" i="3"/>
  <c r="E755" i="3"/>
  <c r="D755" i="3"/>
  <c r="C755" i="3"/>
  <c r="B755" i="3"/>
  <c r="A755" i="3"/>
  <c r="E754" i="3"/>
  <c r="D754" i="3"/>
  <c r="C754" i="3"/>
  <c r="B754" i="3"/>
  <c r="A754" i="3"/>
  <c r="E753" i="3"/>
  <c r="D753" i="3"/>
  <c r="C753" i="3"/>
  <c r="B753" i="3"/>
  <c r="A753" i="3"/>
  <c r="E752" i="3"/>
  <c r="D752" i="3"/>
  <c r="C752" i="3"/>
  <c r="B752" i="3"/>
  <c r="A752" i="3"/>
  <c r="E751" i="3"/>
  <c r="D751" i="3"/>
  <c r="C751" i="3"/>
  <c r="B751" i="3"/>
  <c r="A751" i="3"/>
  <c r="E750" i="3"/>
  <c r="D750" i="3"/>
  <c r="C750" i="3"/>
  <c r="B750" i="3"/>
  <c r="A750" i="3"/>
  <c r="E749" i="3"/>
  <c r="D749" i="3"/>
  <c r="C749" i="3"/>
  <c r="B749" i="3"/>
  <c r="A749" i="3"/>
  <c r="E748" i="3"/>
  <c r="D748" i="3"/>
  <c r="C748" i="3"/>
  <c r="B748" i="3"/>
  <c r="A748" i="3"/>
  <c r="E747" i="3"/>
  <c r="D747" i="3"/>
  <c r="C747" i="3"/>
  <c r="B747" i="3"/>
  <c r="A747" i="3"/>
  <c r="E746" i="3"/>
  <c r="D746" i="3"/>
  <c r="C746" i="3"/>
  <c r="B746" i="3"/>
  <c r="A746" i="3"/>
  <c r="E745" i="3"/>
  <c r="D745" i="3"/>
  <c r="C745" i="3"/>
  <c r="B745" i="3"/>
  <c r="A745" i="3"/>
  <c r="E744" i="3"/>
  <c r="D744" i="3"/>
  <c r="C744" i="3"/>
  <c r="B744" i="3"/>
  <c r="A744" i="3"/>
  <c r="E743" i="3"/>
  <c r="D743" i="3"/>
  <c r="C743" i="3"/>
  <c r="B743" i="3"/>
  <c r="A743" i="3"/>
  <c r="E742" i="3"/>
  <c r="D742" i="3"/>
  <c r="C742" i="3"/>
  <c r="B742" i="3"/>
  <c r="A742" i="3"/>
  <c r="E741" i="3"/>
  <c r="D741" i="3"/>
  <c r="C741" i="3"/>
  <c r="B741" i="3"/>
  <c r="A741" i="3"/>
  <c r="E740" i="3"/>
  <c r="D740" i="3"/>
  <c r="C740" i="3"/>
  <c r="B740" i="3"/>
  <c r="A740" i="3"/>
  <c r="E739" i="3"/>
  <c r="D739" i="3"/>
  <c r="C739" i="3"/>
  <c r="B739" i="3"/>
  <c r="A739" i="3"/>
  <c r="E738" i="3"/>
  <c r="D738" i="3"/>
  <c r="C738" i="3"/>
  <c r="B738" i="3"/>
  <c r="A738" i="3"/>
  <c r="E737" i="3"/>
  <c r="D737" i="3"/>
  <c r="C737" i="3"/>
  <c r="B737" i="3"/>
  <c r="A737" i="3"/>
  <c r="E736" i="3"/>
  <c r="D736" i="3"/>
  <c r="C736" i="3"/>
  <c r="B736" i="3"/>
  <c r="A736" i="3"/>
  <c r="E735" i="3"/>
  <c r="D735" i="3"/>
  <c r="C735" i="3"/>
  <c r="B735" i="3"/>
  <c r="A735" i="3"/>
  <c r="E734" i="3"/>
  <c r="D734" i="3"/>
  <c r="C734" i="3"/>
  <c r="B734" i="3"/>
  <c r="A734" i="3"/>
  <c r="E733" i="3"/>
  <c r="D733" i="3"/>
  <c r="C733" i="3"/>
  <c r="B733" i="3"/>
  <c r="A733" i="3"/>
  <c r="E732" i="3"/>
  <c r="D732" i="3"/>
  <c r="C732" i="3"/>
  <c r="B732" i="3"/>
  <c r="A732" i="3"/>
  <c r="E731" i="3"/>
  <c r="D731" i="3"/>
  <c r="C731" i="3"/>
  <c r="B731" i="3"/>
  <c r="A731" i="3"/>
  <c r="E730" i="3"/>
  <c r="D730" i="3"/>
  <c r="C730" i="3"/>
  <c r="B730" i="3"/>
  <c r="A730" i="3"/>
  <c r="E729" i="3"/>
  <c r="D729" i="3"/>
  <c r="C729" i="3"/>
  <c r="B729" i="3"/>
  <c r="A729" i="3"/>
  <c r="E728" i="3"/>
  <c r="D728" i="3"/>
  <c r="C728" i="3"/>
  <c r="B728" i="3"/>
  <c r="A728" i="3"/>
  <c r="E727" i="3"/>
  <c r="D727" i="3"/>
  <c r="C727" i="3"/>
  <c r="B727" i="3"/>
  <c r="A727" i="3"/>
  <c r="E726" i="3"/>
  <c r="D726" i="3"/>
  <c r="C726" i="3"/>
  <c r="B726" i="3"/>
  <c r="A726" i="3"/>
  <c r="E725" i="3"/>
  <c r="D725" i="3"/>
  <c r="C725" i="3"/>
  <c r="B725" i="3"/>
  <c r="A725" i="3"/>
  <c r="E724" i="3"/>
  <c r="D724" i="3"/>
  <c r="C724" i="3"/>
  <c r="B724" i="3"/>
  <c r="A724" i="3"/>
  <c r="E723" i="3"/>
  <c r="D723" i="3"/>
  <c r="C723" i="3"/>
  <c r="B723" i="3"/>
  <c r="A723" i="3"/>
  <c r="E722" i="3"/>
  <c r="D722" i="3"/>
  <c r="C722" i="3"/>
  <c r="B722" i="3"/>
  <c r="A722" i="3"/>
  <c r="E721" i="3"/>
  <c r="D721" i="3"/>
  <c r="C721" i="3"/>
  <c r="B721" i="3"/>
  <c r="A721" i="3"/>
  <c r="E720" i="3"/>
  <c r="D720" i="3"/>
  <c r="C720" i="3"/>
  <c r="B720" i="3"/>
  <c r="A720" i="3"/>
  <c r="E719" i="3"/>
  <c r="D719" i="3"/>
  <c r="C719" i="3"/>
  <c r="B719" i="3"/>
  <c r="A719" i="3"/>
  <c r="E718" i="3"/>
  <c r="D718" i="3"/>
  <c r="C718" i="3"/>
  <c r="B718" i="3"/>
  <c r="A718" i="3"/>
  <c r="E717" i="3"/>
  <c r="D717" i="3"/>
  <c r="C717" i="3"/>
  <c r="B717" i="3"/>
  <c r="A717" i="3"/>
  <c r="E716" i="3"/>
  <c r="D716" i="3"/>
  <c r="C716" i="3"/>
  <c r="B716" i="3"/>
  <c r="A716" i="3"/>
  <c r="E715" i="3"/>
  <c r="D715" i="3"/>
  <c r="C715" i="3"/>
  <c r="B715" i="3"/>
  <c r="A715" i="3"/>
  <c r="E714" i="3"/>
  <c r="D714" i="3"/>
  <c r="C714" i="3"/>
  <c r="B714" i="3"/>
  <c r="A714" i="3"/>
  <c r="E713" i="3"/>
  <c r="D713" i="3"/>
  <c r="C713" i="3"/>
  <c r="B713" i="3"/>
  <c r="A713" i="3"/>
  <c r="E712" i="3"/>
  <c r="D712" i="3"/>
  <c r="C712" i="3"/>
  <c r="B712" i="3"/>
  <c r="A712" i="3"/>
  <c r="E711" i="3"/>
  <c r="D711" i="3"/>
  <c r="C711" i="3"/>
  <c r="B711" i="3"/>
  <c r="A711" i="3"/>
  <c r="E710" i="3"/>
  <c r="D710" i="3"/>
  <c r="C710" i="3"/>
  <c r="B710" i="3"/>
  <c r="A710" i="3"/>
  <c r="E709" i="3"/>
  <c r="D709" i="3"/>
  <c r="C709" i="3"/>
  <c r="B709" i="3"/>
  <c r="A709" i="3"/>
  <c r="E708" i="3"/>
  <c r="D708" i="3"/>
  <c r="C708" i="3"/>
  <c r="B708" i="3"/>
  <c r="A708" i="3"/>
  <c r="E707" i="3"/>
  <c r="D707" i="3"/>
  <c r="C707" i="3"/>
  <c r="B707" i="3"/>
  <c r="A707" i="3"/>
  <c r="E706" i="3"/>
  <c r="D706" i="3"/>
  <c r="C706" i="3"/>
  <c r="B706" i="3"/>
  <c r="A706" i="3"/>
  <c r="E705" i="3"/>
  <c r="D705" i="3"/>
  <c r="C705" i="3"/>
  <c r="B705" i="3"/>
  <c r="A705" i="3"/>
  <c r="E704" i="3"/>
  <c r="D704" i="3"/>
  <c r="C704" i="3"/>
  <c r="B704" i="3"/>
  <c r="A704" i="3"/>
  <c r="E703" i="3"/>
  <c r="D703" i="3"/>
  <c r="C703" i="3"/>
  <c r="B703" i="3"/>
  <c r="A703" i="3"/>
  <c r="E702" i="3"/>
  <c r="D702" i="3"/>
  <c r="C702" i="3"/>
  <c r="B702" i="3"/>
  <c r="A702" i="3"/>
  <c r="E701" i="3"/>
  <c r="D701" i="3"/>
  <c r="C701" i="3"/>
  <c r="B701" i="3"/>
  <c r="A701" i="3"/>
  <c r="E700" i="3"/>
  <c r="D700" i="3"/>
  <c r="C700" i="3"/>
  <c r="B700" i="3"/>
  <c r="A700" i="3"/>
  <c r="E699" i="3"/>
  <c r="D699" i="3"/>
  <c r="C699" i="3"/>
  <c r="B699" i="3"/>
  <c r="A699" i="3"/>
  <c r="E698" i="3"/>
  <c r="D698" i="3"/>
  <c r="C698" i="3"/>
  <c r="B698" i="3"/>
  <c r="A698" i="3"/>
  <c r="E697" i="3"/>
  <c r="D697" i="3"/>
  <c r="C697" i="3"/>
  <c r="B697" i="3"/>
  <c r="A697" i="3"/>
  <c r="E696" i="3"/>
  <c r="D696" i="3"/>
  <c r="C696" i="3"/>
  <c r="B696" i="3"/>
  <c r="A696" i="3"/>
  <c r="E695" i="3"/>
  <c r="D695" i="3"/>
  <c r="C695" i="3"/>
  <c r="B695" i="3"/>
  <c r="A695" i="3"/>
  <c r="E694" i="3"/>
  <c r="D694" i="3"/>
  <c r="C694" i="3"/>
  <c r="B694" i="3"/>
  <c r="A694" i="3"/>
  <c r="E693" i="3"/>
  <c r="D693" i="3"/>
  <c r="C693" i="3"/>
  <c r="B693" i="3"/>
  <c r="A693" i="3"/>
  <c r="E692" i="3"/>
  <c r="D692" i="3"/>
  <c r="C692" i="3"/>
  <c r="B692" i="3"/>
  <c r="A692" i="3"/>
  <c r="E691" i="3"/>
  <c r="D691" i="3"/>
  <c r="C691" i="3"/>
  <c r="B691" i="3"/>
  <c r="A691" i="3"/>
  <c r="E690" i="3"/>
  <c r="D690" i="3"/>
  <c r="C690" i="3"/>
  <c r="B690" i="3"/>
  <c r="A690" i="3"/>
  <c r="E689" i="3"/>
  <c r="D689" i="3"/>
  <c r="C689" i="3"/>
  <c r="B689" i="3"/>
  <c r="A689" i="3"/>
  <c r="E688" i="3"/>
  <c r="D688" i="3"/>
  <c r="C688" i="3"/>
  <c r="B688" i="3"/>
  <c r="A688" i="3"/>
  <c r="E687" i="3"/>
  <c r="D687" i="3"/>
  <c r="C687" i="3"/>
  <c r="B687" i="3"/>
  <c r="A687" i="3"/>
  <c r="E686" i="3"/>
  <c r="D686" i="3"/>
  <c r="C686" i="3"/>
  <c r="B686" i="3"/>
  <c r="A686" i="3"/>
  <c r="E685" i="3"/>
  <c r="D685" i="3"/>
  <c r="C685" i="3"/>
  <c r="B685" i="3"/>
  <c r="A685" i="3"/>
  <c r="E684" i="3"/>
  <c r="D684" i="3"/>
  <c r="C684" i="3"/>
  <c r="B684" i="3"/>
  <c r="A684" i="3"/>
  <c r="E683" i="3"/>
  <c r="D683" i="3"/>
  <c r="C683" i="3"/>
  <c r="B683" i="3"/>
  <c r="A683" i="3"/>
  <c r="E682" i="3"/>
  <c r="D682" i="3"/>
  <c r="C682" i="3"/>
  <c r="B682" i="3"/>
  <c r="A682" i="3"/>
  <c r="E681" i="3"/>
  <c r="D681" i="3"/>
  <c r="C681" i="3"/>
  <c r="B681" i="3"/>
  <c r="A681" i="3"/>
  <c r="E680" i="3"/>
  <c r="D680" i="3"/>
  <c r="C680" i="3"/>
  <c r="B680" i="3"/>
  <c r="A680" i="3"/>
  <c r="E679" i="3"/>
  <c r="D679" i="3"/>
  <c r="C679" i="3"/>
  <c r="B679" i="3"/>
  <c r="A679" i="3"/>
  <c r="E678" i="3"/>
  <c r="D678" i="3"/>
  <c r="C678" i="3"/>
  <c r="B678" i="3"/>
  <c r="A678" i="3"/>
  <c r="E677" i="3"/>
  <c r="D677" i="3"/>
  <c r="C677" i="3"/>
  <c r="B677" i="3"/>
  <c r="A677" i="3"/>
  <c r="E676" i="3"/>
  <c r="D676" i="3"/>
  <c r="C676" i="3"/>
  <c r="B676" i="3"/>
  <c r="A676" i="3"/>
  <c r="E675" i="3"/>
  <c r="D675" i="3"/>
  <c r="C675" i="3"/>
  <c r="B675" i="3"/>
  <c r="A675" i="3"/>
  <c r="E674" i="3"/>
  <c r="D674" i="3"/>
  <c r="C674" i="3"/>
  <c r="B674" i="3"/>
  <c r="A674" i="3"/>
  <c r="E673" i="3"/>
  <c r="D673" i="3"/>
  <c r="C673" i="3"/>
  <c r="B673" i="3"/>
  <c r="A673" i="3"/>
  <c r="E672" i="3"/>
  <c r="D672" i="3"/>
  <c r="C672" i="3"/>
  <c r="B672" i="3"/>
  <c r="A672" i="3"/>
  <c r="E671" i="3"/>
  <c r="D671" i="3"/>
  <c r="C671" i="3"/>
  <c r="B671" i="3"/>
  <c r="A671" i="3"/>
  <c r="E670" i="3"/>
  <c r="D670" i="3"/>
  <c r="C670" i="3"/>
  <c r="B670" i="3"/>
  <c r="A670" i="3"/>
  <c r="E669" i="3"/>
  <c r="D669" i="3"/>
  <c r="C669" i="3"/>
  <c r="B669" i="3"/>
  <c r="A669" i="3"/>
  <c r="E668" i="3"/>
  <c r="D668" i="3"/>
  <c r="C668" i="3"/>
  <c r="B668" i="3"/>
  <c r="A668" i="3"/>
  <c r="E667" i="3"/>
  <c r="D667" i="3"/>
  <c r="C667" i="3"/>
  <c r="B667" i="3"/>
  <c r="A667" i="3"/>
  <c r="E666" i="3"/>
  <c r="D666" i="3"/>
  <c r="C666" i="3"/>
  <c r="B666" i="3"/>
  <c r="A666" i="3"/>
  <c r="E665" i="3"/>
  <c r="D665" i="3"/>
  <c r="C665" i="3"/>
  <c r="B665" i="3"/>
  <c r="A665" i="3"/>
  <c r="E664" i="3"/>
  <c r="D664" i="3"/>
  <c r="C664" i="3"/>
  <c r="B664" i="3"/>
  <c r="A664" i="3"/>
  <c r="E663" i="3"/>
  <c r="D663" i="3"/>
  <c r="C663" i="3"/>
  <c r="B663" i="3"/>
  <c r="A663" i="3"/>
  <c r="E662" i="3"/>
  <c r="D662" i="3"/>
  <c r="C662" i="3"/>
  <c r="B662" i="3"/>
  <c r="A662" i="3"/>
  <c r="E661" i="3"/>
  <c r="D661" i="3"/>
  <c r="C661" i="3"/>
  <c r="B661" i="3"/>
  <c r="A661" i="3"/>
  <c r="E660" i="3"/>
  <c r="D660" i="3"/>
  <c r="C660" i="3"/>
  <c r="B660" i="3"/>
  <c r="A660" i="3"/>
  <c r="E659" i="3"/>
  <c r="D659" i="3"/>
  <c r="C659" i="3"/>
  <c r="B659" i="3"/>
  <c r="A659" i="3"/>
  <c r="E658" i="3"/>
  <c r="D658" i="3"/>
  <c r="C658" i="3"/>
  <c r="B658" i="3"/>
  <c r="A658" i="3"/>
  <c r="E657" i="3"/>
  <c r="D657" i="3"/>
  <c r="C657" i="3"/>
  <c r="B657" i="3"/>
  <c r="A657" i="3"/>
  <c r="E656" i="3"/>
  <c r="D656" i="3"/>
  <c r="C656" i="3"/>
  <c r="B656" i="3"/>
  <c r="A656" i="3"/>
  <c r="E655" i="3"/>
  <c r="D655" i="3"/>
  <c r="C655" i="3"/>
  <c r="B655" i="3"/>
  <c r="A655" i="3"/>
  <c r="E654" i="3"/>
  <c r="D654" i="3"/>
  <c r="C654" i="3"/>
  <c r="B654" i="3"/>
  <c r="A654" i="3"/>
  <c r="E653" i="3"/>
  <c r="D653" i="3"/>
  <c r="C653" i="3"/>
  <c r="B653" i="3"/>
  <c r="A653" i="3"/>
  <c r="E652" i="3"/>
  <c r="D652" i="3"/>
  <c r="C652" i="3"/>
  <c r="B652" i="3"/>
  <c r="A652" i="3"/>
  <c r="E651" i="3"/>
  <c r="D651" i="3"/>
  <c r="C651" i="3"/>
  <c r="B651" i="3"/>
  <c r="A651" i="3"/>
  <c r="E650" i="3"/>
  <c r="D650" i="3"/>
  <c r="C650" i="3"/>
  <c r="B650" i="3"/>
  <c r="A650" i="3"/>
  <c r="E649" i="3"/>
  <c r="D649" i="3"/>
  <c r="C649" i="3"/>
  <c r="B649" i="3"/>
  <c r="A649" i="3"/>
  <c r="E648" i="3"/>
  <c r="D648" i="3"/>
  <c r="C648" i="3"/>
  <c r="B648" i="3"/>
  <c r="A648" i="3"/>
  <c r="E647" i="3"/>
  <c r="D647" i="3"/>
  <c r="C647" i="3"/>
  <c r="B647" i="3"/>
  <c r="A647" i="3"/>
  <c r="E646" i="3"/>
  <c r="D646" i="3"/>
  <c r="C646" i="3"/>
  <c r="B646" i="3"/>
  <c r="A646" i="3"/>
  <c r="E645" i="3"/>
  <c r="D645" i="3"/>
  <c r="C645" i="3"/>
  <c r="B645" i="3"/>
  <c r="A645" i="3"/>
  <c r="E644" i="3"/>
  <c r="D644" i="3"/>
  <c r="C644" i="3"/>
  <c r="B644" i="3"/>
  <c r="A644" i="3"/>
  <c r="E643" i="3"/>
  <c r="D643" i="3"/>
  <c r="C643" i="3"/>
  <c r="B643" i="3"/>
  <c r="A643" i="3"/>
  <c r="E642" i="3"/>
  <c r="D642" i="3"/>
  <c r="C642" i="3"/>
  <c r="B642" i="3"/>
  <c r="A642" i="3"/>
  <c r="E641" i="3"/>
  <c r="D641" i="3"/>
  <c r="C641" i="3"/>
  <c r="B641" i="3"/>
  <c r="A641" i="3"/>
  <c r="E640" i="3"/>
  <c r="D640" i="3"/>
  <c r="C640" i="3"/>
  <c r="B640" i="3"/>
  <c r="A640" i="3"/>
  <c r="E639" i="3"/>
  <c r="D639" i="3"/>
  <c r="C639" i="3"/>
  <c r="B639" i="3"/>
  <c r="A639" i="3"/>
  <c r="E638" i="3"/>
  <c r="D638" i="3"/>
  <c r="C638" i="3"/>
  <c r="B638" i="3"/>
  <c r="A638" i="3"/>
  <c r="E637" i="3"/>
  <c r="D637" i="3"/>
  <c r="C637" i="3"/>
  <c r="B637" i="3"/>
  <c r="A637" i="3"/>
  <c r="E636" i="3"/>
  <c r="D636" i="3"/>
  <c r="C636" i="3"/>
  <c r="B636" i="3"/>
  <c r="A636" i="3"/>
  <c r="E635" i="3"/>
  <c r="D635" i="3"/>
  <c r="C635" i="3"/>
  <c r="B635" i="3"/>
  <c r="A635" i="3"/>
  <c r="E634" i="3"/>
  <c r="D634" i="3"/>
  <c r="C634" i="3"/>
  <c r="B634" i="3"/>
  <c r="A634" i="3"/>
  <c r="E633" i="3"/>
  <c r="D633" i="3"/>
  <c r="C633" i="3"/>
  <c r="B633" i="3"/>
  <c r="A633" i="3"/>
  <c r="E632" i="3"/>
  <c r="D632" i="3"/>
  <c r="C632" i="3"/>
  <c r="B632" i="3"/>
  <c r="A632" i="3"/>
  <c r="E631" i="3"/>
  <c r="D631" i="3"/>
  <c r="C631" i="3"/>
  <c r="B631" i="3"/>
  <c r="A631" i="3"/>
  <c r="E630" i="3"/>
  <c r="D630" i="3"/>
  <c r="C630" i="3"/>
  <c r="B630" i="3"/>
  <c r="A630" i="3"/>
  <c r="E629" i="3"/>
  <c r="D629" i="3"/>
  <c r="C629" i="3"/>
  <c r="B629" i="3"/>
  <c r="A629" i="3"/>
  <c r="E628" i="3"/>
  <c r="D628" i="3"/>
  <c r="C628" i="3"/>
  <c r="B628" i="3"/>
  <c r="A628" i="3"/>
  <c r="E627" i="3"/>
  <c r="D627" i="3"/>
  <c r="C627" i="3"/>
  <c r="B627" i="3"/>
  <c r="A627" i="3"/>
  <c r="E626" i="3"/>
  <c r="D626" i="3"/>
  <c r="C626" i="3"/>
  <c r="B626" i="3"/>
  <c r="A626" i="3"/>
  <c r="E625" i="3"/>
  <c r="D625" i="3"/>
  <c r="C625" i="3"/>
  <c r="B625" i="3"/>
  <c r="A625" i="3"/>
  <c r="E624" i="3"/>
  <c r="D624" i="3"/>
  <c r="C624" i="3"/>
  <c r="B624" i="3"/>
  <c r="A624" i="3"/>
  <c r="E623" i="3"/>
  <c r="D623" i="3"/>
  <c r="C623" i="3"/>
  <c r="B623" i="3"/>
  <c r="A623" i="3"/>
  <c r="E622" i="3"/>
  <c r="D622" i="3"/>
  <c r="C622" i="3"/>
  <c r="B622" i="3"/>
  <c r="A622" i="3"/>
  <c r="E621" i="3"/>
  <c r="D621" i="3"/>
  <c r="C621" i="3"/>
  <c r="B621" i="3"/>
  <c r="A621" i="3"/>
  <c r="E620" i="3"/>
  <c r="D620" i="3"/>
  <c r="C620" i="3"/>
  <c r="B620" i="3"/>
  <c r="A620" i="3"/>
  <c r="E619" i="3"/>
  <c r="D619" i="3"/>
  <c r="C619" i="3"/>
  <c r="B619" i="3"/>
  <c r="A619" i="3"/>
  <c r="E618" i="3"/>
  <c r="D618" i="3"/>
  <c r="C618" i="3"/>
  <c r="B618" i="3"/>
  <c r="A618" i="3"/>
  <c r="E617" i="3"/>
  <c r="D617" i="3"/>
  <c r="C617" i="3"/>
  <c r="B617" i="3"/>
  <c r="A617" i="3"/>
  <c r="E616" i="3"/>
  <c r="D616" i="3"/>
  <c r="C616" i="3"/>
  <c r="B616" i="3"/>
  <c r="A616" i="3"/>
  <c r="E615" i="3"/>
  <c r="D615" i="3"/>
  <c r="C615" i="3"/>
  <c r="B615" i="3"/>
  <c r="A615" i="3"/>
  <c r="E614" i="3"/>
  <c r="D614" i="3"/>
  <c r="C614" i="3"/>
  <c r="B614" i="3"/>
  <c r="A614" i="3"/>
  <c r="E613" i="3"/>
  <c r="D613" i="3"/>
  <c r="C613" i="3"/>
  <c r="B613" i="3"/>
  <c r="A613" i="3"/>
  <c r="E612" i="3"/>
  <c r="D612" i="3"/>
  <c r="C612" i="3"/>
  <c r="B612" i="3"/>
  <c r="A612" i="3"/>
  <c r="E611" i="3"/>
  <c r="D611" i="3"/>
  <c r="C611" i="3"/>
  <c r="B611" i="3"/>
  <c r="A611" i="3"/>
  <c r="E610" i="3"/>
  <c r="D610" i="3"/>
  <c r="C610" i="3"/>
  <c r="B610" i="3"/>
  <c r="A610" i="3"/>
  <c r="E609" i="3"/>
  <c r="D609" i="3"/>
  <c r="C609" i="3"/>
  <c r="B609" i="3"/>
  <c r="A609" i="3"/>
  <c r="E608" i="3"/>
  <c r="D608" i="3"/>
  <c r="C608" i="3"/>
  <c r="B608" i="3"/>
  <c r="A608" i="3"/>
  <c r="E607" i="3"/>
  <c r="D607" i="3"/>
  <c r="C607" i="3"/>
  <c r="B607" i="3"/>
  <c r="A607" i="3"/>
  <c r="E606" i="3"/>
  <c r="D606" i="3"/>
  <c r="C606" i="3"/>
  <c r="B606" i="3"/>
  <c r="A606" i="3"/>
  <c r="E605" i="3"/>
  <c r="D605" i="3"/>
  <c r="C605" i="3"/>
  <c r="B605" i="3"/>
  <c r="A605" i="3"/>
  <c r="E604" i="3"/>
  <c r="D604" i="3"/>
  <c r="C604" i="3"/>
  <c r="B604" i="3"/>
  <c r="A604" i="3"/>
  <c r="E603" i="3"/>
  <c r="D603" i="3"/>
  <c r="C603" i="3"/>
  <c r="B603" i="3"/>
  <c r="A603" i="3"/>
  <c r="E602" i="3"/>
  <c r="D602" i="3"/>
  <c r="C602" i="3"/>
  <c r="B602" i="3"/>
  <c r="A602" i="3"/>
  <c r="E601" i="3"/>
  <c r="D601" i="3"/>
  <c r="C601" i="3"/>
  <c r="B601" i="3"/>
  <c r="A601" i="3"/>
  <c r="E600" i="3"/>
  <c r="D600" i="3"/>
  <c r="C600" i="3"/>
  <c r="B600" i="3"/>
  <c r="A600" i="3"/>
  <c r="E599" i="3"/>
  <c r="D599" i="3"/>
  <c r="C599" i="3"/>
  <c r="B599" i="3"/>
  <c r="A599" i="3"/>
  <c r="E598" i="3"/>
  <c r="D598" i="3"/>
  <c r="C598" i="3"/>
  <c r="B598" i="3"/>
  <c r="A598" i="3"/>
  <c r="E597" i="3"/>
  <c r="D597" i="3"/>
  <c r="C597" i="3"/>
  <c r="B597" i="3"/>
  <c r="A597" i="3"/>
  <c r="E596" i="3"/>
  <c r="D596" i="3"/>
  <c r="C596" i="3"/>
  <c r="B596" i="3"/>
  <c r="A596" i="3"/>
  <c r="E595" i="3"/>
  <c r="D595" i="3"/>
  <c r="C595" i="3"/>
  <c r="B595" i="3"/>
  <c r="A595" i="3"/>
  <c r="E594" i="3"/>
  <c r="D594" i="3"/>
  <c r="C594" i="3"/>
  <c r="B594" i="3"/>
  <c r="A594" i="3"/>
  <c r="E593" i="3"/>
  <c r="D593" i="3"/>
  <c r="C593" i="3"/>
  <c r="B593" i="3"/>
  <c r="A593" i="3"/>
  <c r="E592" i="3"/>
  <c r="D592" i="3"/>
  <c r="C592" i="3"/>
  <c r="B592" i="3"/>
  <c r="A592" i="3"/>
  <c r="E591" i="3"/>
  <c r="D591" i="3"/>
  <c r="C591" i="3"/>
  <c r="B591" i="3"/>
  <c r="A591" i="3"/>
  <c r="E590" i="3"/>
  <c r="D590" i="3"/>
  <c r="C590" i="3"/>
  <c r="B590" i="3"/>
  <c r="A590" i="3"/>
  <c r="E589" i="3"/>
  <c r="D589" i="3"/>
  <c r="C589" i="3"/>
  <c r="B589" i="3"/>
  <c r="A589" i="3"/>
  <c r="E588" i="3"/>
  <c r="D588" i="3"/>
  <c r="C588" i="3"/>
  <c r="B588" i="3"/>
  <c r="A588" i="3"/>
  <c r="E587" i="3"/>
  <c r="D587" i="3"/>
  <c r="C587" i="3"/>
  <c r="B587" i="3"/>
  <c r="A587" i="3"/>
  <c r="E586" i="3"/>
  <c r="D586" i="3"/>
  <c r="C586" i="3"/>
  <c r="B586" i="3"/>
  <c r="A586" i="3"/>
  <c r="E585" i="3"/>
  <c r="D585" i="3"/>
  <c r="C585" i="3"/>
  <c r="B585" i="3"/>
  <c r="A585" i="3"/>
  <c r="E584" i="3"/>
  <c r="D584" i="3"/>
  <c r="C584" i="3"/>
  <c r="B584" i="3"/>
  <c r="A584" i="3"/>
  <c r="E583" i="3"/>
  <c r="D583" i="3"/>
  <c r="C583" i="3"/>
  <c r="B583" i="3"/>
  <c r="A583" i="3"/>
  <c r="E582" i="3"/>
  <c r="D582" i="3"/>
  <c r="C582" i="3"/>
  <c r="B582" i="3"/>
  <c r="A582" i="3"/>
  <c r="E581" i="3"/>
  <c r="D581" i="3"/>
  <c r="C581" i="3"/>
  <c r="B581" i="3"/>
  <c r="A581" i="3"/>
  <c r="E580" i="3"/>
  <c r="D580" i="3"/>
  <c r="C580" i="3"/>
  <c r="B580" i="3"/>
  <c r="A580" i="3"/>
  <c r="E579" i="3"/>
  <c r="D579" i="3"/>
  <c r="C579" i="3"/>
  <c r="B579" i="3"/>
  <c r="A579" i="3"/>
  <c r="E578" i="3"/>
  <c r="D578" i="3"/>
  <c r="C578" i="3"/>
  <c r="B578" i="3"/>
  <c r="A578" i="3"/>
  <c r="E577" i="3"/>
  <c r="D577" i="3"/>
  <c r="C577" i="3"/>
  <c r="B577" i="3"/>
  <c r="A577" i="3"/>
  <c r="E576" i="3"/>
  <c r="D576" i="3"/>
  <c r="C576" i="3"/>
  <c r="B576" i="3"/>
  <c r="A576" i="3"/>
  <c r="E575" i="3"/>
  <c r="D575" i="3"/>
  <c r="C575" i="3"/>
  <c r="B575" i="3"/>
  <c r="A575" i="3"/>
  <c r="E574" i="3"/>
  <c r="D574" i="3"/>
  <c r="C574" i="3"/>
  <c r="B574" i="3"/>
  <c r="A574" i="3"/>
  <c r="E573" i="3"/>
  <c r="D573" i="3"/>
  <c r="C573" i="3"/>
  <c r="B573" i="3"/>
  <c r="A573" i="3"/>
  <c r="E572" i="3"/>
  <c r="D572" i="3"/>
  <c r="C572" i="3"/>
  <c r="B572" i="3"/>
  <c r="A572" i="3"/>
  <c r="E571" i="3"/>
  <c r="D571" i="3"/>
  <c r="C571" i="3"/>
  <c r="B571" i="3"/>
  <c r="A571" i="3"/>
  <c r="E570" i="3"/>
  <c r="D570" i="3"/>
  <c r="C570" i="3"/>
  <c r="B570" i="3"/>
  <c r="A570" i="3"/>
  <c r="E569" i="3"/>
  <c r="D569" i="3"/>
  <c r="C569" i="3"/>
  <c r="B569" i="3"/>
  <c r="A569" i="3"/>
  <c r="E568" i="3"/>
  <c r="D568" i="3"/>
  <c r="C568" i="3"/>
  <c r="B568" i="3"/>
  <c r="A568" i="3"/>
  <c r="E567" i="3"/>
  <c r="D567" i="3"/>
  <c r="C567" i="3"/>
  <c r="B567" i="3"/>
  <c r="A567" i="3"/>
  <c r="E566" i="3"/>
  <c r="D566" i="3"/>
  <c r="C566" i="3"/>
  <c r="B566" i="3"/>
  <c r="A566" i="3"/>
  <c r="E565" i="3"/>
  <c r="D565" i="3"/>
  <c r="C565" i="3"/>
  <c r="B565" i="3"/>
  <c r="A565" i="3"/>
  <c r="E564" i="3"/>
  <c r="D564" i="3"/>
  <c r="C564" i="3"/>
  <c r="B564" i="3"/>
  <c r="A564" i="3"/>
  <c r="E563" i="3"/>
  <c r="D563" i="3"/>
  <c r="C563" i="3"/>
  <c r="B563" i="3"/>
  <c r="A563" i="3"/>
  <c r="E562" i="3"/>
  <c r="D562" i="3"/>
  <c r="C562" i="3"/>
  <c r="B562" i="3"/>
  <c r="A562" i="3"/>
  <c r="E561" i="3"/>
  <c r="D561" i="3"/>
  <c r="C561" i="3"/>
  <c r="B561" i="3"/>
  <c r="A561" i="3"/>
  <c r="E560" i="3"/>
  <c r="D560" i="3"/>
  <c r="C560" i="3"/>
  <c r="B560" i="3"/>
  <c r="A560" i="3"/>
  <c r="E559" i="3"/>
  <c r="D559" i="3"/>
  <c r="C559" i="3"/>
  <c r="B559" i="3"/>
  <c r="A559" i="3"/>
  <c r="E558" i="3"/>
  <c r="D558" i="3"/>
  <c r="C558" i="3"/>
  <c r="B558" i="3"/>
  <c r="A558" i="3"/>
  <c r="E557" i="3"/>
  <c r="D557" i="3"/>
  <c r="C557" i="3"/>
  <c r="B557" i="3"/>
  <c r="A557" i="3"/>
  <c r="E556" i="3"/>
  <c r="D556" i="3"/>
  <c r="C556" i="3"/>
  <c r="B556" i="3"/>
  <c r="A556" i="3"/>
  <c r="E555" i="3"/>
  <c r="D555" i="3"/>
  <c r="C555" i="3"/>
  <c r="B555" i="3"/>
  <c r="A555" i="3"/>
  <c r="E554" i="3"/>
  <c r="D554" i="3"/>
  <c r="C554" i="3"/>
  <c r="B554" i="3"/>
  <c r="A554" i="3"/>
  <c r="E553" i="3"/>
  <c r="D553" i="3"/>
  <c r="C553" i="3"/>
  <c r="B553" i="3"/>
  <c r="A553" i="3"/>
  <c r="E552" i="3"/>
  <c r="D552" i="3"/>
  <c r="C552" i="3"/>
  <c r="B552" i="3"/>
  <c r="A552" i="3"/>
  <c r="E551" i="3"/>
  <c r="D551" i="3"/>
  <c r="C551" i="3"/>
  <c r="B551" i="3"/>
  <c r="A551" i="3"/>
  <c r="E550" i="3"/>
  <c r="D550" i="3"/>
  <c r="C550" i="3"/>
  <c r="B550" i="3"/>
  <c r="A550" i="3"/>
  <c r="E549" i="3"/>
  <c r="D549" i="3"/>
  <c r="C549" i="3"/>
  <c r="B549" i="3"/>
  <c r="A549" i="3"/>
  <c r="E548" i="3"/>
  <c r="D548" i="3"/>
  <c r="C548" i="3"/>
  <c r="B548" i="3"/>
  <c r="A548" i="3"/>
  <c r="E547" i="3"/>
  <c r="D547" i="3"/>
  <c r="C547" i="3"/>
  <c r="B547" i="3"/>
  <c r="A547" i="3"/>
  <c r="E546" i="3"/>
  <c r="D546" i="3"/>
  <c r="C546" i="3"/>
  <c r="B546" i="3"/>
  <c r="A546" i="3"/>
  <c r="E545" i="3"/>
  <c r="D545" i="3"/>
  <c r="C545" i="3"/>
  <c r="B545" i="3"/>
  <c r="A545" i="3"/>
  <c r="E544" i="3"/>
  <c r="D544" i="3"/>
  <c r="C544" i="3"/>
  <c r="B544" i="3"/>
  <c r="A544" i="3"/>
  <c r="E543" i="3"/>
  <c r="D543" i="3"/>
  <c r="C543" i="3"/>
  <c r="B543" i="3"/>
  <c r="A543" i="3"/>
  <c r="E542" i="3"/>
  <c r="D542" i="3"/>
  <c r="C542" i="3"/>
  <c r="B542" i="3"/>
  <c r="A542" i="3"/>
  <c r="E541" i="3"/>
  <c r="D541" i="3"/>
  <c r="C541" i="3"/>
  <c r="B541" i="3"/>
  <c r="A541" i="3"/>
  <c r="E540" i="3"/>
  <c r="D540" i="3"/>
  <c r="C540" i="3"/>
  <c r="B540" i="3"/>
  <c r="A540" i="3"/>
  <c r="E539" i="3"/>
  <c r="D539" i="3"/>
  <c r="C539" i="3"/>
  <c r="B539" i="3"/>
  <c r="A539" i="3"/>
  <c r="E538" i="3"/>
  <c r="D538" i="3"/>
  <c r="C538" i="3"/>
  <c r="B538" i="3"/>
  <c r="A538" i="3"/>
  <c r="E537" i="3"/>
  <c r="D537" i="3"/>
  <c r="C537" i="3"/>
  <c r="B537" i="3"/>
  <c r="A537" i="3"/>
  <c r="E536" i="3"/>
  <c r="D536" i="3"/>
  <c r="C536" i="3"/>
  <c r="B536" i="3"/>
  <c r="A536" i="3"/>
  <c r="E535" i="3"/>
  <c r="D535" i="3"/>
  <c r="C535" i="3"/>
  <c r="B535" i="3"/>
  <c r="A535" i="3"/>
  <c r="E534" i="3"/>
  <c r="D534" i="3"/>
  <c r="C534" i="3"/>
  <c r="B534" i="3"/>
  <c r="A534" i="3"/>
  <c r="E533" i="3"/>
  <c r="D533" i="3"/>
  <c r="C533" i="3"/>
  <c r="B533" i="3"/>
  <c r="A533" i="3"/>
  <c r="E532" i="3"/>
  <c r="D532" i="3"/>
  <c r="C532" i="3"/>
  <c r="B532" i="3"/>
  <c r="A532" i="3"/>
  <c r="E531" i="3"/>
  <c r="D531" i="3"/>
  <c r="C531" i="3"/>
  <c r="B531" i="3"/>
  <c r="A531" i="3"/>
  <c r="E530" i="3"/>
  <c r="D530" i="3"/>
  <c r="C530" i="3"/>
  <c r="B530" i="3"/>
  <c r="A530" i="3"/>
  <c r="E529" i="3"/>
  <c r="D529" i="3"/>
  <c r="C529" i="3"/>
  <c r="B529" i="3"/>
  <c r="A529" i="3"/>
  <c r="E528" i="3"/>
  <c r="D528" i="3"/>
  <c r="C528" i="3"/>
  <c r="B528" i="3"/>
  <c r="A528" i="3"/>
  <c r="E527" i="3"/>
  <c r="D527" i="3"/>
  <c r="C527" i="3"/>
  <c r="B527" i="3"/>
  <c r="A527" i="3"/>
  <c r="E526" i="3"/>
  <c r="D526" i="3"/>
  <c r="C526" i="3"/>
  <c r="B526" i="3"/>
  <c r="A526" i="3"/>
  <c r="E525" i="3"/>
  <c r="D525" i="3"/>
  <c r="C525" i="3"/>
  <c r="B525" i="3"/>
  <c r="A525" i="3"/>
  <c r="E524" i="3"/>
  <c r="D524" i="3"/>
  <c r="C524" i="3"/>
  <c r="B524" i="3"/>
  <c r="A524" i="3"/>
  <c r="E523" i="3"/>
  <c r="D523" i="3"/>
  <c r="C523" i="3"/>
  <c r="B523" i="3"/>
  <c r="A523" i="3"/>
  <c r="E522" i="3"/>
  <c r="D522" i="3"/>
  <c r="C522" i="3"/>
  <c r="B522" i="3"/>
  <c r="A522" i="3"/>
  <c r="E521" i="3"/>
  <c r="D521" i="3"/>
  <c r="C521" i="3"/>
  <c r="B521" i="3"/>
  <c r="A521" i="3"/>
  <c r="E520" i="3"/>
  <c r="D520" i="3"/>
  <c r="C520" i="3"/>
  <c r="B520" i="3"/>
  <c r="A520" i="3"/>
  <c r="E519" i="3"/>
  <c r="D519" i="3"/>
  <c r="C519" i="3"/>
  <c r="B519" i="3"/>
  <c r="A519" i="3"/>
  <c r="E518" i="3"/>
  <c r="D518" i="3"/>
  <c r="C518" i="3"/>
  <c r="B518" i="3"/>
  <c r="A518" i="3"/>
  <c r="E517" i="3"/>
  <c r="D517" i="3"/>
  <c r="C517" i="3"/>
  <c r="B517" i="3"/>
  <c r="A517" i="3"/>
  <c r="E516" i="3"/>
  <c r="D516" i="3"/>
  <c r="C516" i="3"/>
  <c r="B516" i="3"/>
  <c r="A516" i="3"/>
  <c r="E515" i="3"/>
  <c r="D515" i="3"/>
  <c r="C515" i="3"/>
  <c r="B515" i="3"/>
  <c r="A515" i="3"/>
  <c r="E514" i="3"/>
  <c r="D514" i="3"/>
  <c r="C514" i="3"/>
  <c r="B514" i="3"/>
  <c r="A514" i="3"/>
  <c r="E513" i="3"/>
  <c r="D513" i="3"/>
  <c r="C513" i="3"/>
  <c r="B513" i="3"/>
  <c r="A513" i="3"/>
  <c r="E512" i="3"/>
  <c r="D512" i="3"/>
  <c r="C512" i="3"/>
  <c r="B512" i="3"/>
  <c r="A512" i="3"/>
  <c r="E511" i="3"/>
  <c r="D511" i="3"/>
  <c r="C511" i="3"/>
  <c r="B511" i="3"/>
  <c r="A511" i="3"/>
  <c r="E510" i="3"/>
  <c r="D510" i="3"/>
  <c r="C510" i="3"/>
  <c r="B510" i="3"/>
  <c r="A510" i="3"/>
  <c r="E509" i="3"/>
  <c r="D509" i="3"/>
  <c r="C509" i="3"/>
  <c r="B509" i="3"/>
  <c r="A509" i="3"/>
  <c r="E508" i="3"/>
  <c r="D508" i="3"/>
  <c r="C508" i="3"/>
  <c r="B508" i="3"/>
  <c r="A508" i="3"/>
  <c r="E507" i="3"/>
  <c r="D507" i="3"/>
  <c r="C507" i="3"/>
  <c r="B507" i="3"/>
  <c r="A507" i="3"/>
  <c r="E506" i="3"/>
  <c r="D506" i="3"/>
  <c r="C506" i="3"/>
  <c r="B506" i="3"/>
  <c r="A506" i="3"/>
  <c r="E505" i="3"/>
  <c r="D505" i="3"/>
  <c r="C505" i="3"/>
  <c r="B505" i="3"/>
  <c r="A505" i="3"/>
  <c r="E504" i="3"/>
  <c r="D504" i="3"/>
  <c r="C504" i="3"/>
  <c r="B504" i="3"/>
  <c r="A504" i="3"/>
  <c r="E503" i="3"/>
  <c r="D503" i="3"/>
  <c r="C503" i="3"/>
  <c r="B503" i="3"/>
  <c r="A503" i="3"/>
  <c r="E502" i="3"/>
  <c r="D502" i="3"/>
  <c r="C502" i="3"/>
  <c r="B502" i="3"/>
  <c r="A502" i="3"/>
  <c r="E501" i="3"/>
  <c r="D501" i="3"/>
  <c r="C501" i="3"/>
  <c r="B501" i="3"/>
  <c r="A501" i="3"/>
  <c r="E500" i="3"/>
  <c r="D500" i="3"/>
  <c r="C500" i="3"/>
  <c r="B500" i="3"/>
  <c r="A500" i="3"/>
  <c r="E499" i="3"/>
  <c r="D499" i="3"/>
  <c r="C499" i="3"/>
  <c r="B499" i="3"/>
  <c r="A499" i="3"/>
  <c r="E498" i="3"/>
  <c r="D498" i="3"/>
  <c r="C498" i="3"/>
  <c r="B498" i="3"/>
  <c r="A498" i="3"/>
  <c r="E497" i="3"/>
  <c r="D497" i="3"/>
  <c r="C497" i="3"/>
  <c r="B497" i="3"/>
  <c r="A497" i="3"/>
  <c r="E496" i="3"/>
  <c r="D496" i="3"/>
  <c r="C496" i="3"/>
  <c r="B496" i="3"/>
  <c r="A496" i="3"/>
  <c r="E495" i="3"/>
  <c r="D495" i="3"/>
  <c r="C495" i="3"/>
  <c r="B495" i="3"/>
  <c r="A495" i="3"/>
  <c r="E494" i="3"/>
  <c r="D494" i="3"/>
  <c r="C494" i="3"/>
  <c r="B494" i="3"/>
  <c r="A494" i="3"/>
  <c r="E493" i="3"/>
  <c r="D493" i="3"/>
  <c r="C493" i="3"/>
  <c r="B493" i="3"/>
  <c r="A493" i="3"/>
  <c r="E492" i="3"/>
  <c r="D492" i="3"/>
  <c r="C492" i="3"/>
  <c r="B492" i="3"/>
  <c r="A492" i="3"/>
  <c r="E491" i="3"/>
  <c r="D491" i="3"/>
  <c r="C491" i="3"/>
  <c r="B491" i="3"/>
  <c r="A491" i="3"/>
  <c r="E490" i="3"/>
  <c r="D490" i="3"/>
  <c r="C490" i="3"/>
  <c r="B490" i="3"/>
  <c r="A490" i="3"/>
  <c r="E489" i="3"/>
  <c r="D489" i="3"/>
  <c r="C489" i="3"/>
  <c r="B489" i="3"/>
  <c r="A489" i="3"/>
  <c r="E488" i="3"/>
  <c r="D488" i="3"/>
  <c r="C488" i="3"/>
  <c r="B488" i="3"/>
  <c r="A488" i="3"/>
  <c r="E487" i="3"/>
  <c r="D487" i="3"/>
  <c r="C487" i="3"/>
  <c r="B487" i="3"/>
  <c r="A487" i="3"/>
  <c r="E486" i="3"/>
  <c r="D486" i="3"/>
  <c r="C486" i="3"/>
  <c r="B486" i="3"/>
  <c r="A486" i="3"/>
  <c r="E485" i="3"/>
  <c r="D485" i="3"/>
  <c r="C485" i="3"/>
  <c r="B485" i="3"/>
  <c r="A485" i="3"/>
  <c r="E484" i="3"/>
  <c r="D484" i="3"/>
  <c r="C484" i="3"/>
  <c r="B484" i="3"/>
  <c r="A484" i="3"/>
  <c r="E483" i="3"/>
  <c r="D483" i="3"/>
  <c r="C483" i="3"/>
  <c r="B483" i="3"/>
  <c r="A483" i="3"/>
  <c r="E482" i="3"/>
  <c r="D482" i="3"/>
  <c r="C482" i="3"/>
  <c r="B482" i="3"/>
  <c r="A482" i="3"/>
  <c r="E481" i="3"/>
  <c r="D481" i="3"/>
  <c r="C481" i="3"/>
  <c r="B481" i="3"/>
  <c r="A481" i="3"/>
  <c r="E480" i="3"/>
  <c r="D480" i="3"/>
  <c r="C480" i="3"/>
  <c r="B480" i="3"/>
  <c r="A480" i="3"/>
  <c r="E479" i="3"/>
  <c r="D479" i="3"/>
  <c r="C479" i="3"/>
  <c r="B479" i="3"/>
  <c r="A479" i="3"/>
  <c r="E478" i="3"/>
  <c r="D478" i="3"/>
  <c r="C478" i="3"/>
  <c r="B478" i="3"/>
  <c r="A478" i="3"/>
  <c r="E477" i="3"/>
  <c r="D477" i="3"/>
  <c r="C477" i="3"/>
  <c r="B477" i="3"/>
  <c r="A477" i="3"/>
  <c r="E476" i="3"/>
  <c r="D476" i="3"/>
  <c r="C476" i="3"/>
  <c r="B476" i="3"/>
  <c r="A476" i="3"/>
  <c r="E475" i="3"/>
  <c r="D475" i="3"/>
  <c r="C475" i="3"/>
  <c r="B475" i="3"/>
  <c r="A475" i="3"/>
  <c r="E474" i="3"/>
  <c r="D474" i="3"/>
  <c r="C474" i="3"/>
  <c r="B474" i="3"/>
  <c r="A474" i="3"/>
  <c r="E473" i="3"/>
  <c r="D473" i="3"/>
  <c r="C473" i="3"/>
  <c r="B473" i="3"/>
  <c r="A473" i="3"/>
  <c r="E472" i="3"/>
  <c r="D472" i="3"/>
  <c r="C472" i="3"/>
  <c r="B472" i="3"/>
  <c r="A472" i="3"/>
  <c r="E471" i="3"/>
  <c r="D471" i="3"/>
  <c r="C471" i="3"/>
  <c r="B471" i="3"/>
  <c r="A471" i="3"/>
  <c r="E470" i="3"/>
  <c r="D470" i="3"/>
  <c r="C470" i="3"/>
  <c r="B470" i="3"/>
  <c r="A470" i="3"/>
  <c r="E469" i="3"/>
  <c r="D469" i="3"/>
  <c r="C469" i="3"/>
  <c r="B469" i="3"/>
  <c r="A469" i="3"/>
  <c r="E468" i="3"/>
  <c r="D468" i="3"/>
  <c r="C468" i="3"/>
  <c r="B468" i="3"/>
  <c r="A468" i="3"/>
  <c r="E467" i="3"/>
  <c r="D467" i="3"/>
  <c r="C467" i="3"/>
  <c r="B467" i="3"/>
  <c r="A467" i="3"/>
  <c r="E466" i="3"/>
  <c r="D466" i="3"/>
  <c r="C466" i="3"/>
  <c r="B466" i="3"/>
  <c r="A466" i="3"/>
  <c r="E465" i="3"/>
  <c r="D465" i="3"/>
  <c r="C465" i="3"/>
  <c r="B465" i="3"/>
  <c r="A465" i="3"/>
  <c r="E464" i="3"/>
  <c r="D464" i="3"/>
  <c r="C464" i="3"/>
  <c r="B464" i="3"/>
  <c r="A464" i="3"/>
  <c r="E463" i="3"/>
  <c r="D463" i="3"/>
  <c r="C463" i="3"/>
  <c r="B463" i="3"/>
  <c r="A463" i="3"/>
  <c r="E462" i="3"/>
  <c r="D462" i="3"/>
  <c r="C462" i="3"/>
  <c r="B462" i="3"/>
  <c r="A462" i="3"/>
  <c r="E461" i="3"/>
  <c r="D461" i="3"/>
  <c r="C461" i="3"/>
  <c r="B461" i="3"/>
  <c r="A461" i="3"/>
  <c r="E460" i="3"/>
  <c r="D460" i="3"/>
  <c r="C460" i="3"/>
  <c r="B460" i="3"/>
  <c r="A460" i="3"/>
  <c r="E459" i="3"/>
  <c r="D459" i="3"/>
  <c r="C459" i="3"/>
  <c r="B459" i="3"/>
  <c r="A459" i="3"/>
  <c r="E458" i="3"/>
  <c r="D458" i="3"/>
  <c r="C458" i="3"/>
  <c r="B458" i="3"/>
  <c r="A458" i="3"/>
  <c r="E457" i="3"/>
  <c r="D457" i="3"/>
  <c r="C457" i="3"/>
  <c r="B457" i="3"/>
  <c r="A457" i="3"/>
  <c r="E456" i="3"/>
  <c r="D456" i="3"/>
  <c r="C456" i="3"/>
  <c r="B456" i="3"/>
  <c r="A456" i="3"/>
  <c r="E455" i="3"/>
  <c r="D455" i="3"/>
  <c r="C455" i="3"/>
  <c r="B455" i="3"/>
  <c r="A455" i="3"/>
  <c r="E454" i="3"/>
  <c r="D454" i="3"/>
  <c r="C454" i="3"/>
  <c r="B454" i="3"/>
  <c r="A454" i="3"/>
  <c r="E453" i="3"/>
  <c r="D453" i="3"/>
  <c r="C453" i="3"/>
  <c r="B453" i="3"/>
  <c r="A453" i="3"/>
  <c r="E452" i="3"/>
  <c r="D452" i="3"/>
  <c r="C452" i="3"/>
  <c r="B452" i="3"/>
  <c r="A452" i="3"/>
  <c r="E451" i="3"/>
  <c r="D451" i="3"/>
  <c r="C451" i="3"/>
  <c r="B451" i="3"/>
  <c r="A451" i="3"/>
  <c r="E450" i="3"/>
  <c r="D450" i="3"/>
  <c r="C450" i="3"/>
  <c r="B450" i="3"/>
  <c r="A450" i="3"/>
  <c r="E449" i="3"/>
  <c r="D449" i="3"/>
  <c r="C449" i="3"/>
  <c r="B449" i="3"/>
  <c r="A449" i="3"/>
  <c r="E448" i="3"/>
  <c r="D448" i="3"/>
  <c r="C448" i="3"/>
  <c r="B448" i="3"/>
  <c r="A448" i="3"/>
  <c r="E447" i="3"/>
  <c r="D447" i="3"/>
  <c r="C447" i="3"/>
  <c r="B447" i="3"/>
  <c r="A447" i="3"/>
  <c r="E446" i="3"/>
  <c r="D446" i="3"/>
  <c r="C446" i="3"/>
  <c r="B446" i="3"/>
  <c r="A446" i="3"/>
  <c r="E445" i="3"/>
  <c r="D445" i="3"/>
  <c r="C445" i="3"/>
  <c r="B445" i="3"/>
  <c r="A445" i="3"/>
  <c r="E444" i="3"/>
  <c r="D444" i="3"/>
  <c r="C444" i="3"/>
  <c r="B444" i="3"/>
  <c r="A444" i="3"/>
  <c r="E443" i="3"/>
  <c r="D443" i="3"/>
  <c r="C443" i="3"/>
  <c r="B443" i="3"/>
  <c r="A443" i="3"/>
  <c r="E442" i="3"/>
  <c r="D442" i="3"/>
  <c r="C442" i="3"/>
  <c r="B442" i="3"/>
  <c r="A442" i="3"/>
  <c r="E441" i="3"/>
  <c r="D441" i="3"/>
  <c r="C441" i="3"/>
  <c r="B441" i="3"/>
  <c r="A441" i="3"/>
  <c r="E440" i="3"/>
  <c r="D440" i="3"/>
  <c r="C440" i="3"/>
  <c r="B440" i="3"/>
  <c r="A440" i="3"/>
  <c r="E439" i="3"/>
  <c r="D439" i="3"/>
  <c r="C439" i="3"/>
  <c r="B439" i="3"/>
  <c r="A439" i="3"/>
  <c r="E438" i="3"/>
  <c r="D438" i="3"/>
  <c r="C438" i="3"/>
  <c r="B438" i="3"/>
  <c r="A438" i="3"/>
  <c r="E437" i="3"/>
  <c r="D437" i="3"/>
  <c r="C437" i="3"/>
  <c r="B437" i="3"/>
  <c r="A437" i="3"/>
  <c r="E436" i="3"/>
  <c r="D436" i="3"/>
  <c r="C436" i="3"/>
  <c r="B436" i="3"/>
  <c r="A436" i="3"/>
  <c r="E435" i="3"/>
  <c r="D435" i="3"/>
  <c r="C435" i="3"/>
  <c r="B435" i="3"/>
  <c r="A435" i="3"/>
  <c r="E434" i="3"/>
  <c r="D434" i="3"/>
  <c r="C434" i="3"/>
  <c r="B434" i="3"/>
  <c r="A434" i="3"/>
  <c r="E433" i="3"/>
  <c r="D433" i="3"/>
  <c r="C433" i="3"/>
  <c r="B433" i="3"/>
  <c r="A433" i="3"/>
  <c r="E432" i="3"/>
  <c r="D432" i="3"/>
  <c r="C432" i="3"/>
  <c r="B432" i="3"/>
  <c r="A432" i="3"/>
  <c r="E431" i="3"/>
  <c r="D431" i="3"/>
  <c r="C431" i="3"/>
  <c r="B431" i="3"/>
  <c r="A431" i="3"/>
  <c r="E430" i="3"/>
  <c r="D430" i="3"/>
  <c r="C430" i="3"/>
  <c r="B430" i="3"/>
  <c r="A430" i="3"/>
  <c r="E429" i="3"/>
  <c r="D429" i="3"/>
  <c r="C429" i="3"/>
  <c r="B429" i="3"/>
  <c r="A429" i="3"/>
  <c r="E428" i="3"/>
  <c r="D428" i="3"/>
  <c r="C428" i="3"/>
  <c r="B428" i="3"/>
  <c r="A428" i="3"/>
  <c r="E427" i="3"/>
  <c r="D427" i="3"/>
  <c r="C427" i="3"/>
  <c r="B427" i="3"/>
  <c r="A427" i="3"/>
  <c r="E426" i="3"/>
  <c r="D426" i="3"/>
  <c r="C426" i="3"/>
  <c r="B426" i="3"/>
  <c r="A426" i="3"/>
  <c r="E425" i="3"/>
  <c r="D425" i="3"/>
  <c r="C425" i="3"/>
  <c r="B425" i="3"/>
  <c r="A425" i="3"/>
  <c r="E424" i="3"/>
  <c r="D424" i="3"/>
  <c r="C424" i="3"/>
  <c r="B424" i="3"/>
  <c r="A424" i="3"/>
  <c r="E423" i="3"/>
  <c r="D423" i="3"/>
  <c r="C423" i="3"/>
  <c r="B423" i="3"/>
  <c r="A423" i="3"/>
  <c r="E422" i="3"/>
  <c r="D422" i="3"/>
  <c r="C422" i="3"/>
  <c r="B422" i="3"/>
  <c r="A422" i="3"/>
  <c r="E421" i="3"/>
  <c r="D421" i="3"/>
  <c r="C421" i="3"/>
  <c r="B421" i="3"/>
  <c r="A421" i="3"/>
  <c r="E420" i="3"/>
  <c r="D420" i="3"/>
  <c r="C420" i="3"/>
  <c r="B420" i="3"/>
  <c r="A420" i="3"/>
  <c r="E419" i="3"/>
  <c r="D419" i="3"/>
  <c r="C419" i="3"/>
  <c r="B419" i="3"/>
  <c r="A419" i="3"/>
  <c r="E418" i="3"/>
  <c r="D418" i="3"/>
  <c r="C418" i="3"/>
  <c r="B418" i="3"/>
  <c r="A418" i="3"/>
  <c r="E417" i="3"/>
  <c r="D417" i="3"/>
  <c r="C417" i="3"/>
  <c r="B417" i="3"/>
  <c r="A417" i="3"/>
  <c r="E416" i="3"/>
  <c r="D416" i="3"/>
  <c r="C416" i="3"/>
  <c r="B416" i="3"/>
  <c r="A416" i="3"/>
  <c r="E415" i="3"/>
  <c r="D415" i="3"/>
  <c r="C415" i="3"/>
  <c r="B415" i="3"/>
  <c r="A415" i="3"/>
  <c r="E414" i="3"/>
  <c r="D414" i="3"/>
  <c r="C414" i="3"/>
  <c r="B414" i="3"/>
  <c r="A414" i="3"/>
  <c r="E413" i="3"/>
  <c r="D413" i="3"/>
  <c r="C413" i="3"/>
  <c r="B413" i="3"/>
  <c r="A413" i="3"/>
  <c r="E412" i="3"/>
  <c r="D412" i="3"/>
  <c r="C412" i="3"/>
  <c r="B412" i="3"/>
  <c r="A412" i="3"/>
  <c r="E411" i="3"/>
  <c r="D411" i="3"/>
  <c r="C411" i="3"/>
  <c r="B411" i="3"/>
  <c r="A411" i="3"/>
  <c r="E410" i="3"/>
  <c r="D410" i="3"/>
  <c r="C410" i="3"/>
  <c r="B410" i="3"/>
  <c r="A410" i="3"/>
  <c r="E409" i="3"/>
  <c r="D409" i="3"/>
  <c r="C409" i="3"/>
  <c r="B409" i="3"/>
  <c r="A409" i="3"/>
  <c r="E408" i="3"/>
  <c r="D408" i="3"/>
  <c r="C408" i="3"/>
  <c r="B408" i="3"/>
  <c r="A408" i="3"/>
  <c r="E407" i="3"/>
  <c r="D407" i="3"/>
  <c r="C407" i="3"/>
  <c r="B407" i="3"/>
  <c r="A407" i="3"/>
  <c r="E406" i="3"/>
  <c r="D406" i="3"/>
  <c r="C406" i="3"/>
  <c r="B406" i="3"/>
  <c r="A406" i="3"/>
  <c r="E405" i="3"/>
  <c r="D405" i="3"/>
  <c r="C405" i="3"/>
  <c r="B405" i="3"/>
  <c r="A405" i="3"/>
  <c r="E404" i="3"/>
  <c r="D404" i="3"/>
  <c r="C404" i="3"/>
  <c r="B404" i="3"/>
  <c r="A404" i="3"/>
  <c r="E403" i="3"/>
  <c r="D403" i="3"/>
  <c r="C403" i="3"/>
  <c r="B403" i="3"/>
  <c r="A403" i="3"/>
  <c r="E402" i="3"/>
  <c r="D402" i="3"/>
  <c r="C402" i="3"/>
  <c r="B402" i="3"/>
  <c r="A402" i="3"/>
  <c r="E401" i="3"/>
  <c r="D401" i="3"/>
  <c r="C401" i="3"/>
  <c r="B401" i="3"/>
  <c r="A401" i="3"/>
  <c r="E400" i="3"/>
  <c r="D400" i="3"/>
  <c r="C400" i="3"/>
  <c r="B400" i="3"/>
  <c r="A400" i="3"/>
  <c r="E399" i="3"/>
  <c r="D399" i="3"/>
  <c r="C399" i="3"/>
  <c r="B399" i="3"/>
  <c r="A399" i="3"/>
  <c r="E398" i="3"/>
  <c r="D398" i="3"/>
  <c r="C398" i="3"/>
  <c r="B398" i="3"/>
  <c r="A398" i="3"/>
  <c r="E397" i="3"/>
  <c r="D397" i="3"/>
  <c r="C397" i="3"/>
  <c r="B397" i="3"/>
  <c r="A397" i="3"/>
  <c r="E396" i="3"/>
  <c r="D396" i="3"/>
  <c r="C396" i="3"/>
  <c r="B396" i="3"/>
  <c r="A396" i="3"/>
  <c r="E395" i="3"/>
  <c r="D395" i="3"/>
  <c r="C395" i="3"/>
  <c r="B395" i="3"/>
  <c r="A395" i="3"/>
  <c r="E394" i="3"/>
  <c r="D394" i="3"/>
  <c r="C394" i="3"/>
  <c r="B394" i="3"/>
  <c r="A394" i="3"/>
  <c r="E393" i="3"/>
  <c r="D393" i="3"/>
  <c r="C393" i="3"/>
  <c r="B393" i="3"/>
  <c r="A393" i="3"/>
  <c r="E392" i="3"/>
  <c r="D392" i="3"/>
  <c r="C392" i="3"/>
  <c r="B392" i="3"/>
  <c r="A392" i="3"/>
  <c r="E391" i="3"/>
  <c r="D391" i="3"/>
  <c r="C391" i="3"/>
  <c r="B391" i="3"/>
  <c r="A391" i="3"/>
  <c r="E390" i="3"/>
  <c r="D390" i="3"/>
  <c r="C390" i="3"/>
  <c r="B390" i="3"/>
  <c r="A390" i="3"/>
  <c r="E389" i="3"/>
  <c r="D389" i="3"/>
  <c r="C389" i="3"/>
  <c r="B389" i="3"/>
  <c r="A389" i="3"/>
  <c r="E388" i="3"/>
  <c r="D388" i="3"/>
  <c r="C388" i="3"/>
  <c r="B388" i="3"/>
  <c r="A388" i="3"/>
  <c r="E387" i="3"/>
  <c r="D387" i="3"/>
  <c r="C387" i="3"/>
  <c r="B387" i="3"/>
  <c r="A387" i="3"/>
  <c r="E386" i="3"/>
  <c r="D386" i="3"/>
  <c r="C386" i="3"/>
  <c r="B386" i="3"/>
  <c r="A386" i="3"/>
  <c r="E385" i="3"/>
  <c r="D385" i="3"/>
  <c r="C385" i="3"/>
  <c r="B385" i="3"/>
  <c r="A385" i="3"/>
  <c r="E384" i="3"/>
  <c r="D384" i="3"/>
  <c r="C384" i="3"/>
  <c r="B384" i="3"/>
  <c r="A384" i="3"/>
  <c r="E383" i="3"/>
  <c r="D383" i="3"/>
  <c r="C383" i="3"/>
  <c r="B383" i="3"/>
  <c r="A383" i="3"/>
  <c r="E382" i="3"/>
  <c r="D382" i="3"/>
  <c r="C382" i="3"/>
  <c r="B382" i="3"/>
  <c r="A382" i="3"/>
  <c r="E381" i="3"/>
  <c r="D381" i="3"/>
  <c r="C381" i="3"/>
  <c r="B381" i="3"/>
  <c r="A381" i="3"/>
  <c r="E380" i="3"/>
  <c r="D380" i="3"/>
  <c r="C380" i="3"/>
  <c r="B380" i="3"/>
  <c r="A380" i="3"/>
  <c r="E379" i="3"/>
  <c r="D379" i="3"/>
  <c r="C379" i="3"/>
  <c r="B379" i="3"/>
  <c r="A379" i="3"/>
  <c r="E378" i="3"/>
  <c r="D378" i="3"/>
  <c r="C378" i="3"/>
  <c r="B378" i="3"/>
  <c r="A378" i="3"/>
  <c r="E377" i="3"/>
  <c r="D377" i="3"/>
  <c r="C377" i="3"/>
  <c r="B377" i="3"/>
  <c r="A377" i="3"/>
  <c r="E376" i="3"/>
  <c r="D376" i="3"/>
  <c r="C376" i="3"/>
  <c r="B376" i="3"/>
  <c r="A376" i="3"/>
  <c r="E375" i="3"/>
  <c r="D375" i="3"/>
  <c r="C375" i="3"/>
  <c r="B375" i="3"/>
  <c r="A375" i="3"/>
  <c r="E374" i="3"/>
  <c r="D374" i="3"/>
  <c r="C374" i="3"/>
  <c r="B374" i="3"/>
  <c r="A374" i="3"/>
  <c r="E373" i="3"/>
  <c r="D373" i="3"/>
  <c r="C373" i="3"/>
  <c r="B373" i="3"/>
  <c r="A373" i="3"/>
  <c r="E372" i="3"/>
  <c r="D372" i="3"/>
  <c r="C372" i="3"/>
  <c r="B372" i="3"/>
  <c r="A372" i="3"/>
  <c r="E371" i="3"/>
  <c r="D371" i="3"/>
  <c r="C371" i="3"/>
  <c r="B371" i="3"/>
  <c r="A371" i="3"/>
  <c r="E370" i="3"/>
  <c r="D370" i="3"/>
  <c r="C370" i="3"/>
  <c r="B370" i="3"/>
  <c r="A370" i="3"/>
  <c r="E369" i="3"/>
  <c r="D369" i="3"/>
  <c r="C369" i="3"/>
  <c r="B369" i="3"/>
  <c r="A369" i="3"/>
  <c r="E368" i="3"/>
  <c r="D368" i="3"/>
  <c r="C368" i="3"/>
  <c r="B368" i="3"/>
  <c r="A368" i="3"/>
  <c r="E367" i="3"/>
  <c r="D367" i="3"/>
  <c r="C367" i="3"/>
  <c r="B367" i="3"/>
  <c r="A367" i="3"/>
  <c r="E366" i="3"/>
  <c r="D366" i="3"/>
  <c r="C366" i="3"/>
  <c r="B366" i="3"/>
  <c r="A366" i="3"/>
  <c r="E365" i="3"/>
  <c r="D365" i="3"/>
  <c r="C365" i="3"/>
  <c r="B365" i="3"/>
  <c r="A365" i="3"/>
  <c r="E364" i="3"/>
  <c r="D364" i="3"/>
  <c r="C364" i="3"/>
  <c r="B364" i="3"/>
  <c r="A364" i="3"/>
  <c r="E363" i="3"/>
  <c r="D363" i="3"/>
  <c r="C363" i="3"/>
  <c r="B363" i="3"/>
  <c r="A363" i="3"/>
  <c r="E362" i="3"/>
  <c r="D362" i="3"/>
  <c r="C362" i="3"/>
  <c r="B362" i="3"/>
  <c r="A362" i="3"/>
  <c r="E361" i="3"/>
  <c r="D361" i="3"/>
  <c r="C361" i="3"/>
  <c r="B361" i="3"/>
  <c r="A361" i="3"/>
  <c r="E360" i="3"/>
  <c r="D360" i="3"/>
  <c r="C360" i="3"/>
  <c r="B360" i="3"/>
  <c r="A360" i="3"/>
  <c r="E359" i="3"/>
  <c r="D359" i="3"/>
  <c r="C359" i="3"/>
  <c r="B359" i="3"/>
  <c r="A359" i="3"/>
  <c r="E358" i="3"/>
  <c r="D358" i="3"/>
  <c r="C358" i="3"/>
  <c r="B358" i="3"/>
  <c r="A358" i="3"/>
  <c r="E357" i="3"/>
  <c r="D357" i="3"/>
  <c r="C357" i="3"/>
  <c r="B357" i="3"/>
  <c r="A357" i="3"/>
  <c r="E356" i="3"/>
  <c r="D356" i="3"/>
  <c r="C356" i="3"/>
  <c r="B356" i="3"/>
  <c r="A356" i="3"/>
  <c r="E355" i="3"/>
  <c r="D355" i="3"/>
  <c r="C355" i="3"/>
  <c r="B355" i="3"/>
  <c r="A355" i="3"/>
  <c r="E354" i="3"/>
  <c r="D354" i="3"/>
  <c r="C354" i="3"/>
  <c r="B354" i="3"/>
  <c r="A354" i="3"/>
  <c r="E353" i="3"/>
  <c r="D353" i="3"/>
  <c r="C353" i="3"/>
  <c r="B353" i="3"/>
  <c r="A353" i="3"/>
  <c r="E352" i="3"/>
  <c r="D352" i="3"/>
  <c r="C352" i="3"/>
  <c r="B352" i="3"/>
  <c r="A352" i="3"/>
  <c r="E351" i="3"/>
  <c r="D351" i="3"/>
  <c r="C351" i="3"/>
  <c r="B351" i="3"/>
  <c r="A351" i="3"/>
  <c r="E350" i="3"/>
  <c r="D350" i="3"/>
  <c r="C350" i="3"/>
  <c r="B350" i="3"/>
  <c r="A350" i="3"/>
  <c r="E349" i="3"/>
  <c r="D349" i="3"/>
  <c r="C349" i="3"/>
  <c r="B349" i="3"/>
  <c r="A349" i="3"/>
  <c r="E348" i="3"/>
  <c r="D348" i="3"/>
  <c r="C348" i="3"/>
  <c r="B348" i="3"/>
  <c r="A348" i="3"/>
  <c r="E347" i="3"/>
  <c r="D347" i="3"/>
  <c r="C347" i="3"/>
  <c r="B347" i="3"/>
  <c r="A347" i="3"/>
  <c r="E346" i="3"/>
  <c r="D346" i="3"/>
  <c r="C346" i="3"/>
  <c r="B346" i="3"/>
  <c r="A346" i="3"/>
  <c r="E345" i="3"/>
  <c r="D345" i="3"/>
  <c r="C345" i="3"/>
  <c r="B345" i="3"/>
  <c r="A345" i="3"/>
  <c r="E344" i="3"/>
  <c r="D344" i="3"/>
  <c r="C344" i="3"/>
  <c r="B344" i="3"/>
  <c r="A344" i="3"/>
  <c r="E343" i="3"/>
  <c r="D343" i="3"/>
  <c r="C343" i="3"/>
  <c r="B343" i="3"/>
  <c r="A343" i="3"/>
  <c r="E342" i="3"/>
  <c r="D342" i="3"/>
  <c r="C342" i="3"/>
  <c r="B342" i="3"/>
  <c r="A342" i="3"/>
  <c r="E341" i="3"/>
  <c r="D341" i="3"/>
  <c r="C341" i="3"/>
  <c r="B341" i="3"/>
  <c r="A341" i="3"/>
  <c r="E340" i="3"/>
  <c r="D340" i="3"/>
  <c r="C340" i="3"/>
  <c r="B340" i="3"/>
  <c r="A340" i="3"/>
  <c r="E339" i="3"/>
  <c r="D339" i="3"/>
  <c r="C339" i="3"/>
  <c r="B339" i="3"/>
  <c r="A339" i="3"/>
  <c r="E338" i="3"/>
  <c r="D338" i="3"/>
  <c r="C338" i="3"/>
  <c r="B338" i="3"/>
  <c r="A338" i="3"/>
  <c r="E337" i="3"/>
  <c r="D337" i="3"/>
  <c r="C337" i="3"/>
  <c r="B337" i="3"/>
  <c r="A337" i="3"/>
  <c r="E336" i="3"/>
  <c r="D336" i="3"/>
  <c r="C336" i="3"/>
  <c r="B336" i="3"/>
  <c r="A336" i="3"/>
  <c r="E335" i="3"/>
  <c r="D335" i="3"/>
  <c r="C335" i="3"/>
  <c r="B335" i="3"/>
  <c r="A335" i="3"/>
  <c r="E334" i="3"/>
  <c r="D334" i="3"/>
  <c r="C334" i="3"/>
  <c r="B334" i="3"/>
  <c r="A334" i="3"/>
  <c r="E333" i="3"/>
  <c r="D333" i="3"/>
  <c r="C333" i="3"/>
  <c r="B333" i="3"/>
  <c r="A333" i="3"/>
  <c r="E332" i="3"/>
  <c r="D332" i="3"/>
  <c r="C332" i="3"/>
  <c r="B332" i="3"/>
  <c r="A332" i="3"/>
  <c r="E331" i="3"/>
  <c r="D331" i="3"/>
  <c r="C331" i="3"/>
  <c r="B331" i="3"/>
  <c r="A331" i="3"/>
  <c r="E330" i="3"/>
  <c r="D330" i="3"/>
  <c r="C330" i="3"/>
  <c r="B330" i="3"/>
  <c r="A330" i="3"/>
  <c r="E329" i="3"/>
  <c r="D329" i="3"/>
  <c r="C329" i="3"/>
  <c r="B329" i="3"/>
  <c r="A329" i="3"/>
  <c r="E328" i="3"/>
  <c r="D328" i="3"/>
  <c r="C328" i="3"/>
  <c r="B328" i="3"/>
  <c r="A328" i="3"/>
  <c r="E327" i="3"/>
  <c r="D327" i="3"/>
  <c r="C327" i="3"/>
  <c r="B327" i="3"/>
  <c r="A327" i="3"/>
  <c r="E326" i="3"/>
  <c r="D326" i="3"/>
  <c r="C326" i="3"/>
  <c r="B326" i="3"/>
  <c r="A326" i="3"/>
  <c r="E325" i="3"/>
  <c r="D325" i="3"/>
  <c r="C325" i="3"/>
  <c r="B325" i="3"/>
  <c r="A325" i="3"/>
  <c r="E324" i="3"/>
  <c r="D324" i="3"/>
  <c r="C324" i="3"/>
  <c r="B324" i="3"/>
  <c r="A324" i="3"/>
  <c r="E323" i="3"/>
  <c r="D323" i="3"/>
  <c r="C323" i="3"/>
  <c r="B323" i="3"/>
  <c r="A323" i="3"/>
  <c r="E322" i="3"/>
  <c r="D322" i="3"/>
  <c r="C322" i="3"/>
  <c r="B322" i="3"/>
  <c r="A322" i="3"/>
  <c r="E321" i="3"/>
  <c r="D321" i="3"/>
  <c r="C321" i="3"/>
  <c r="B321" i="3"/>
  <c r="A321" i="3"/>
  <c r="E320" i="3"/>
  <c r="D320" i="3"/>
  <c r="C320" i="3"/>
  <c r="B320" i="3"/>
  <c r="A320" i="3"/>
  <c r="E319" i="3"/>
  <c r="D319" i="3"/>
  <c r="C319" i="3"/>
  <c r="B319" i="3"/>
  <c r="A319" i="3"/>
  <c r="E318" i="3"/>
  <c r="D318" i="3"/>
  <c r="C318" i="3"/>
  <c r="B318" i="3"/>
  <c r="A318" i="3"/>
  <c r="E317" i="3"/>
  <c r="D317" i="3"/>
  <c r="C317" i="3"/>
  <c r="B317" i="3"/>
  <c r="A317" i="3"/>
  <c r="E316" i="3"/>
  <c r="D316" i="3"/>
  <c r="C316" i="3"/>
  <c r="B316" i="3"/>
  <c r="A316" i="3"/>
  <c r="E315" i="3"/>
  <c r="D315" i="3"/>
  <c r="C315" i="3"/>
  <c r="B315" i="3"/>
  <c r="A315" i="3"/>
  <c r="E314" i="3"/>
  <c r="D314" i="3"/>
  <c r="C314" i="3"/>
  <c r="B314" i="3"/>
  <c r="A314" i="3"/>
  <c r="E313" i="3"/>
  <c r="D313" i="3"/>
  <c r="C313" i="3"/>
  <c r="B313" i="3"/>
  <c r="A313" i="3"/>
  <c r="E312" i="3"/>
  <c r="D312" i="3"/>
  <c r="C312" i="3"/>
  <c r="B312" i="3"/>
  <c r="A312" i="3"/>
  <c r="E311" i="3"/>
  <c r="D311" i="3"/>
  <c r="C311" i="3"/>
  <c r="B311" i="3"/>
  <c r="A311" i="3"/>
  <c r="E310" i="3"/>
  <c r="D310" i="3"/>
  <c r="C310" i="3"/>
  <c r="B310" i="3"/>
  <c r="A310" i="3"/>
  <c r="E309" i="3"/>
  <c r="D309" i="3"/>
  <c r="C309" i="3"/>
  <c r="B309" i="3"/>
  <c r="A309" i="3"/>
  <c r="E308" i="3"/>
  <c r="D308" i="3"/>
  <c r="C308" i="3"/>
  <c r="B308" i="3"/>
  <c r="A308" i="3"/>
  <c r="E307" i="3"/>
  <c r="D307" i="3"/>
  <c r="C307" i="3"/>
  <c r="B307" i="3"/>
  <c r="A307" i="3"/>
  <c r="E306" i="3"/>
  <c r="D306" i="3"/>
  <c r="C306" i="3"/>
  <c r="B306" i="3"/>
  <c r="A306" i="3"/>
  <c r="E305" i="3"/>
  <c r="D305" i="3"/>
  <c r="C305" i="3"/>
  <c r="B305" i="3"/>
  <c r="A305" i="3"/>
  <c r="E304" i="3"/>
  <c r="D304" i="3"/>
  <c r="C304" i="3"/>
  <c r="B304" i="3"/>
  <c r="A304" i="3"/>
  <c r="E303" i="3"/>
  <c r="D303" i="3"/>
  <c r="C303" i="3"/>
  <c r="B303" i="3"/>
  <c r="A303" i="3"/>
  <c r="E302" i="3"/>
  <c r="D302" i="3"/>
  <c r="C302" i="3"/>
  <c r="B302" i="3"/>
  <c r="A302" i="3"/>
  <c r="E301" i="3"/>
  <c r="D301" i="3"/>
  <c r="C301" i="3"/>
  <c r="B301" i="3"/>
  <c r="A301" i="3"/>
  <c r="E300" i="3"/>
  <c r="D300" i="3"/>
  <c r="C300" i="3"/>
  <c r="B300" i="3"/>
  <c r="A300" i="3"/>
  <c r="E299" i="3"/>
  <c r="D299" i="3"/>
  <c r="C299" i="3"/>
  <c r="B299" i="3"/>
  <c r="A299" i="3"/>
  <c r="E298" i="3"/>
  <c r="D298" i="3"/>
  <c r="C298" i="3"/>
  <c r="B298" i="3"/>
  <c r="A298" i="3"/>
  <c r="E297" i="3"/>
  <c r="D297" i="3"/>
  <c r="C297" i="3"/>
  <c r="B297" i="3"/>
  <c r="A297" i="3"/>
  <c r="E296" i="3"/>
  <c r="D296" i="3"/>
  <c r="C296" i="3"/>
  <c r="B296" i="3"/>
  <c r="A296" i="3"/>
  <c r="E295" i="3"/>
  <c r="D295" i="3"/>
  <c r="C295" i="3"/>
  <c r="B295" i="3"/>
  <c r="A295" i="3"/>
  <c r="E294" i="3"/>
  <c r="D294" i="3"/>
  <c r="C294" i="3"/>
  <c r="B294" i="3"/>
  <c r="A294" i="3"/>
  <c r="E293" i="3"/>
  <c r="D293" i="3"/>
  <c r="C293" i="3"/>
  <c r="B293" i="3"/>
  <c r="A293" i="3"/>
  <c r="E292" i="3"/>
  <c r="D292" i="3"/>
  <c r="C292" i="3"/>
  <c r="B292" i="3"/>
  <c r="A292" i="3"/>
  <c r="E291" i="3"/>
  <c r="D291" i="3"/>
  <c r="C291" i="3"/>
  <c r="B291" i="3"/>
  <c r="A291" i="3"/>
  <c r="E290" i="3"/>
  <c r="D290" i="3"/>
  <c r="C290" i="3"/>
  <c r="B290" i="3"/>
  <c r="A290" i="3"/>
  <c r="E289" i="3"/>
  <c r="D289" i="3"/>
  <c r="C289" i="3"/>
  <c r="B289" i="3"/>
  <c r="A289" i="3"/>
  <c r="E288" i="3"/>
  <c r="D288" i="3"/>
  <c r="C288" i="3"/>
  <c r="B288" i="3"/>
  <c r="A288" i="3"/>
  <c r="E287" i="3"/>
  <c r="D287" i="3"/>
  <c r="C287" i="3"/>
  <c r="B287" i="3"/>
  <c r="A287" i="3"/>
  <c r="E286" i="3"/>
  <c r="D286" i="3"/>
  <c r="C286" i="3"/>
  <c r="B286" i="3"/>
  <c r="A286" i="3"/>
  <c r="E285" i="3"/>
  <c r="D285" i="3"/>
  <c r="C285" i="3"/>
  <c r="B285" i="3"/>
  <c r="A285" i="3"/>
  <c r="E284" i="3"/>
  <c r="D284" i="3"/>
  <c r="C284" i="3"/>
  <c r="B284" i="3"/>
  <c r="A284" i="3"/>
  <c r="E283" i="3"/>
  <c r="D283" i="3"/>
  <c r="C283" i="3"/>
  <c r="B283" i="3"/>
  <c r="A283" i="3"/>
  <c r="E282" i="3"/>
  <c r="D282" i="3"/>
  <c r="C282" i="3"/>
  <c r="B282" i="3"/>
  <c r="A282" i="3"/>
  <c r="E281" i="3"/>
  <c r="D281" i="3"/>
  <c r="C281" i="3"/>
  <c r="B281" i="3"/>
  <c r="A281" i="3"/>
  <c r="E280" i="3"/>
  <c r="D280" i="3"/>
  <c r="C280" i="3"/>
  <c r="B280" i="3"/>
  <c r="A280" i="3"/>
  <c r="E279" i="3"/>
  <c r="D279" i="3"/>
  <c r="C279" i="3"/>
  <c r="B279" i="3"/>
  <c r="A279" i="3"/>
  <c r="E278" i="3"/>
  <c r="D278" i="3"/>
  <c r="C278" i="3"/>
  <c r="B278" i="3"/>
  <c r="A278" i="3"/>
  <c r="E277" i="3"/>
  <c r="D277" i="3"/>
  <c r="C277" i="3"/>
  <c r="B277" i="3"/>
  <c r="A277" i="3"/>
  <c r="E276" i="3"/>
  <c r="D276" i="3"/>
  <c r="C276" i="3"/>
  <c r="B276" i="3"/>
  <c r="A276" i="3"/>
  <c r="E275" i="3"/>
  <c r="D275" i="3"/>
  <c r="C275" i="3"/>
  <c r="B275" i="3"/>
  <c r="A275" i="3"/>
  <c r="E274" i="3"/>
  <c r="D274" i="3"/>
  <c r="C274" i="3"/>
  <c r="B274" i="3"/>
  <c r="A274" i="3"/>
  <c r="E273" i="3"/>
  <c r="D273" i="3"/>
  <c r="C273" i="3"/>
  <c r="B273" i="3"/>
  <c r="A273" i="3"/>
  <c r="E272" i="3"/>
  <c r="D272" i="3"/>
  <c r="C272" i="3"/>
  <c r="B272" i="3"/>
  <c r="A272" i="3"/>
  <c r="E271" i="3"/>
  <c r="D271" i="3"/>
  <c r="C271" i="3"/>
  <c r="B271" i="3"/>
  <c r="A271" i="3"/>
  <c r="E270" i="3"/>
  <c r="D270" i="3"/>
  <c r="C270" i="3"/>
  <c r="B270" i="3"/>
  <c r="A270" i="3"/>
  <c r="E269" i="3"/>
  <c r="D269" i="3"/>
  <c r="C269" i="3"/>
  <c r="B269" i="3"/>
  <c r="A269" i="3"/>
  <c r="E268" i="3"/>
  <c r="D268" i="3"/>
  <c r="C268" i="3"/>
  <c r="B268" i="3"/>
  <c r="A268" i="3"/>
  <c r="E267" i="3"/>
  <c r="D267" i="3"/>
  <c r="C267" i="3"/>
  <c r="B267" i="3"/>
  <c r="A267" i="3"/>
  <c r="E266" i="3"/>
  <c r="D266" i="3"/>
  <c r="C266" i="3"/>
  <c r="B266" i="3"/>
  <c r="A266" i="3"/>
  <c r="E265" i="3"/>
  <c r="D265" i="3"/>
  <c r="C265" i="3"/>
  <c r="B265" i="3"/>
  <c r="A265" i="3"/>
  <c r="E264" i="3"/>
  <c r="D264" i="3"/>
  <c r="C264" i="3"/>
  <c r="B264" i="3"/>
  <c r="A264" i="3"/>
  <c r="E263" i="3"/>
  <c r="D263" i="3"/>
  <c r="C263" i="3"/>
  <c r="B263" i="3"/>
  <c r="A263" i="3"/>
  <c r="E262" i="3"/>
  <c r="D262" i="3"/>
  <c r="C262" i="3"/>
  <c r="B262" i="3"/>
  <c r="A262" i="3"/>
  <c r="E261" i="3"/>
  <c r="D261" i="3"/>
  <c r="C261" i="3"/>
  <c r="B261" i="3"/>
  <c r="A261" i="3"/>
  <c r="E260" i="3"/>
  <c r="D260" i="3"/>
  <c r="C260" i="3"/>
  <c r="B260" i="3"/>
  <c r="A260" i="3"/>
  <c r="E259" i="3"/>
  <c r="D259" i="3"/>
  <c r="C259" i="3"/>
  <c r="B259" i="3"/>
  <c r="A259" i="3"/>
  <c r="E258" i="3"/>
  <c r="D258" i="3"/>
  <c r="C258" i="3"/>
  <c r="B258" i="3"/>
  <c r="A258" i="3"/>
  <c r="E257" i="3"/>
  <c r="D257" i="3"/>
  <c r="C257" i="3"/>
  <c r="B257" i="3"/>
  <c r="A257" i="3"/>
  <c r="E256" i="3"/>
  <c r="D256" i="3"/>
  <c r="C256" i="3"/>
  <c r="B256" i="3"/>
  <c r="A256" i="3"/>
  <c r="E255" i="3"/>
  <c r="D255" i="3"/>
  <c r="C255" i="3"/>
  <c r="B255" i="3"/>
  <c r="A255" i="3"/>
  <c r="E254" i="3"/>
  <c r="D254" i="3"/>
  <c r="C254" i="3"/>
  <c r="B254" i="3"/>
  <c r="A254" i="3"/>
  <c r="E253" i="3"/>
  <c r="D253" i="3"/>
  <c r="C253" i="3"/>
  <c r="B253" i="3"/>
  <c r="A253" i="3"/>
  <c r="E252" i="3"/>
  <c r="D252" i="3"/>
  <c r="C252" i="3"/>
  <c r="B252" i="3"/>
  <c r="A252" i="3"/>
  <c r="E251" i="3"/>
  <c r="D251" i="3"/>
  <c r="C251" i="3"/>
  <c r="B251" i="3"/>
  <c r="A251" i="3"/>
  <c r="E250" i="3"/>
  <c r="D250" i="3"/>
  <c r="C250" i="3"/>
  <c r="B250" i="3"/>
  <c r="A250" i="3"/>
  <c r="E249" i="3"/>
  <c r="D249" i="3"/>
  <c r="C249" i="3"/>
  <c r="B249" i="3"/>
  <c r="A249" i="3"/>
  <c r="E248" i="3"/>
  <c r="D248" i="3"/>
  <c r="C248" i="3"/>
  <c r="B248" i="3"/>
  <c r="A248" i="3"/>
  <c r="E247" i="3"/>
  <c r="D247" i="3"/>
  <c r="C247" i="3"/>
  <c r="B247" i="3"/>
  <c r="A247" i="3"/>
  <c r="E246" i="3"/>
  <c r="D246" i="3"/>
  <c r="C246" i="3"/>
  <c r="B246" i="3"/>
  <c r="A246" i="3"/>
  <c r="E245" i="3"/>
  <c r="D245" i="3"/>
  <c r="C245" i="3"/>
  <c r="B245" i="3"/>
  <c r="A245" i="3"/>
  <c r="E244" i="3"/>
  <c r="D244" i="3"/>
  <c r="C244" i="3"/>
  <c r="B244" i="3"/>
  <c r="A244" i="3"/>
  <c r="E243" i="3"/>
  <c r="D243" i="3"/>
  <c r="C243" i="3"/>
  <c r="B243" i="3"/>
  <c r="A243" i="3"/>
  <c r="E242" i="3"/>
  <c r="D242" i="3"/>
  <c r="C242" i="3"/>
  <c r="B242" i="3"/>
  <c r="A242" i="3"/>
  <c r="E241" i="3"/>
  <c r="D241" i="3"/>
  <c r="C241" i="3"/>
  <c r="B241" i="3"/>
  <c r="A241" i="3"/>
  <c r="E240" i="3"/>
  <c r="D240" i="3"/>
  <c r="C240" i="3"/>
  <c r="B240" i="3"/>
  <c r="A240" i="3"/>
  <c r="E239" i="3"/>
  <c r="D239" i="3"/>
  <c r="C239" i="3"/>
  <c r="B239" i="3"/>
  <c r="A239" i="3"/>
  <c r="E238" i="3"/>
  <c r="D238" i="3"/>
  <c r="C238" i="3"/>
  <c r="B238" i="3"/>
  <c r="A238" i="3"/>
  <c r="E237" i="3"/>
  <c r="D237" i="3"/>
  <c r="C237" i="3"/>
  <c r="B237" i="3"/>
  <c r="A237" i="3"/>
  <c r="E236" i="3"/>
  <c r="D236" i="3"/>
  <c r="C236" i="3"/>
  <c r="B236" i="3"/>
  <c r="A236" i="3"/>
  <c r="E235" i="3"/>
  <c r="D235" i="3"/>
  <c r="C235" i="3"/>
  <c r="B235" i="3"/>
  <c r="A235" i="3"/>
  <c r="E234" i="3"/>
  <c r="D234" i="3"/>
  <c r="C234" i="3"/>
  <c r="B234" i="3"/>
  <c r="A234" i="3"/>
  <c r="E233" i="3"/>
  <c r="D233" i="3"/>
  <c r="C233" i="3"/>
  <c r="B233" i="3"/>
  <c r="A233" i="3"/>
  <c r="E232" i="3"/>
  <c r="D232" i="3"/>
  <c r="C232" i="3"/>
  <c r="B232" i="3"/>
  <c r="A232" i="3"/>
  <c r="E231" i="3"/>
  <c r="D231" i="3"/>
  <c r="C231" i="3"/>
  <c r="B231" i="3"/>
  <c r="A231" i="3"/>
  <c r="E230" i="3"/>
  <c r="D230" i="3"/>
  <c r="C230" i="3"/>
  <c r="B230" i="3"/>
  <c r="A230" i="3"/>
  <c r="E229" i="3"/>
  <c r="D229" i="3"/>
  <c r="C229" i="3"/>
  <c r="B229" i="3"/>
  <c r="A229" i="3"/>
  <c r="E228" i="3"/>
  <c r="D228" i="3"/>
  <c r="C228" i="3"/>
  <c r="B228" i="3"/>
  <c r="A228" i="3"/>
  <c r="E227" i="3"/>
  <c r="D227" i="3"/>
  <c r="C227" i="3"/>
  <c r="B227" i="3"/>
  <c r="A227" i="3"/>
  <c r="E226" i="3"/>
  <c r="D226" i="3"/>
  <c r="C226" i="3"/>
  <c r="B226" i="3"/>
  <c r="A226" i="3"/>
  <c r="E225" i="3"/>
  <c r="D225" i="3"/>
  <c r="C225" i="3"/>
  <c r="B225" i="3"/>
  <c r="A225" i="3"/>
  <c r="E224" i="3"/>
  <c r="D224" i="3"/>
  <c r="C224" i="3"/>
  <c r="B224" i="3"/>
  <c r="A224" i="3"/>
  <c r="E223" i="3"/>
  <c r="D223" i="3"/>
  <c r="C223" i="3"/>
  <c r="B223" i="3"/>
  <c r="A223" i="3"/>
  <c r="E222" i="3"/>
  <c r="D222" i="3"/>
  <c r="C222" i="3"/>
  <c r="B222" i="3"/>
  <c r="A222" i="3"/>
  <c r="E221" i="3"/>
  <c r="D221" i="3"/>
  <c r="C221" i="3"/>
  <c r="B221" i="3"/>
  <c r="A221" i="3"/>
  <c r="E220" i="3"/>
  <c r="D220" i="3"/>
  <c r="C220" i="3"/>
  <c r="B220" i="3"/>
  <c r="A220" i="3"/>
  <c r="E219" i="3"/>
  <c r="D219" i="3"/>
  <c r="C219" i="3"/>
  <c r="B219" i="3"/>
  <c r="A219" i="3"/>
  <c r="E218" i="3"/>
  <c r="D218" i="3"/>
  <c r="C218" i="3"/>
  <c r="B218" i="3"/>
  <c r="A218" i="3"/>
  <c r="E217" i="3"/>
  <c r="D217" i="3"/>
  <c r="C217" i="3"/>
  <c r="B217" i="3"/>
  <c r="A217" i="3"/>
  <c r="E216" i="3"/>
  <c r="D216" i="3"/>
  <c r="C216" i="3"/>
  <c r="B216" i="3"/>
  <c r="A216" i="3"/>
  <c r="E215" i="3"/>
  <c r="D215" i="3"/>
  <c r="C215" i="3"/>
  <c r="B215" i="3"/>
  <c r="A215" i="3"/>
  <c r="E214" i="3"/>
  <c r="D214" i="3"/>
  <c r="C214" i="3"/>
  <c r="B214" i="3"/>
  <c r="A214" i="3"/>
  <c r="E213" i="3"/>
  <c r="D213" i="3"/>
  <c r="C213" i="3"/>
  <c r="B213" i="3"/>
  <c r="A213" i="3"/>
  <c r="E212" i="3"/>
  <c r="D212" i="3"/>
  <c r="C212" i="3"/>
  <c r="B212" i="3"/>
  <c r="A212" i="3"/>
  <c r="E211" i="3"/>
  <c r="D211" i="3"/>
  <c r="C211" i="3"/>
  <c r="B211" i="3"/>
  <c r="A211" i="3"/>
  <c r="E210" i="3"/>
  <c r="D210" i="3"/>
  <c r="C210" i="3"/>
  <c r="B210" i="3"/>
  <c r="A210" i="3"/>
  <c r="E209" i="3"/>
  <c r="D209" i="3"/>
  <c r="C209" i="3"/>
  <c r="B209" i="3"/>
  <c r="A209" i="3"/>
  <c r="E208" i="3"/>
  <c r="D208" i="3"/>
  <c r="C208" i="3"/>
  <c r="B208" i="3"/>
  <c r="A208" i="3"/>
  <c r="E207" i="3"/>
  <c r="D207" i="3"/>
  <c r="C207" i="3"/>
  <c r="B207" i="3"/>
  <c r="A207" i="3"/>
  <c r="E206" i="3"/>
  <c r="D206" i="3"/>
  <c r="C206" i="3"/>
  <c r="B206" i="3"/>
  <c r="A206" i="3"/>
  <c r="E205" i="3"/>
  <c r="D205" i="3"/>
  <c r="C205" i="3"/>
  <c r="B205" i="3"/>
  <c r="A205" i="3"/>
  <c r="E204" i="3"/>
  <c r="D204" i="3"/>
  <c r="C204" i="3"/>
  <c r="B204" i="3"/>
  <c r="A204" i="3"/>
  <c r="E203" i="3"/>
  <c r="D203" i="3"/>
  <c r="C203" i="3"/>
  <c r="B203" i="3"/>
  <c r="A203" i="3"/>
  <c r="E202" i="3"/>
  <c r="D202" i="3"/>
  <c r="C202" i="3"/>
  <c r="B202" i="3"/>
  <c r="A202" i="3"/>
  <c r="E201" i="3"/>
  <c r="D201" i="3"/>
  <c r="C201" i="3"/>
  <c r="B201" i="3"/>
  <c r="A201" i="3"/>
  <c r="E200" i="3"/>
  <c r="D200" i="3"/>
  <c r="C200" i="3"/>
  <c r="B200" i="3"/>
  <c r="A200" i="3"/>
  <c r="E199" i="3"/>
  <c r="D199" i="3"/>
  <c r="C199" i="3"/>
  <c r="B199" i="3"/>
  <c r="A199" i="3"/>
  <c r="E198" i="3"/>
  <c r="D198" i="3"/>
  <c r="C198" i="3"/>
  <c r="B198" i="3"/>
  <c r="A198" i="3"/>
  <c r="E197" i="3"/>
  <c r="D197" i="3"/>
  <c r="C197" i="3"/>
  <c r="B197" i="3"/>
  <c r="A197" i="3"/>
  <c r="E196" i="3"/>
  <c r="D196" i="3"/>
  <c r="C196" i="3"/>
  <c r="B196" i="3"/>
  <c r="A196" i="3"/>
  <c r="E195" i="3"/>
  <c r="D195" i="3"/>
  <c r="C195" i="3"/>
  <c r="B195" i="3"/>
  <c r="A195" i="3"/>
  <c r="E194" i="3"/>
  <c r="D194" i="3"/>
  <c r="C194" i="3"/>
  <c r="B194" i="3"/>
  <c r="A194" i="3"/>
  <c r="E193" i="3"/>
  <c r="D193" i="3"/>
  <c r="C193" i="3"/>
  <c r="B193" i="3"/>
  <c r="A193" i="3"/>
  <c r="E192" i="3"/>
  <c r="D192" i="3"/>
  <c r="C192" i="3"/>
  <c r="B192" i="3"/>
  <c r="A192" i="3"/>
  <c r="E191" i="3"/>
  <c r="D191" i="3"/>
  <c r="C191" i="3"/>
  <c r="B191" i="3"/>
  <c r="A191" i="3"/>
  <c r="E190" i="3"/>
  <c r="D190" i="3"/>
  <c r="C190" i="3"/>
  <c r="B190" i="3"/>
  <c r="A190" i="3"/>
  <c r="E189" i="3"/>
  <c r="D189" i="3"/>
  <c r="C189" i="3"/>
  <c r="B189" i="3"/>
  <c r="A189" i="3"/>
  <c r="E188" i="3"/>
  <c r="D188" i="3"/>
  <c r="C188" i="3"/>
  <c r="B188" i="3"/>
  <c r="A188" i="3"/>
  <c r="E187" i="3"/>
  <c r="D187" i="3"/>
  <c r="C187" i="3"/>
  <c r="B187" i="3"/>
  <c r="A187" i="3"/>
  <c r="E186" i="3"/>
  <c r="D186" i="3"/>
  <c r="C186" i="3"/>
  <c r="B186" i="3"/>
  <c r="A186" i="3"/>
  <c r="E185" i="3"/>
  <c r="D185" i="3"/>
  <c r="C185" i="3"/>
  <c r="B185" i="3"/>
  <c r="A185" i="3"/>
  <c r="E184" i="3"/>
  <c r="D184" i="3"/>
  <c r="C184" i="3"/>
  <c r="B184" i="3"/>
  <c r="A184" i="3"/>
  <c r="E183" i="3"/>
  <c r="D183" i="3"/>
  <c r="C183" i="3"/>
  <c r="B183" i="3"/>
  <c r="A183" i="3"/>
  <c r="E182" i="3"/>
  <c r="D182" i="3"/>
  <c r="C182" i="3"/>
  <c r="B182" i="3"/>
  <c r="A182" i="3"/>
  <c r="E181" i="3"/>
  <c r="D181" i="3"/>
  <c r="C181" i="3"/>
  <c r="B181" i="3"/>
  <c r="A181" i="3"/>
  <c r="E180" i="3"/>
  <c r="D180" i="3"/>
  <c r="C180" i="3"/>
  <c r="B180" i="3"/>
  <c r="A180" i="3"/>
  <c r="E179" i="3"/>
  <c r="D179" i="3"/>
  <c r="C179" i="3"/>
  <c r="B179" i="3"/>
  <c r="A179" i="3"/>
  <c r="E178" i="3"/>
  <c r="D178" i="3"/>
  <c r="C178" i="3"/>
  <c r="B178" i="3"/>
  <c r="A178" i="3"/>
  <c r="E177" i="3"/>
  <c r="D177" i="3"/>
  <c r="C177" i="3"/>
  <c r="B177" i="3"/>
  <c r="A177" i="3"/>
  <c r="E176" i="3"/>
  <c r="D176" i="3"/>
  <c r="C176" i="3"/>
  <c r="B176" i="3"/>
  <c r="A176" i="3"/>
  <c r="E175" i="3"/>
  <c r="D175" i="3"/>
  <c r="C175" i="3"/>
  <c r="B175" i="3"/>
  <c r="A175" i="3"/>
  <c r="E174" i="3"/>
  <c r="D174" i="3"/>
  <c r="C174" i="3"/>
  <c r="B174" i="3"/>
  <c r="A174" i="3"/>
  <c r="E173" i="3"/>
  <c r="D173" i="3"/>
  <c r="C173" i="3"/>
  <c r="B173" i="3"/>
  <c r="A173" i="3"/>
  <c r="E172" i="3"/>
  <c r="D172" i="3"/>
  <c r="C172" i="3"/>
  <c r="B172" i="3"/>
  <c r="A172" i="3"/>
  <c r="E171" i="3"/>
  <c r="D171" i="3"/>
  <c r="C171" i="3"/>
  <c r="B171" i="3"/>
  <c r="A171" i="3"/>
  <c r="E170" i="3"/>
  <c r="D170" i="3"/>
  <c r="C170" i="3"/>
  <c r="B170" i="3"/>
  <c r="A170" i="3"/>
  <c r="E169" i="3"/>
  <c r="D169" i="3"/>
  <c r="C169" i="3"/>
  <c r="B169" i="3"/>
  <c r="A169" i="3"/>
  <c r="E168" i="3"/>
  <c r="D168" i="3"/>
  <c r="C168" i="3"/>
  <c r="B168" i="3"/>
  <c r="A168" i="3"/>
  <c r="E167" i="3"/>
  <c r="D167" i="3"/>
  <c r="C167" i="3"/>
  <c r="B167" i="3"/>
  <c r="A167" i="3"/>
  <c r="E166" i="3"/>
  <c r="D166" i="3"/>
  <c r="C166" i="3"/>
  <c r="B166" i="3"/>
  <c r="A166" i="3"/>
  <c r="E165" i="3"/>
  <c r="D165" i="3"/>
  <c r="C165" i="3"/>
  <c r="B165" i="3"/>
  <c r="A165" i="3"/>
  <c r="E164" i="3"/>
  <c r="D164" i="3"/>
  <c r="C164" i="3"/>
  <c r="B164" i="3"/>
  <c r="A164" i="3"/>
  <c r="E163" i="3"/>
  <c r="D163" i="3"/>
  <c r="C163" i="3"/>
  <c r="B163" i="3"/>
  <c r="A163" i="3"/>
  <c r="E162" i="3"/>
  <c r="D162" i="3"/>
  <c r="C162" i="3"/>
  <c r="B162" i="3"/>
  <c r="A162" i="3"/>
  <c r="E161" i="3"/>
  <c r="D161" i="3"/>
  <c r="C161" i="3"/>
  <c r="B161" i="3"/>
  <c r="A161" i="3"/>
  <c r="E160" i="3"/>
  <c r="D160" i="3"/>
  <c r="C160" i="3"/>
  <c r="B160" i="3"/>
  <c r="A160" i="3"/>
  <c r="E159" i="3"/>
  <c r="D159" i="3"/>
  <c r="C159" i="3"/>
  <c r="B159" i="3"/>
  <c r="A159" i="3"/>
  <c r="E158" i="3"/>
  <c r="D158" i="3"/>
  <c r="C158" i="3"/>
  <c r="B158" i="3"/>
  <c r="A158" i="3"/>
  <c r="E157" i="3"/>
  <c r="D157" i="3"/>
  <c r="C157" i="3"/>
  <c r="B157" i="3"/>
  <c r="A157" i="3"/>
  <c r="E156" i="3"/>
  <c r="D156" i="3"/>
  <c r="C156" i="3"/>
  <c r="B156" i="3"/>
  <c r="A156" i="3"/>
  <c r="E155" i="3"/>
  <c r="D155" i="3"/>
  <c r="C155" i="3"/>
  <c r="B155" i="3"/>
  <c r="A155" i="3"/>
  <c r="E154" i="3"/>
  <c r="D154" i="3"/>
  <c r="C154" i="3"/>
  <c r="B154" i="3"/>
  <c r="A154" i="3"/>
  <c r="E153" i="3"/>
  <c r="D153" i="3"/>
  <c r="C153" i="3"/>
  <c r="B153" i="3"/>
  <c r="A153" i="3"/>
  <c r="E152" i="3"/>
  <c r="D152" i="3"/>
  <c r="C152" i="3"/>
  <c r="B152" i="3"/>
  <c r="A152" i="3"/>
  <c r="E151" i="3"/>
  <c r="D151" i="3"/>
  <c r="C151" i="3"/>
  <c r="B151" i="3"/>
  <c r="A151" i="3"/>
  <c r="E150" i="3"/>
  <c r="D150" i="3"/>
  <c r="C150" i="3"/>
  <c r="B150" i="3"/>
  <c r="A150" i="3"/>
  <c r="E149" i="3"/>
  <c r="D149" i="3"/>
  <c r="C149" i="3"/>
  <c r="B149" i="3"/>
  <c r="A149" i="3"/>
  <c r="E148" i="3"/>
  <c r="D148" i="3"/>
  <c r="C148" i="3"/>
  <c r="B148" i="3"/>
  <c r="A148" i="3"/>
  <c r="E147" i="3"/>
  <c r="D147" i="3"/>
  <c r="C147" i="3"/>
  <c r="B147" i="3"/>
  <c r="A147" i="3"/>
  <c r="E146" i="3"/>
  <c r="D146" i="3"/>
  <c r="C146" i="3"/>
  <c r="B146" i="3"/>
  <c r="A146" i="3"/>
  <c r="E145" i="3"/>
  <c r="D145" i="3"/>
  <c r="C145" i="3"/>
  <c r="B145" i="3"/>
  <c r="A145" i="3"/>
  <c r="E144" i="3"/>
  <c r="D144" i="3"/>
  <c r="C144" i="3"/>
  <c r="B144" i="3"/>
  <c r="A144" i="3"/>
  <c r="E143" i="3"/>
  <c r="D143" i="3"/>
  <c r="C143" i="3"/>
  <c r="B143" i="3"/>
  <c r="A143" i="3"/>
  <c r="E142" i="3"/>
  <c r="D142" i="3"/>
  <c r="C142" i="3"/>
  <c r="B142" i="3"/>
  <c r="A142" i="3"/>
  <c r="E141" i="3"/>
  <c r="D141" i="3"/>
  <c r="C141" i="3"/>
  <c r="B141" i="3"/>
  <c r="A141" i="3"/>
  <c r="E140" i="3"/>
  <c r="D140" i="3"/>
  <c r="C140" i="3"/>
  <c r="B140" i="3"/>
  <c r="A140" i="3"/>
  <c r="E139" i="3"/>
  <c r="D139" i="3"/>
  <c r="C139" i="3"/>
  <c r="B139" i="3"/>
  <c r="A139" i="3"/>
  <c r="E138" i="3"/>
  <c r="D138" i="3"/>
  <c r="C138" i="3"/>
  <c r="B138" i="3"/>
  <c r="A138" i="3"/>
  <c r="E137" i="3"/>
  <c r="D137" i="3"/>
  <c r="C137" i="3"/>
  <c r="B137" i="3"/>
  <c r="A137" i="3"/>
  <c r="E136" i="3"/>
  <c r="D136" i="3"/>
  <c r="C136" i="3"/>
  <c r="B136" i="3"/>
  <c r="A136" i="3"/>
  <c r="E135" i="3"/>
  <c r="D135" i="3"/>
  <c r="C135" i="3"/>
  <c r="B135" i="3"/>
  <c r="A135" i="3"/>
  <c r="E134" i="3"/>
  <c r="D134" i="3"/>
  <c r="C134" i="3"/>
  <c r="B134" i="3"/>
  <c r="A134" i="3"/>
  <c r="E133" i="3"/>
  <c r="D133" i="3"/>
  <c r="C133" i="3"/>
  <c r="B133" i="3"/>
  <c r="A133" i="3"/>
  <c r="E132" i="3"/>
  <c r="D132" i="3"/>
  <c r="C132" i="3"/>
  <c r="B132" i="3"/>
  <c r="A132" i="3"/>
  <c r="E131" i="3"/>
  <c r="D131" i="3"/>
  <c r="C131" i="3"/>
  <c r="B131" i="3"/>
  <c r="A131" i="3"/>
  <c r="E130" i="3"/>
  <c r="D130" i="3"/>
  <c r="C130" i="3"/>
  <c r="B130" i="3"/>
  <c r="A130" i="3"/>
  <c r="E129" i="3"/>
  <c r="D129" i="3"/>
  <c r="C129" i="3"/>
  <c r="B129" i="3"/>
  <c r="A129" i="3"/>
  <c r="E128" i="3"/>
  <c r="D128" i="3"/>
  <c r="C128" i="3"/>
  <c r="B128" i="3"/>
  <c r="A128" i="3"/>
  <c r="E127" i="3"/>
  <c r="D127" i="3"/>
  <c r="C127" i="3"/>
  <c r="B127" i="3"/>
  <c r="A127" i="3"/>
  <c r="E126" i="3"/>
  <c r="D126" i="3"/>
  <c r="C126" i="3"/>
  <c r="B126" i="3"/>
  <c r="A126" i="3"/>
  <c r="E125" i="3"/>
  <c r="D125" i="3"/>
  <c r="C125" i="3"/>
  <c r="B125" i="3"/>
  <c r="A125" i="3"/>
  <c r="E124" i="3"/>
  <c r="D124" i="3"/>
  <c r="C124" i="3"/>
  <c r="B124" i="3"/>
  <c r="A124" i="3"/>
  <c r="E123" i="3"/>
  <c r="D123" i="3"/>
  <c r="C123" i="3"/>
  <c r="B123" i="3"/>
  <c r="A123" i="3"/>
  <c r="E122" i="3"/>
  <c r="D122" i="3"/>
  <c r="C122" i="3"/>
  <c r="B122" i="3"/>
  <c r="A122" i="3"/>
  <c r="E121" i="3"/>
  <c r="D121" i="3"/>
  <c r="C121" i="3"/>
  <c r="B121" i="3"/>
  <c r="A121" i="3"/>
  <c r="E120" i="3"/>
  <c r="D120" i="3"/>
  <c r="C120" i="3"/>
  <c r="B120" i="3"/>
  <c r="A120" i="3"/>
  <c r="E119" i="3"/>
  <c r="D119" i="3"/>
  <c r="C119" i="3"/>
  <c r="B119" i="3"/>
  <c r="A119" i="3"/>
  <c r="E118" i="3"/>
  <c r="D118" i="3"/>
  <c r="C118" i="3"/>
  <c r="B118" i="3"/>
  <c r="A118" i="3"/>
  <c r="E117" i="3"/>
  <c r="D117" i="3"/>
  <c r="C117" i="3"/>
  <c r="B117" i="3"/>
  <c r="A117" i="3"/>
  <c r="E116" i="3"/>
  <c r="D116" i="3"/>
  <c r="C116" i="3"/>
  <c r="B116" i="3"/>
  <c r="A116" i="3"/>
  <c r="E115" i="3"/>
  <c r="D115" i="3"/>
  <c r="C115" i="3"/>
  <c r="B115" i="3"/>
  <c r="A115" i="3"/>
  <c r="E114" i="3"/>
  <c r="D114" i="3"/>
  <c r="C114" i="3"/>
  <c r="B114" i="3"/>
  <c r="A114" i="3"/>
  <c r="E113" i="3"/>
  <c r="D113" i="3"/>
  <c r="C113" i="3"/>
  <c r="B113" i="3"/>
  <c r="A113" i="3"/>
  <c r="E112" i="3"/>
  <c r="D112" i="3"/>
  <c r="C112" i="3"/>
  <c r="B112" i="3"/>
  <c r="A112" i="3"/>
  <c r="E111" i="3"/>
  <c r="D111" i="3"/>
  <c r="C111" i="3"/>
  <c r="B111" i="3"/>
  <c r="A111" i="3"/>
  <c r="E110" i="3"/>
  <c r="D110" i="3"/>
  <c r="C110" i="3"/>
  <c r="B110" i="3"/>
  <c r="A110" i="3"/>
  <c r="E109" i="3"/>
  <c r="D109" i="3"/>
  <c r="C109" i="3"/>
  <c r="B109" i="3"/>
  <c r="A109" i="3"/>
  <c r="E108" i="3"/>
  <c r="D108" i="3"/>
  <c r="C108" i="3"/>
  <c r="B108" i="3"/>
  <c r="A108" i="3"/>
  <c r="E107" i="3"/>
  <c r="D107" i="3"/>
  <c r="C107" i="3"/>
  <c r="B107" i="3"/>
  <c r="A107" i="3"/>
  <c r="E106" i="3"/>
  <c r="D106" i="3"/>
  <c r="C106" i="3"/>
  <c r="B106" i="3"/>
  <c r="A106" i="3"/>
  <c r="E105" i="3"/>
  <c r="D105" i="3"/>
  <c r="C105" i="3"/>
  <c r="B105" i="3"/>
  <c r="A105" i="3"/>
  <c r="E104" i="3"/>
  <c r="D104" i="3"/>
  <c r="C104" i="3"/>
  <c r="B104" i="3"/>
  <c r="A104" i="3"/>
  <c r="E103" i="3"/>
  <c r="D103" i="3"/>
  <c r="C103" i="3"/>
  <c r="B103" i="3"/>
  <c r="A103" i="3"/>
  <c r="E102" i="3"/>
  <c r="D102" i="3"/>
  <c r="C102" i="3"/>
  <c r="B102" i="3"/>
  <c r="A102" i="3"/>
  <c r="E101" i="3"/>
  <c r="D101" i="3"/>
  <c r="C101" i="3"/>
  <c r="B101" i="3"/>
  <c r="A101" i="3"/>
  <c r="E100" i="3"/>
  <c r="D100" i="3"/>
  <c r="C100" i="3"/>
  <c r="B100" i="3"/>
  <c r="A100" i="3"/>
  <c r="E99" i="3"/>
  <c r="D99" i="3"/>
  <c r="C99" i="3"/>
  <c r="B99" i="3"/>
  <c r="A99" i="3"/>
  <c r="E98" i="3"/>
  <c r="D98" i="3"/>
  <c r="C98" i="3"/>
  <c r="B98" i="3"/>
  <c r="A98" i="3"/>
  <c r="E97" i="3"/>
  <c r="D97" i="3"/>
  <c r="C97" i="3"/>
  <c r="B97" i="3"/>
  <c r="A97" i="3"/>
  <c r="E96" i="3"/>
  <c r="D96" i="3"/>
  <c r="C96" i="3"/>
  <c r="B96" i="3"/>
  <c r="A96" i="3"/>
  <c r="E95" i="3"/>
  <c r="D95" i="3"/>
  <c r="C95" i="3"/>
  <c r="B95" i="3"/>
  <c r="A95" i="3"/>
  <c r="E94" i="3"/>
  <c r="D94" i="3"/>
  <c r="C94" i="3"/>
  <c r="B94" i="3"/>
  <c r="A94" i="3"/>
  <c r="E93" i="3"/>
  <c r="D93" i="3"/>
  <c r="C93" i="3"/>
  <c r="B93" i="3"/>
  <c r="A93" i="3"/>
  <c r="E92" i="3"/>
  <c r="D92" i="3"/>
  <c r="C92" i="3"/>
  <c r="B92" i="3"/>
  <c r="A92" i="3"/>
  <c r="E91" i="3"/>
  <c r="D91" i="3"/>
  <c r="C91" i="3"/>
  <c r="B91" i="3"/>
  <c r="A91" i="3"/>
  <c r="E90" i="3"/>
  <c r="D90" i="3"/>
  <c r="C90" i="3"/>
  <c r="B90" i="3"/>
  <c r="A90" i="3"/>
  <c r="E89" i="3"/>
  <c r="D89" i="3"/>
  <c r="C89" i="3"/>
  <c r="B89" i="3"/>
  <c r="A89" i="3"/>
  <c r="E88" i="3"/>
  <c r="D88" i="3"/>
  <c r="C88" i="3"/>
  <c r="B88" i="3"/>
  <c r="A88" i="3"/>
  <c r="E87" i="3"/>
  <c r="D87" i="3"/>
  <c r="C87" i="3"/>
  <c r="B87" i="3"/>
  <c r="A87" i="3"/>
  <c r="E86" i="3"/>
  <c r="D86" i="3"/>
  <c r="C86" i="3"/>
  <c r="B86" i="3"/>
  <c r="A86" i="3"/>
  <c r="E85" i="3"/>
  <c r="D85" i="3"/>
  <c r="C85" i="3"/>
  <c r="B85" i="3"/>
  <c r="A85" i="3"/>
  <c r="E84" i="3"/>
  <c r="D84" i="3"/>
  <c r="C84" i="3"/>
  <c r="B84" i="3"/>
  <c r="A84" i="3"/>
  <c r="E83" i="3"/>
  <c r="D83" i="3"/>
  <c r="C83" i="3"/>
  <c r="B83" i="3"/>
  <c r="A83" i="3"/>
  <c r="E82" i="3"/>
  <c r="D82" i="3"/>
  <c r="C82" i="3"/>
  <c r="B82" i="3"/>
  <c r="A82" i="3"/>
  <c r="E81" i="3"/>
  <c r="D81" i="3"/>
  <c r="C81" i="3"/>
  <c r="B81" i="3"/>
  <c r="A81" i="3"/>
  <c r="E80" i="3"/>
  <c r="D80" i="3"/>
  <c r="C80" i="3"/>
  <c r="B80" i="3"/>
  <c r="A80" i="3"/>
  <c r="E79" i="3"/>
  <c r="D79" i="3"/>
  <c r="C79" i="3"/>
  <c r="B79" i="3"/>
  <c r="A79" i="3"/>
  <c r="E78" i="3"/>
  <c r="D78" i="3"/>
  <c r="C78" i="3"/>
  <c r="B78" i="3"/>
  <c r="A78" i="3"/>
  <c r="E77" i="3"/>
  <c r="D77" i="3"/>
  <c r="C77" i="3"/>
  <c r="B77" i="3"/>
  <c r="A77" i="3"/>
  <c r="E76" i="3"/>
  <c r="D76" i="3"/>
  <c r="C76" i="3"/>
  <c r="B76" i="3"/>
  <c r="A76" i="3"/>
  <c r="E75" i="3"/>
  <c r="D75" i="3"/>
  <c r="C75" i="3"/>
  <c r="B75" i="3"/>
  <c r="A75" i="3"/>
  <c r="E74" i="3"/>
  <c r="D74" i="3"/>
  <c r="C74" i="3"/>
  <c r="B74" i="3"/>
  <c r="A74" i="3"/>
  <c r="E73" i="3"/>
  <c r="D73" i="3"/>
  <c r="C73" i="3"/>
  <c r="B73" i="3"/>
  <c r="A73" i="3"/>
  <c r="E72" i="3"/>
  <c r="D72" i="3"/>
  <c r="C72" i="3"/>
  <c r="B72" i="3"/>
  <c r="A72" i="3"/>
  <c r="E71" i="3"/>
  <c r="D71" i="3"/>
  <c r="C71" i="3"/>
  <c r="B71" i="3"/>
  <c r="A71" i="3"/>
  <c r="E70" i="3"/>
  <c r="D70" i="3"/>
  <c r="C70" i="3"/>
  <c r="B70" i="3"/>
  <c r="A70" i="3"/>
  <c r="E69" i="3"/>
  <c r="D69" i="3"/>
  <c r="C69" i="3"/>
  <c r="B69" i="3"/>
  <c r="A69" i="3"/>
  <c r="E68" i="3"/>
  <c r="D68" i="3"/>
  <c r="C68" i="3"/>
  <c r="B68" i="3"/>
  <c r="A68" i="3"/>
  <c r="E67" i="3"/>
  <c r="D67" i="3"/>
  <c r="C67" i="3"/>
  <c r="B67" i="3"/>
  <c r="A67" i="3"/>
  <c r="E66" i="3"/>
  <c r="D66" i="3"/>
  <c r="C66" i="3"/>
  <c r="B66" i="3"/>
  <c r="A66" i="3"/>
  <c r="E65" i="3"/>
  <c r="D65" i="3"/>
  <c r="C65" i="3"/>
  <c r="B65" i="3"/>
  <c r="A65" i="3"/>
  <c r="E64" i="3"/>
  <c r="D64" i="3"/>
  <c r="C64" i="3"/>
  <c r="B64" i="3"/>
  <c r="A64" i="3"/>
  <c r="E63" i="3"/>
  <c r="D63" i="3"/>
  <c r="C63" i="3"/>
  <c r="B63" i="3"/>
  <c r="A63" i="3"/>
  <c r="E62" i="3"/>
  <c r="D62" i="3"/>
  <c r="C62" i="3"/>
  <c r="B62" i="3"/>
  <c r="A62" i="3"/>
  <c r="E61" i="3"/>
  <c r="D61" i="3"/>
  <c r="C61" i="3"/>
  <c r="B61" i="3"/>
  <c r="A61" i="3"/>
  <c r="E60" i="3"/>
  <c r="D60" i="3"/>
  <c r="C60" i="3"/>
  <c r="B60" i="3"/>
  <c r="A60" i="3"/>
  <c r="E59" i="3"/>
  <c r="D59" i="3"/>
  <c r="C59" i="3"/>
  <c r="B59" i="3"/>
  <c r="A59" i="3"/>
  <c r="E58" i="3"/>
  <c r="D58" i="3"/>
  <c r="C58" i="3"/>
  <c r="B58" i="3"/>
  <c r="A58" i="3"/>
  <c r="E57" i="3"/>
  <c r="D57" i="3"/>
  <c r="C57" i="3"/>
  <c r="B57" i="3"/>
  <c r="A57" i="3"/>
  <c r="E56" i="3"/>
  <c r="D56" i="3"/>
  <c r="C56" i="3"/>
  <c r="B56" i="3"/>
  <c r="A56" i="3"/>
  <c r="E55" i="3"/>
  <c r="D55" i="3"/>
  <c r="C55" i="3"/>
  <c r="B55" i="3"/>
  <c r="A55" i="3"/>
  <c r="E54" i="3"/>
  <c r="D54" i="3"/>
  <c r="C54" i="3"/>
  <c r="B54" i="3"/>
  <c r="A54" i="3"/>
  <c r="E53" i="3"/>
  <c r="D53" i="3"/>
  <c r="C53" i="3"/>
  <c r="B53" i="3"/>
  <c r="A53" i="3"/>
  <c r="E52" i="3"/>
  <c r="D52" i="3"/>
  <c r="C52" i="3"/>
  <c r="B52" i="3"/>
  <c r="A52" i="3"/>
  <c r="E51" i="3"/>
  <c r="D51" i="3"/>
  <c r="C51" i="3"/>
  <c r="B51" i="3"/>
  <c r="A51" i="3"/>
  <c r="E50" i="3"/>
  <c r="D50" i="3"/>
  <c r="C50" i="3"/>
  <c r="B50" i="3"/>
  <c r="A50" i="3"/>
  <c r="E49" i="3"/>
  <c r="D49" i="3"/>
  <c r="C49" i="3"/>
  <c r="B49" i="3"/>
  <c r="A49" i="3"/>
  <c r="E48" i="3"/>
  <c r="D48" i="3"/>
  <c r="C48" i="3"/>
  <c r="B48" i="3"/>
  <c r="A48" i="3"/>
  <c r="E47" i="3"/>
  <c r="D47" i="3"/>
  <c r="C47" i="3"/>
  <c r="B47" i="3"/>
  <c r="A47" i="3"/>
  <c r="E46" i="3"/>
  <c r="D46" i="3"/>
  <c r="C46" i="3"/>
  <c r="B46" i="3"/>
  <c r="A46" i="3"/>
  <c r="E45" i="3"/>
  <c r="D45" i="3"/>
  <c r="C45" i="3"/>
  <c r="B45" i="3"/>
  <c r="A45" i="3"/>
  <c r="E44" i="3"/>
  <c r="D44" i="3"/>
  <c r="C44" i="3"/>
  <c r="B44" i="3"/>
  <c r="A44" i="3"/>
  <c r="E43" i="3"/>
  <c r="D43" i="3"/>
  <c r="C43" i="3"/>
  <c r="B43" i="3"/>
  <c r="A43" i="3"/>
  <c r="E42" i="3"/>
  <c r="D42" i="3"/>
  <c r="C42" i="3"/>
  <c r="B42" i="3"/>
  <c r="A42" i="3"/>
  <c r="E41" i="3"/>
  <c r="D41" i="3"/>
  <c r="C41" i="3"/>
  <c r="B41" i="3"/>
  <c r="A41" i="3"/>
  <c r="E40" i="3"/>
  <c r="D40" i="3"/>
  <c r="C40" i="3"/>
  <c r="B40" i="3"/>
  <c r="A40" i="3"/>
  <c r="E39" i="3"/>
  <c r="D39" i="3"/>
  <c r="C39" i="3"/>
  <c r="B39" i="3"/>
  <c r="A39" i="3"/>
  <c r="E38" i="3"/>
  <c r="D38" i="3"/>
  <c r="C38" i="3"/>
  <c r="B38" i="3"/>
  <c r="A38" i="3"/>
  <c r="E37" i="3"/>
  <c r="D37" i="3"/>
  <c r="C37" i="3"/>
  <c r="B37" i="3"/>
  <c r="A37" i="3"/>
  <c r="E36" i="3"/>
  <c r="D36" i="3"/>
  <c r="C36" i="3"/>
  <c r="B36" i="3"/>
  <c r="A36" i="3"/>
  <c r="E35" i="3"/>
  <c r="D35" i="3"/>
  <c r="C35" i="3"/>
  <c r="B35" i="3"/>
  <c r="A35" i="3"/>
  <c r="E34" i="3"/>
  <c r="D34" i="3"/>
  <c r="C34" i="3"/>
  <c r="B34" i="3"/>
  <c r="A34" i="3"/>
  <c r="E33" i="3"/>
  <c r="D33" i="3"/>
  <c r="C33" i="3"/>
  <c r="B33" i="3"/>
  <c r="A33" i="3"/>
  <c r="E32" i="3"/>
  <c r="D32" i="3"/>
  <c r="C32" i="3"/>
  <c r="B32" i="3"/>
  <c r="A32" i="3"/>
  <c r="E31" i="3"/>
  <c r="D31" i="3"/>
  <c r="C31" i="3"/>
  <c r="B31" i="3"/>
  <c r="A31" i="3"/>
  <c r="E30" i="3"/>
  <c r="D30" i="3"/>
  <c r="C30" i="3"/>
  <c r="B30" i="3"/>
  <c r="A30" i="3"/>
  <c r="E29" i="3"/>
  <c r="D29" i="3"/>
  <c r="C29" i="3"/>
  <c r="B29" i="3"/>
  <c r="A29" i="3"/>
  <c r="E28" i="3"/>
  <c r="D28" i="3"/>
  <c r="C28" i="3"/>
  <c r="B28" i="3"/>
  <c r="A28" i="3"/>
  <c r="E27" i="3"/>
  <c r="D27" i="3"/>
  <c r="C27" i="3"/>
  <c r="B27" i="3"/>
  <c r="A27" i="3"/>
  <c r="E26" i="3"/>
  <c r="D26" i="3"/>
  <c r="C26" i="3"/>
  <c r="B26" i="3"/>
  <c r="A26" i="3"/>
  <c r="E25" i="3"/>
  <c r="D25" i="3"/>
  <c r="C25" i="3"/>
  <c r="B25" i="3"/>
  <c r="A25" i="3"/>
  <c r="E24" i="3"/>
  <c r="D24" i="3"/>
  <c r="C24" i="3"/>
  <c r="B24" i="3"/>
  <c r="A24" i="3"/>
  <c r="E23" i="3"/>
  <c r="D23" i="3"/>
  <c r="C23" i="3"/>
  <c r="B23" i="3"/>
  <c r="A23" i="3"/>
  <c r="E22" i="3"/>
  <c r="D22" i="3"/>
  <c r="C22" i="3"/>
  <c r="B22" i="3"/>
  <c r="A22" i="3"/>
  <c r="E21" i="3"/>
  <c r="D21" i="3"/>
  <c r="C21" i="3"/>
  <c r="B21" i="3"/>
  <c r="A21" i="3"/>
  <c r="E20" i="3"/>
  <c r="D20" i="3"/>
  <c r="C20" i="3"/>
  <c r="B20" i="3"/>
  <c r="A20" i="3"/>
  <c r="E19" i="3"/>
  <c r="D19" i="3"/>
  <c r="C19" i="3"/>
  <c r="B19" i="3"/>
  <c r="A19" i="3"/>
  <c r="E18" i="3"/>
  <c r="D18" i="3"/>
  <c r="C18" i="3"/>
  <c r="B18" i="3"/>
  <c r="A18" i="3"/>
  <c r="E17" i="3"/>
  <c r="D17" i="3"/>
  <c r="C17" i="3"/>
  <c r="B17" i="3"/>
  <c r="A17" i="3"/>
  <c r="E16" i="3"/>
  <c r="D16" i="3"/>
  <c r="C16" i="3"/>
  <c r="B16" i="3"/>
  <c r="A16" i="3"/>
  <c r="E15" i="3"/>
  <c r="D15" i="3"/>
  <c r="C15" i="3"/>
  <c r="B15" i="3"/>
  <c r="A15" i="3"/>
  <c r="E14" i="3"/>
  <c r="D14" i="3"/>
  <c r="C14" i="3"/>
  <c r="B14" i="3"/>
  <c r="A14" i="3"/>
  <c r="E13" i="3"/>
  <c r="D13" i="3"/>
  <c r="C13" i="3"/>
  <c r="B13" i="3"/>
  <c r="A13" i="3"/>
  <c r="E12" i="3"/>
  <c r="D12" i="3"/>
  <c r="C12" i="3"/>
  <c r="B12" i="3"/>
  <c r="A12" i="3"/>
  <c r="E11" i="3"/>
  <c r="D11" i="3"/>
  <c r="C11" i="3"/>
  <c r="B11" i="3"/>
  <c r="A11" i="3"/>
  <c r="E10" i="3"/>
  <c r="D10" i="3"/>
  <c r="C10" i="3"/>
  <c r="B10" i="3"/>
  <c r="A10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4" i="3"/>
  <c r="D4" i="3"/>
  <c r="C4" i="3"/>
  <c r="B4" i="3"/>
  <c r="A4" i="3"/>
  <c r="E3" i="3"/>
  <c r="D3" i="3"/>
  <c r="C3" i="3"/>
  <c r="B3" i="3"/>
  <c r="A3" i="3"/>
  <c r="E2" i="3"/>
  <c r="D2" i="3"/>
  <c r="C2" i="3"/>
  <c r="B2" i="3"/>
  <c r="A2" i="3"/>
  <c r="B11" i="1"/>
  <c r="B10" i="1"/>
  <c r="B6" i="1"/>
  <c r="B7" i="1" s="1"/>
  <c r="E5" i="1"/>
  <c r="E4" i="1"/>
  <c r="F865" i="3" l="1"/>
  <c r="G624" i="3"/>
  <c r="G16" i="3"/>
  <c r="F39" i="3"/>
  <c r="F55" i="3"/>
  <c r="G80" i="3"/>
  <c r="G96" i="3"/>
  <c r="F103" i="3"/>
  <c r="G119" i="3"/>
  <c r="F124" i="3"/>
  <c r="F131" i="3"/>
  <c r="F150" i="3"/>
  <c r="G157" i="3"/>
  <c r="F169" i="3"/>
  <c r="F187" i="3"/>
  <c r="G192" i="3"/>
  <c r="G197" i="3"/>
  <c r="F210" i="3"/>
  <c r="G220" i="3"/>
  <c r="F233" i="3"/>
  <c r="G273" i="3"/>
  <c r="G281" i="3"/>
  <c r="F292" i="3"/>
  <c r="G336" i="3"/>
  <c r="G344" i="3"/>
  <c r="G355" i="3"/>
  <c r="G385" i="3"/>
  <c r="G429" i="3"/>
  <c r="F432" i="3"/>
  <c r="F440" i="3"/>
  <c r="F481" i="3"/>
  <c r="G492" i="3"/>
  <c r="F500" i="3"/>
  <c r="F503" i="3"/>
  <c r="G544" i="3"/>
  <c r="G569" i="3"/>
  <c r="F603" i="3"/>
  <c r="G620" i="3"/>
  <c r="G739" i="3"/>
  <c r="F754" i="3"/>
  <c r="F769" i="3"/>
  <c r="G781" i="3"/>
  <c r="F784" i="3"/>
  <c r="F71" i="3"/>
  <c r="F87" i="3"/>
  <c r="F14" i="3"/>
  <c r="G23" i="3"/>
  <c r="F110" i="3"/>
  <c r="G187" i="3"/>
  <c r="F223" i="3"/>
  <c r="G292" i="3"/>
  <c r="G369" i="3"/>
  <c r="G377" i="3"/>
  <c r="F388" i="3"/>
  <c r="G432" i="3"/>
  <c r="G440" i="3"/>
  <c r="G451" i="3"/>
  <c r="G481" i="3"/>
  <c r="G525" i="3"/>
  <c r="F536" i="3"/>
  <c r="F572" i="3"/>
  <c r="G589" i="3"/>
  <c r="F592" i="3"/>
  <c r="F640" i="3"/>
  <c r="G754" i="3"/>
  <c r="G769" i="3"/>
  <c r="G784" i="3"/>
  <c r="F796" i="3"/>
  <c r="F811" i="3"/>
  <c r="F907" i="3"/>
  <c r="F7" i="3"/>
  <c r="G32" i="3"/>
  <c r="F30" i="3"/>
  <c r="F62" i="3"/>
  <c r="G124" i="3"/>
  <c r="G233" i="3"/>
  <c r="F528" i="3"/>
  <c r="F5" i="3"/>
  <c r="G14" i="3"/>
  <c r="F21" i="3"/>
  <c r="G30" i="3"/>
  <c r="F37" i="3"/>
  <c r="G46" i="3"/>
  <c r="F53" i="3"/>
  <c r="G62" i="3"/>
  <c r="F69" i="3"/>
  <c r="G78" i="3"/>
  <c r="F85" i="3"/>
  <c r="G94" i="3"/>
  <c r="F101" i="3"/>
  <c r="G110" i="3"/>
  <c r="G117" i="3"/>
  <c r="F136" i="3"/>
  <c r="G143" i="3"/>
  <c r="F148" i="3"/>
  <c r="G155" i="3"/>
  <c r="G162" i="3"/>
  <c r="G177" i="3"/>
  <c r="G200" i="3"/>
  <c r="G205" i="3"/>
  <c r="G228" i="3"/>
  <c r="G241" i="3"/>
  <c r="G257" i="3"/>
  <c r="F268" i="3"/>
  <c r="G284" i="3"/>
  <c r="G306" i="3"/>
  <c r="F320" i="3"/>
  <c r="F331" i="3"/>
  <c r="G361" i="3"/>
  <c r="F380" i="3"/>
  <c r="G388" i="3"/>
  <c r="F402" i="3"/>
  <c r="F424" i="3"/>
  <c r="F443" i="3"/>
  <c r="G465" i="3"/>
  <c r="G473" i="3"/>
  <c r="F484" i="3"/>
  <c r="G528" i="3"/>
  <c r="G536" i="3"/>
  <c r="G547" i="3"/>
  <c r="G572" i="3"/>
  <c r="G592" i="3"/>
  <c r="G640" i="3"/>
  <c r="G657" i="3"/>
  <c r="G689" i="3"/>
  <c r="G796" i="3"/>
  <c r="F919" i="3"/>
  <c r="G112" i="3"/>
  <c r="G87" i="3"/>
  <c r="F200" i="3"/>
  <c r="G5" i="3"/>
  <c r="F12" i="3"/>
  <c r="G21" i="3"/>
  <c r="F28" i="3"/>
  <c r="G37" i="3"/>
  <c r="F44" i="3"/>
  <c r="G53" i="3"/>
  <c r="F60" i="3"/>
  <c r="G69" i="3"/>
  <c r="F76" i="3"/>
  <c r="G85" i="3"/>
  <c r="F92" i="3"/>
  <c r="G101" i="3"/>
  <c r="F108" i="3"/>
  <c r="G129" i="3"/>
  <c r="G136" i="3"/>
  <c r="F141" i="3"/>
  <c r="G148" i="3"/>
  <c r="F167" i="3"/>
  <c r="F172" i="3"/>
  <c r="F195" i="3"/>
  <c r="F208" i="3"/>
  <c r="F231" i="3"/>
  <c r="F236" i="3"/>
  <c r="G249" i="3"/>
  <c r="G268" i="3"/>
  <c r="F276" i="3"/>
  <c r="F279" i="3"/>
  <c r="G320" i="3"/>
  <c r="F339" i="3"/>
  <c r="F364" i="3"/>
  <c r="G380" i="3"/>
  <c r="G402" i="3"/>
  <c r="F416" i="3"/>
  <c r="F427" i="3"/>
  <c r="G457" i="3"/>
  <c r="F476" i="3"/>
  <c r="G484" i="3"/>
  <c r="F498" i="3"/>
  <c r="F520" i="3"/>
  <c r="F539" i="3"/>
  <c r="G561" i="3"/>
  <c r="F609" i="3"/>
  <c r="F626" i="3"/>
  <c r="F695" i="3"/>
  <c r="F823" i="3"/>
  <c r="G877" i="3"/>
  <c r="G880" i="3"/>
  <c r="G892" i="3"/>
  <c r="G7" i="3"/>
  <c r="F46" i="3"/>
  <c r="F3" i="3"/>
  <c r="G12" i="3"/>
  <c r="F19" i="3"/>
  <c r="G28" i="3"/>
  <c r="F35" i="3"/>
  <c r="G44" i="3"/>
  <c r="F51" i="3"/>
  <c r="G60" i="3"/>
  <c r="F67" i="3"/>
  <c r="G76" i="3"/>
  <c r="F83" i="3"/>
  <c r="G92" i="3"/>
  <c r="F99" i="3"/>
  <c r="G108" i="3"/>
  <c r="F115" i="3"/>
  <c r="F134" i="3"/>
  <c r="G141" i="3"/>
  <c r="F160" i="3"/>
  <c r="G172" i="3"/>
  <c r="F185" i="3"/>
  <c r="F203" i="3"/>
  <c r="G208" i="3"/>
  <c r="G213" i="3"/>
  <c r="F226" i="3"/>
  <c r="G236" i="3"/>
  <c r="F252" i="3"/>
  <c r="F260" i="3"/>
  <c r="G301" i="3"/>
  <c r="F304" i="3"/>
  <c r="F312" i="3"/>
  <c r="F353" i="3"/>
  <c r="G364" i="3"/>
  <c r="F372" i="3"/>
  <c r="F375" i="3"/>
  <c r="G416" i="3"/>
  <c r="F435" i="3"/>
  <c r="F460" i="3"/>
  <c r="G476" i="3"/>
  <c r="G498" i="3"/>
  <c r="F512" i="3"/>
  <c r="F523" i="3"/>
  <c r="G553" i="3"/>
  <c r="F584" i="3"/>
  <c r="F587" i="3"/>
  <c r="G609" i="3"/>
  <c r="G626" i="3"/>
  <c r="G643" i="3"/>
  <c r="F652" i="3"/>
  <c r="F660" i="3"/>
  <c r="F663" i="3"/>
  <c r="F672" i="3"/>
  <c r="G707" i="3"/>
  <c r="F722" i="3"/>
  <c r="F737" i="3"/>
  <c r="G749" i="3"/>
  <c r="F752" i="3"/>
  <c r="G835" i="3"/>
  <c r="F850" i="3"/>
  <c r="F917" i="3"/>
  <c r="F901" i="3"/>
  <c r="F885" i="3"/>
  <c r="F869" i="3"/>
  <c r="F853" i="3"/>
  <c r="F837" i="3"/>
  <c r="F821" i="3"/>
  <c r="F805" i="3"/>
  <c r="F789" i="3"/>
  <c r="F773" i="3"/>
  <c r="F757" i="3"/>
  <c r="F741" i="3"/>
  <c r="F725" i="3"/>
  <c r="F709" i="3"/>
  <c r="F693" i="3"/>
  <c r="F677" i="3"/>
  <c r="F661" i="3"/>
  <c r="F645" i="3"/>
  <c r="F629" i="3"/>
  <c r="F613" i="3"/>
  <c r="F597" i="3"/>
  <c r="F581" i="3"/>
  <c r="F565" i="3"/>
  <c r="F549" i="3"/>
  <c r="F533" i="3"/>
  <c r="F517" i="3"/>
  <c r="F501" i="3"/>
  <c r="F485" i="3"/>
  <c r="F469" i="3"/>
  <c r="F453" i="3"/>
  <c r="F437" i="3"/>
  <c r="F421" i="3"/>
  <c r="F405" i="3"/>
  <c r="F389" i="3"/>
  <c r="F373" i="3"/>
  <c r="F357" i="3"/>
  <c r="F341" i="3"/>
  <c r="F325" i="3"/>
  <c r="F309" i="3"/>
  <c r="F293" i="3"/>
  <c r="F277" i="3"/>
  <c r="F261" i="3"/>
  <c r="F245" i="3"/>
  <c r="F910" i="3"/>
  <c r="F894" i="3"/>
  <c r="F878" i="3"/>
  <c r="F862" i="3"/>
  <c r="F846" i="3"/>
  <c r="F830" i="3"/>
  <c r="F814" i="3"/>
  <c r="F798" i="3"/>
  <c r="F782" i="3"/>
  <c r="F766" i="3"/>
  <c r="F750" i="3"/>
  <c r="F734" i="3"/>
  <c r="F718" i="3"/>
  <c r="F702" i="3"/>
  <c r="F686" i="3"/>
  <c r="F670" i="3"/>
  <c r="F654" i="3"/>
  <c r="F638" i="3"/>
  <c r="F622" i="3"/>
  <c r="F606" i="3"/>
  <c r="F590" i="3"/>
  <c r="F574" i="3"/>
  <c r="F558" i="3"/>
  <c r="F542" i="3"/>
  <c r="F526" i="3"/>
  <c r="F510" i="3"/>
  <c r="F494" i="3"/>
  <c r="F478" i="3"/>
  <c r="F462" i="3"/>
  <c r="F446" i="3"/>
  <c r="F430" i="3"/>
  <c r="F414" i="3"/>
  <c r="F398" i="3"/>
  <c r="F382" i="3"/>
  <c r="F366" i="3"/>
  <c r="F350" i="3"/>
  <c r="F334" i="3"/>
  <c r="F318" i="3"/>
  <c r="F302" i="3"/>
  <c r="F286" i="3"/>
  <c r="F270" i="3"/>
  <c r="F254" i="3"/>
  <c r="F909" i="3"/>
  <c r="F893" i="3"/>
  <c r="F877" i="3"/>
  <c r="F861" i="3"/>
  <c r="F845" i="3"/>
  <c r="F829" i="3"/>
  <c r="F813" i="3"/>
  <c r="F797" i="3"/>
  <c r="F781" i="3"/>
  <c r="F765" i="3"/>
  <c r="F749" i="3"/>
  <c r="F733" i="3"/>
  <c r="F717" i="3"/>
  <c r="F701" i="3"/>
  <c r="F685" i="3"/>
  <c r="F669" i="3"/>
  <c r="F653" i="3"/>
  <c r="F637" i="3"/>
  <c r="F621" i="3"/>
  <c r="F605" i="3"/>
  <c r="F589" i="3"/>
  <c r="F573" i="3"/>
  <c r="F557" i="3"/>
  <c r="F541" i="3"/>
  <c r="F525" i="3"/>
  <c r="F509" i="3"/>
  <c r="F493" i="3"/>
  <c r="F477" i="3"/>
  <c r="F461" i="3"/>
  <c r="F445" i="3"/>
  <c r="F429" i="3"/>
  <c r="F413" i="3"/>
  <c r="F397" i="3"/>
  <c r="F381" i="3"/>
  <c r="F365" i="3"/>
  <c r="F349" i="3"/>
  <c r="F333" i="3"/>
  <c r="F317" i="3"/>
  <c r="F301" i="3"/>
  <c r="F285" i="3"/>
  <c r="F269" i="3"/>
  <c r="F253" i="3"/>
  <c r="F918" i="3"/>
  <c r="F902" i="3"/>
  <c r="F886" i="3"/>
  <c r="F870" i="3"/>
  <c r="F854" i="3"/>
  <c r="F838" i="3"/>
  <c r="F822" i="3"/>
  <c r="F806" i="3"/>
  <c r="F790" i="3"/>
  <c r="F774" i="3"/>
  <c r="F758" i="3"/>
  <c r="F742" i="3"/>
  <c r="F726" i="3"/>
  <c r="F710" i="3"/>
  <c r="F694" i="3"/>
  <c r="F678" i="3"/>
  <c r="F662" i="3"/>
  <c r="F646" i="3"/>
  <c r="F630" i="3"/>
  <c r="F614" i="3"/>
  <c r="F598" i="3"/>
  <c r="F582" i="3"/>
  <c r="F566" i="3"/>
  <c r="F550" i="3"/>
  <c r="F534" i="3"/>
  <c r="F518" i="3"/>
  <c r="F502" i="3"/>
  <c r="F486" i="3"/>
  <c r="F470" i="3"/>
  <c r="F454" i="3"/>
  <c r="F438" i="3"/>
  <c r="F422" i="3"/>
  <c r="F406" i="3"/>
  <c r="F390" i="3"/>
  <c r="F374" i="3"/>
  <c r="F358" i="3"/>
  <c r="F342" i="3"/>
  <c r="F326" i="3"/>
  <c r="F310" i="3"/>
  <c r="F294" i="3"/>
  <c r="F278" i="3"/>
  <c r="F262" i="3"/>
  <c r="F246" i="3"/>
  <c r="F899" i="3"/>
  <c r="F867" i="3"/>
  <c r="F835" i="3"/>
  <c r="F803" i="3"/>
  <c r="F771" i="3"/>
  <c r="F739" i="3"/>
  <c r="F707" i="3"/>
  <c r="F675" i="3"/>
  <c r="F643" i="3"/>
  <c r="F611" i="3"/>
  <c r="F579" i="3"/>
  <c r="F547" i="3"/>
  <c r="F515" i="3"/>
  <c r="F483" i="3"/>
  <c r="F451" i="3"/>
  <c r="F419" i="3"/>
  <c r="F387" i="3"/>
  <c r="F355" i="3"/>
  <c r="F323" i="3"/>
  <c r="F291" i="3"/>
  <c r="F916" i="3"/>
  <c r="F904" i="3"/>
  <c r="F884" i="3"/>
  <c r="F872" i="3"/>
  <c r="F852" i="3"/>
  <c r="F840" i="3"/>
  <c r="F820" i="3"/>
  <c r="F808" i="3"/>
  <c r="F788" i="3"/>
  <c r="F776" i="3"/>
  <c r="F756" i="3"/>
  <c r="F744" i="3"/>
  <c r="F724" i="3"/>
  <c r="F712" i="3"/>
  <c r="F692" i="3"/>
  <c r="F680" i="3"/>
  <c r="F889" i="3"/>
  <c r="F857" i="3"/>
  <c r="F825" i="3"/>
  <c r="F793" i="3"/>
  <c r="F761" i="3"/>
  <c r="F729" i="3"/>
  <c r="F697" i="3"/>
  <c r="F665" i="3"/>
  <c r="F633" i="3"/>
  <c r="F601" i="3"/>
  <c r="F569" i="3"/>
  <c r="F537" i="3"/>
  <c r="F505" i="3"/>
  <c r="F473" i="3"/>
  <c r="F441" i="3"/>
  <c r="F409" i="3"/>
  <c r="F377" i="3"/>
  <c r="F345" i="3"/>
  <c r="F313" i="3"/>
  <c r="F281" i="3"/>
  <c r="F249" i="3"/>
  <c r="F237" i="3"/>
  <c r="F221" i="3"/>
  <c r="F205" i="3"/>
  <c r="F189" i="3"/>
  <c r="F173" i="3"/>
  <c r="F911" i="3"/>
  <c r="F906" i="3"/>
  <c r="F879" i="3"/>
  <c r="F874" i="3"/>
  <c r="F847" i="3"/>
  <c r="F842" i="3"/>
  <c r="F815" i="3"/>
  <c r="F810" i="3"/>
  <c r="F783" i="3"/>
  <c r="F778" i="3"/>
  <c r="F751" i="3"/>
  <c r="F746" i="3"/>
  <c r="F719" i="3"/>
  <c r="F714" i="3"/>
  <c r="F687" i="3"/>
  <c r="F682" i="3"/>
  <c r="F655" i="3"/>
  <c r="F650" i="3"/>
  <c r="F623" i="3"/>
  <c r="F618" i="3"/>
  <c r="F591" i="3"/>
  <c r="F586" i="3"/>
  <c r="F559" i="3"/>
  <c r="F554" i="3"/>
  <c r="F527" i="3"/>
  <c r="F522" i="3"/>
  <c r="F495" i="3"/>
  <c r="F490" i="3"/>
  <c r="F463" i="3"/>
  <c r="F458" i="3"/>
  <c r="F431" i="3"/>
  <c r="F426" i="3"/>
  <c r="F399" i="3"/>
  <c r="F394" i="3"/>
  <c r="F367" i="3"/>
  <c r="F362" i="3"/>
  <c r="F335" i="3"/>
  <c r="F330" i="3"/>
  <c r="F303" i="3"/>
  <c r="F298" i="3"/>
  <c r="F271" i="3"/>
  <c r="F266" i="3"/>
  <c r="F230" i="3"/>
  <c r="F214" i="3"/>
  <c r="F198" i="3"/>
  <c r="F182" i="3"/>
  <c r="F891" i="3"/>
  <c r="F859" i="3"/>
  <c r="F827" i="3"/>
  <c r="F795" i="3"/>
  <c r="F763" i="3"/>
  <c r="F731" i="3"/>
  <c r="F699" i="3"/>
  <c r="F667" i="3"/>
  <c r="F908" i="3"/>
  <c r="F896" i="3"/>
  <c r="F876" i="3"/>
  <c r="F864" i="3"/>
  <c r="F844" i="3"/>
  <c r="F832" i="3"/>
  <c r="F812" i="3"/>
  <c r="F800" i="3"/>
  <c r="F780" i="3"/>
  <c r="F768" i="3"/>
  <c r="F748" i="3"/>
  <c r="F736" i="3"/>
  <c r="F716" i="3"/>
  <c r="F704" i="3"/>
  <c r="F913" i="3"/>
  <c r="F881" i="3"/>
  <c r="F849" i="3"/>
  <c r="F817" i="3"/>
  <c r="F785" i="3"/>
  <c r="F753" i="3"/>
  <c r="F721" i="3"/>
  <c r="F689" i="3"/>
  <c r="F657" i="3"/>
  <c r="F625" i="3"/>
  <c r="F593" i="3"/>
  <c r="F561" i="3"/>
  <c r="F529" i="3"/>
  <c r="F497" i="3"/>
  <c r="F465" i="3"/>
  <c r="F433" i="3"/>
  <c r="F401" i="3"/>
  <c r="F369" i="3"/>
  <c r="F337" i="3"/>
  <c r="F305" i="3"/>
  <c r="F273" i="3"/>
  <c r="F241" i="3"/>
  <c r="F225" i="3"/>
  <c r="F209" i="3"/>
  <c r="F193" i="3"/>
  <c r="F177" i="3"/>
  <c r="F161" i="3"/>
  <c r="F145" i="3"/>
  <c r="F129" i="3"/>
  <c r="F903" i="3"/>
  <c r="F898" i="3"/>
  <c r="F871" i="3"/>
  <c r="F866" i="3"/>
  <c r="F839" i="3"/>
  <c r="F834" i="3"/>
  <c r="F807" i="3"/>
  <c r="F802" i="3"/>
  <c r="F775" i="3"/>
  <c r="F770" i="3"/>
  <c r="F743" i="3"/>
  <c r="F738" i="3"/>
  <c r="F711" i="3"/>
  <c r="F706" i="3"/>
  <c r="F679" i="3"/>
  <c r="F674" i="3"/>
  <c r="F647" i="3"/>
  <c r="F642" i="3"/>
  <c r="F615" i="3"/>
  <c r="F610" i="3"/>
  <c r="F583" i="3"/>
  <c r="F578" i="3"/>
  <c r="F551" i="3"/>
  <c r="F546" i="3"/>
  <c r="F519" i="3"/>
  <c r="F514" i="3"/>
  <c r="F487" i="3"/>
  <c r="F482" i="3"/>
  <c r="F455" i="3"/>
  <c r="F450" i="3"/>
  <c r="F423" i="3"/>
  <c r="F418" i="3"/>
  <c r="F391" i="3"/>
  <c r="F386" i="3"/>
  <c r="F359" i="3"/>
  <c r="F354" i="3"/>
  <c r="F327" i="3"/>
  <c r="F322" i="3"/>
  <c r="F295" i="3"/>
  <c r="F290" i="3"/>
  <c r="F263" i="3"/>
  <c r="F258" i="3"/>
  <c r="F234" i="3"/>
  <c r="F218" i="3"/>
  <c r="F202" i="3"/>
  <c r="F186" i="3"/>
  <c r="F170" i="3"/>
  <c r="F154" i="3"/>
  <c r="F138" i="3"/>
  <c r="F122" i="3"/>
  <c r="F915" i="3"/>
  <c r="F883" i="3"/>
  <c r="F851" i="3"/>
  <c r="F819" i="3"/>
  <c r="F787" i="3"/>
  <c r="F755" i="3"/>
  <c r="F723" i="3"/>
  <c r="F691" i="3"/>
  <c r="F659" i="3"/>
  <c r="F627" i="3"/>
  <c r="F595" i="3"/>
  <c r="F563" i="3"/>
  <c r="F920" i="3"/>
  <c r="F900" i="3"/>
  <c r="F888" i="3"/>
  <c r="F868" i="3"/>
  <c r="F856" i="3"/>
  <c r="F836" i="3"/>
  <c r="F824" i="3"/>
  <c r="F804" i="3"/>
  <c r="F792" i="3"/>
  <c r="F772" i="3"/>
  <c r="F760" i="3"/>
  <c r="F740" i="3"/>
  <c r="F728" i="3"/>
  <c r="F708" i="3"/>
  <c r="F696" i="3"/>
  <c r="F676" i="3"/>
  <c r="F664" i="3"/>
  <c r="F644" i="3"/>
  <c r="F632" i="3"/>
  <c r="F612" i="3"/>
  <c r="F600" i="3"/>
  <c r="F580" i="3"/>
  <c r="F568" i="3"/>
  <c r="F905" i="3"/>
  <c r="F873" i="3"/>
  <c r="F841" i="3"/>
  <c r="F809" i="3"/>
  <c r="F777" i="3"/>
  <c r="F745" i="3"/>
  <c r="F713" i="3"/>
  <c r="F681" i="3"/>
  <c r="F649" i="3"/>
  <c r="F617" i="3"/>
  <c r="F585" i="3"/>
  <c r="F553" i="3"/>
  <c r="F521" i="3"/>
  <c r="F489" i="3"/>
  <c r="F457" i="3"/>
  <c r="F425" i="3"/>
  <c r="F393" i="3"/>
  <c r="F361" i="3"/>
  <c r="F329" i="3"/>
  <c r="F297" i="3"/>
  <c r="F265" i="3"/>
  <c r="F229" i="3"/>
  <c r="F213" i="3"/>
  <c r="F197" i="3"/>
  <c r="F181" i="3"/>
  <c r="F895" i="3"/>
  <c r="F890" i="3"/>
  <c r="F863" i="3"/>
  <c r="F858" i="3"/>
  <c r="F831" i="3"/>
  <c r="F826" i="3"/>
  <c r="F799" i="3"/>
  <c r="F794" i="3"/>
  <c r="F767" i="3"/>
  <c r="F762" i="3"/>
  <c r="F735" i="3"/>
  <c r="F730" i="3"/>
  <c r="F703" i="3"/>
  <c r="F698" i="3"/>
  <c r="F671" i="3"/>
  <c r="F666" i="3"/>
  <c r="F639" i="3"/>
  <c r="F634" i="3"/>
  <c r="F607" i="3"/>
  <c r="F602" i="3"/>
  <c r="F575" i="3"/>
  <c r="F570" i="3"/>
  <c r="F543" i="3"/>
  <c r="F538" i="3"/>
  <c r="F511" i="3"/>
  <c r="F506" i="3"/>
  <c r="F479" i="3"/>
  <c r="F474" i="3"/>
  <c r="F447" i="3"/>
  <c r="F442" i="3"/>
  <c r="F415" i="3"/>
  <c r="F410" i="3"/>
  <c r="F383" i="3"/>
  <c r="F378" i="3"/>
  <c r="F351" i="3"/>
  <c r="F346" i="3"/>
  <c r="F319" i="3"/>
  <c r="F314" i="3"/>
  <c r="F287" i="3"/>
  <c r="F282" i="3"/>
  <c r="F255" i="3"/>
  <c r="F250" i="3"/>
  <c r="F238" i="3"/>
  <c r="F222" i="3"/>
  <c r="F206" i="3"/>
  <c r="F190" i="3"/>
  <c r="F174" i="3"/>
  <c r="F912" i="3"/>
  <c r="F892" i="3"/>
  <c r="F880" i="3"/>
  <c r="F10" i="3"/>
  <c r="G19" i="3"/>
  <c r="F26" i="3"/>
  <c r="G35" i="3"/>
  <c r="F42" i="3"/>
  <c r="G51" i="3"/>
  <c r="F58" i="3"/>
  <c r="G67" i="3"/>
  <c r="F74" i="3"/>
  <c r="G83" i="3"/>
  <c r="F90" i="3"/>
  <c r="G99" i="3"/>
  <c r="F106" i="3"/>
  <c r="F127" i="3"/>
  <c r="G134" i="3"/>
  <c r="F139" i="3"/>
  <c r="F146" i="3"/>
  <c r="F153" i="3"/>
  <c r="G160" i="3"/>
  <c r="F165" i="3"/>
  <c r="F175" i="3"/>
  <c r="F180" i="3"/>
  <c r="G185" i="3"/>
  <c r="G203" i="3"/>
  <c r="F216" i="3"/>
  <c r="G226" i="3"/>
  <c r="F239" i="3"/>
  <c r="F244" i="3"/>
  <c r="G252" i="3"/>
  <c r="G260" i="3"/>
  <c r="G304" i="3"/>
  <c r="G312" i="3"/>
  <c r="G323" i="3"/>
  <c r="G353" i="3"/>
  <c r="G397" i="3"/>
  <c r="F400" i="3"/>
  <c r="F408" i="3"/>
  <c r="F449" i="3"/>
  <c r="G460" i="3"/>
  <c r="F468" i="3"/>
  <c r="F471" i="3"/>
  <c r="G512" i="3"/>
  <c r="F531" i="3"/>
  <c r="F556" i="3"/>
  <c r="F564" i="3"/>
  <c r="F567" i="3"/>
  <c r="G601" i="3"/>
  <c r="F635" i="3"/>
  <c r="G652" i="3"/>
  <c r="F684" i="3"/>
  <c r="G722" i="3"/>
  <c r="G737" i="3"/>
  <c r="G752" i="3"/>
  <c r="F764" i="3"/>
  <c r="F779" i="3"/>
  <c r="G850" i="3"/>
  <c r="G64" i="3"/>
  <c r="F33" i="3"/>
  <c r="G58" i="3"/>
  <c r="F65" i="3"/>
  <c r="G74" i="3"/>
  <c r="F81" i="3"/>
  <c r="G90" i="3"/>
  <c r="F97" i="3"/>
  <c r="G106" i="3"/>
  <c r="F113" i="3"/>
  <c r="F120" i="3"/>
  <c r="G127" i="3"/>
  <c r="F132" i="3"/>
  <c r="G139" i="3"/>
  <c r="G146" i="3"/>
  <c r="G153" i="3"/>
  <c r="F158" i="3"/>
  <c r="G165" i="3"/>
  <c r="G180" i="3"/>
  <c r="G193" i="3"/>
  <c r="G216" i="3"/>
  <c r="G221" i="3"/>
  <c r="G244" i="3"/>
  <c r="F247" i="3"/>
  <c r="F274" i="3"/>
  <c r="F296" i="3"/>
  <c r="F315" i="3"/>
  <c r="G337" i="3"/>
  <c r="G345" i="3"/>
  <c r="F356" i="3"/>
  <c r="G400" i="3"/>
  <c r="G408" i="3"/>
  <c r="G419" i="3"/>
  <c r="G449" i="3"/>
  <c r="G493" i="3"/>
  <c r="F496" i="3"/>
  <c r="F504" i="3"/>
  <c r="F545" i="3"/>
  <c r="G556" i="3"/>
  <c r="F604" i="3"/>
  <c r="G621" i="3"/>
  <c r="F624" i="3"/>
  <c r="G675" i="3"/>
  <c r="G764" i="3"/>
  <c r="G48" i="3"/>
  <c r="G39" i="3"/>
  <c r="G55" i="3"/>
  <c r="F78" i="3"/>
  <c r="F94" i="3"/>
  <c r="F155" i="3"/>
  <c r="G210" i="3"/>
  <c r="F257" i="3"/>
  <c r="F284" i="3"/>
  <c r="F328" i="3"/>
  <c r="F347" i="3"/>
  <c r="G3" i="3"/>
  <c r="G26" i="3"/>
  <c r="G42" i="3"/>
  <c r="F49" i="3"/>
  <c r="F8" i="3"/>
  <c r="G17" i="3"/>
  <c r="F24" i="3"/>
  <c r="G33" i="3"/>
  <c r="F40" i="3"/>
  <c r="G49" i="3"/>
  <c r="F56" i="3"/>
  <c r="G65" i="3"/>
  <c r="F72" i="3"/>
  <c r="G81" i="3"/>
  <c r="F88" i="3"/>
  <c r="G97" i="3"/>
  <c r="F104" i="3"/>
  <c r="G113" i="3"/>
  <c r="G120" i="3"/>
  <c r="F125" i="3"/>
  <c r="G132" i="3"/>
  <c r="F151" i="3"/>
  <c r="G158" i="3"/>
  <c r="F183" i="3"/>
  <c r="F188" i="3"/>
  <c r="F211" i="3"/>
  <c r="F224" i="3"/>
  <c r="G274" i="3"/>
  <c r="F288" i="3"/>
  <c r="F299" i="3"/>
  <c r="G329" i="3"/>
  <c r="F348" i="3"/>
  <c r="G356" i="3"/>
  <c r="F370" i="3"/>
  <c r="F392" i="3"/>
  <c r="F411" i="3"/>
  <c r="G433" i="3"/>
  <c r="G441" i="3"/>
  <c r="F452" i="3"/>
  <c r="G496" i="3"/>
  <c r="G504" i="3"/>
  <c r="G515" i="3"/>
  <c r="G545" i="3"/>
  <c r="F576" i="3"/>
  <c r="G604" i="3"/>
  <c r="F791" i="3"/>
  <c r="F914" i="3"/>
  <c r="K5" i="4"/>
  <c r="I5" i="4"/>
  <c r="K9" i="4"/>
  <c r="I9" i="4"/>
  <c r="G910" i="3"/>
  <c r="G894" i="3"/>
  <c r="G878" i="3"/>
  <c r="G862" i="3"/>
  <c r="G846" i="3"/>
  <c r="G830" i="3"/>
  <c r="G814" i="3"/>
  <c r="G798" i="3"/>
  <c r="G782" i="3"/>
  <c r="G766" i="3"/>
  <c r="G750" i="3"/>
  <c r="G734" i="3"/>
  <c r="G718" i="3"/>
  <c r="G702" i="3"/>
  <c r="G686" i="3"/>
  <c r="G670" i="3"/>
  <c r="G654" i="3"/>
  <c r="G638" i="3"/>
  <c r="G622" i="3"/>
  <c r="G606" i="3"/>
  <c r="G590" i="3"/>
  <c r="G574" i="3"/>
  <c r="G558" i="3"/>
  <c r="G542" i="3"/>
  <c r="G526" i="3"/>
  <c r="G510" i="3"/>
  <c r="G494" i="3"/>
  <c r="G478" i="3"/>
  <c r="G462" i="3"/>
  <c r="G446" i="3"/>
  <c r="G430" i="3"/>
  <c r="G414" i="3"/>
  <c r="G398" i="3"/>
  <c r="G382" i="3"/>
  <c r="G366" i="3"/>
  <c r="G350" i="3"/>
  <c r="G334" i="3"/>
  <c r="G318" i="3"/>
  <c r="G302" i="3"/>
  <c r="G286" i="3"/>
  <c r="G270" i="3"/>
  <c r="G254" i="3"/>
  <c r="G919" i="3"/>
  <c r="G903" i="3"/>
  <c r="G887" i="3"/>
  <c r="G871" i="3"/>
  <c r="G855" i="3"/>
  <c r="G839" i="3"/>
  <c r="G823" i="3"/>
  <c r="G807" i="3"/>
  <c r="G791" i="3"/>
  <c r="G775" i="3"/>
  <c r="G759" i="3"/>
  <c r="G743" i="3"/>
  <c r="G727" i="3"/>
  <c r="G711" i="3"/>
  <c r="G695" i="3"/>
  <c r="G679" i="3"/>
  <c r="G663" i="3"/>
  <c r="G647" i="3"/>
  <c r="G631" i="3"/>
  <c r="G615" i="3"/>
  <c r="G599" i="3"/>
  <c r="G583" i="3"/>
  <c r="G567" i="3"/>
  <c r="G551" i="3"/>
  <c r="G535" i="3"/>
  <c r="G519" i="3"/>
  <c r="G503" i="3"/>
  <c r="G487" i="3"/>
  <c r="G471" i="3"/>
  <c r="G455" i="3"/>
  <c r="G439" i="3"/>
  <c r="G423" i="3"/>
  <c r="G407" i="3"/>
  <c r="G391" i="3"/>
  <c r="G375" i="3"/>
  <c r="G359" i="3"/>
  <c r="G343" i="3"/>
  <c r="G327" i="3"/>
  <c r="G311" i="3"/>
  <c r="G295" i="3"/>
  <c r="G279" i="3"/>
  <c r="G263" i="3"/>
  <c r="G247" i="3"/>
  <c r="G918" i="3"/>
  <c r="G902" i="3"/>
  <c r="G886" i="3"/>
  <c r="G870" i="3"/>
  <c r="G854" i="3"/>
  <c r="G838" i="3"/>
  <c r="G822" i="3"/>
  <c r="G806" i="3"/>
  <c r="G790" i="3"/>
  <c r="G774" i="3"/>
  <c r="G758" i="3"/>
  <c r="G742" i="3"/>
  <c r="G726" i="3"/>
  <c r="G710" i="3"/>
  <c r="G694" i="3"/>
  <c r="G678" i="3"/>
  <c r="G662" i="3"/>
  <c r="G646" i="3"/>
  <c r="G630" i="3"/>
  <c r="G614" i="3"/>
  <c r="G598" i="3"/>
  <c r="G582" i="3"/>
  <c r="G566" i="3"/>
  <c r="G550" i="3"/>
  <c r="G534" i="3"/>
  <c r="G518" i="3"/>
  <c r="G502" i="3"/>
  <c r="G486" i="3"/>
  <c r="G470" i="3"/>
  <c r="G454" i="3"/>
  <c r="G438" i="3"/>
  <c r="G422" i="3"/>
  <c r="G406" i="3"/>
  <c r="G390" i="3"/>
  <c r="G374" i="3"/>
  <c r="G358" i="3"/>
  <c r="G342" i="3"/>
  <c r="G326" i="3"/>
  <c r="G310" i="3"/>
  <c r="G294" i="3"/>
  <c r="G278" i="3"/>
  <c r="G262" i="3"/>
  <c r="G246" i="3"/>
  <c r="G911" i="3"/>
  <c r="G895" i="3"/>
  <c r="G879" i="3"/>
  <c r="G863" i="3"/>
  <c r="G847" i="3"/>
  <c r="G831" i="3"/>
  <c r="G815" i="3"/>
  <c r="G799" i="3"/>
  <c r="G783" i="3"/>
  <c r="G767" i="3"/>
  <c r="G751" i="3"/>
  <c r="G735" i="3"/>
  <c r="G719" i="3"/>
  <c r="G703" i="3"/>
  <c r="G687" i="3"/>
  <c r="G671" i="3"/>
  <c r="G655" i="3"/>
  <c r="G639" i="3"/>
  <c r="G623" i="3"/>
  <c r="G607" i="3"/>
  <c r="G591" i="3"/>
  <c r="G575" i="3"/>
  <c r="G559" i="3"/>
  <c r="G543" i="3"/>
  <c r="G527" i="3"/>
  <c r="G511" i="3"/>
  <c r="G495" i="3"/>
  <c r="G479" i="3"/>
  <c r="G463" i="3"/>
  <c r="G447" i="3"/>
  <c r="G431" i="3"/>
  <c r="G415" i="3"/>
  <c r="G399" i="3"/>
  <c r="G383" i="3"/>
  <c r="G367" i="3"/>
  <c r="G351" i="3"/>
  <c r="G335" i="3"/>
  <c r="G319" i="3"/>
  <c r="G303" i="3"/>
  <c r="G287" i="3"/>
  <c r="G271" i="3"/>
  <c r="G255" i="3"/>
  <c r="G916" i="3"/>
  <c r="G904" i="3"/>
  <c r="G884" i="3"/>
  <c r="G872" i="3"/>
  <c r="G852" i="3"/>
  <c r="G840" i="3"/>
  <c r="G820" i="3"/>
  <c r="G808" i="3"/>
  <c r="G788" i="3"/>
  <c r="G776" i="3"/>
  <c r="G756" i="3"/>
  <c r="G744" i="3"/>
  <c r="G724" i="3"/>
  <c r="G712" i="3"/>
  <c r="G692" i="3"/>
  <c r="G680" i="3"/>
  <c r="G660" i="3"/>
  <c r="G648" i="3"/>
  <c r="G628" i="3"/>
  <c r="G616" i="3"/>
  <c r="G596" i="3"/>
  <c r="G584" i="3"/>
  <c r="G564" i="3"/>
  <c r="G552" i="3"/>
  <c r="G532" i="3"/>
  <c r="G520" i="3"/>
  <c r="G500" i="3"/>
  <c r="G488" i="3"/>
  <c r="G468" i="3"/>
  <c r="G456" i="3"/>
  <c r="G436" i="3"/>
  <c r="G424" i="3"/>
  <c r="G404" i="3"/>
  <c r="G392" i="3"/>
  <c r="G372" i="3"/>
  <c r="G360" i="3"/>
  <c r="G340" i="3"/>
  <c r="G328" i="3"/>
  <c r="G308" i="3"/>
  <c r="G296" i="3"/>
  <c r="G276" i="3"/>
  <c r="G889" i="3"/>
  <c r="G857" i="3"/>
  <c r="G825" i="3"/>
  <c r="G793" i="3"/>
  <c r="G761" i="3"/>
  <c r="G729" i="3"/>
  <c r="G697" i="3"/>
  <c r="G665" i="3"/>
  <c r="G906" i="3"/>
  <c r="G901" i="3"/>
  <c r="G874" i="3"/>
  <c r="G869" i="3"/>
  <c r="G842" i="3"/>
  <c r="G837" i="3"/>
  <c r="G810" i="3"/>
  <c r="G805" i="3"/>
  <c r="G778" i="3"/>
  <c r="G773" i="3"/>
  <c r="G746" i="3"/>
  <c r="G741" i="3"/>
  <c r="G714" i="3"/>
  <c r="G709" i="3"/>
  <c r="G682" i="3"/>
  <c r="G677" i="3"/>
  <c r="G650" i="3"/>
  <c r="G645" i="3"/>
  <c r="G618" i="3"/>
  <c r="G613" i="3"/>
  <c r="G586" i="3"/>
  <c r="G581" i="3"/>
  <c r="G554" i="3"/>
  <c r="G549" i="3"/>
  <c r="G522" i="3"/>
  <c r="G517" i="3"/>
  <c r="G490" i="3"/>
  <c r="G485" i="3"/>
  <c r="G458" i="3"/>
  <c r="G453" i="3"/>
  <c r="G426" i="3"/>
  <c r="G421" i="3"/>
  <c r="G394" i="3"/>
  <c r="G389" i="3"/>
  <c r="G362" i="3"/>
  <c r="G357" i="3"/>
  <c r="G330" i="3"/>
  <c r="G325" i="3"/>
  <c r="G298" i="3"/>
  <c r="G293" i="3"/>
  <c r="G266" i="3"/>
  <c r="G261" i="3"/>
  <c r="G230" i="3"/>
  <c r="G214" i="3"/>
  <c r="G198" i="3"/>
  <c r="G182" i="3"/>
  <c r="G891" i="3"/>
  <c r="G859" i="3"/>
  <c r="G827" i="3"/>
  <c r="G795" i="3"/>
  <c r="G763" i="3"/>
  <c r="G731" i="3"/>
  <c r="G699" i="3"/>
  <c r="G667" i="3"/>
  <c r="G635" i="3"/>
  <c r="G603" i="3"/>
  <c r="G571" i="3"/>
  <c r="G539" i="3"/>
  <c r="G507" i="3"/>
  <c r="G475" i="3"/>
  <c r="G443" i="3"/>
  <c r="G411" i="3"/>
  <c r="G379" i="3"/>
  <c r="G347" i="3"/>
  <c r="G315" i="3"/>
  <c r="G283" i="3"/>
  <c r="G251" i="3"/>
  <c r="G239" i="3"/>
  <c r="G223" i="3"/>
  <c r="G207" i="3"/>
  <c r="G191" i="3"/>
  <c r="G175" i="3"/>
  <c r="G908" i="3"/>
  <c r="G896" i="3"/>
  <c r="G876" i="3"/>
  <c r="G864" i="3"/>
  <c r="G844" i="3"/>
  <c r="G832" i="3"/>
  <c r="G812" i="3"/>
  <c r="G800" i="3"/>
  <c r="G780" i="3"/>
  <c r="G768" i="3"/>
  <c r="G748" i="3"/>
  <c r="G736" i="3"/>
  <c r="G716" i="3"/>
  <c r="G704" i="3"/>
  <c r="G684" i="3"/>
  <c r="G672" i="3"/>
  <c r="G913" i="3"/>
  <c r="G881" i="3"/>
  <c r="G849" i="3"/>
  <c r="G817" i="3"/>
  <c r="G785" i="3"/>
  <c r="G753" i="3"/>
  <c r="G721" i="3"/>
  <c r="G898" i="3"/>
  <c r="G893" i="3"/>
  <c r="G866" i="3"/>
  <c r="G861" i="3"/>
  <c r="G834" i="3"/>
  <c r="G829" i="3"/>
  <c r="G802" i="3"/>
  <c r="G797" i="3"/>
  <c r="G770" i="3"/>
  <c r="G765" i="3"/>
  <c r="G738" i="3"/>
  <c r="G733" i="3"/>
  <c r="G706" i="3"/>
  <c r="G701" i="3"/>
  <c r="G674" i="3"/>
  <c r="G669" i="3"/>
  <c r="G642" i="3"/>
  <c r="G637" i="3"/>
  <c r="G610" i="3"/>
  <c r="G605" i="3"/>
  <c r="G578" i="3"/>
  <c r="G573" i="3"/>
  <c r="G546" i="3"/>
  <c r="G541" i="3"/>
  <c r="G514" i="3"/>
  <c r="G509" i="3"/>
  <c r="G482" i="3"/>
  <c r="G477" i="3"/>
  <c r="G450" i="3"/>
  <c r="G445" i="3"/>
  <c r="G418" i="3"/>
  <c r="G413" i="3"/>
  <c r="G386" i="3"/>
  <c r="G381" i="3"/>
  <c r="G354" i="3"/>
  <c r="G349" i="3"/>
  <c r="G322" i="3"/>
  <c r="G317" i="3"/>
  <c r="G290" i="3"/>
  <c r="G285" i="3"/>
  <c r="G258" i="3"/>
  <c r="G253" i="3"/>
  <c r="G234" i="3"/>
  <c r="G218" i="3"/>
  <c r="G202" i="3"/>
  <c r="G186" i="3"/>
  <c r="G170" i="3"/>
  <c r="G154" i="3"/>
  <c r="G138" i="3"/>
  <c r="G122" i="3"/>
  <c r="G915" i="3"/>
  <c r="G883" i="3"/>
  <c r="G851" i="3"/>
  <c r="G819" i="3"/>
  <c r="G787" i="3"/>
  <c r="G755" i="3"/>
  <c r="G723" i="3"/>
  <c r="G691" i="3"/>
  <c r="G659" i="3"/>
  <c r="G627" i="3"/>
  <c r="G595" i="3"/>
  <c r="G563" i="3"/>
  <c r="G531" i="3"/>
  <c r="G499" i="3"/>
  <c r="G467" i="3"/>
  <c r="G435" i="3"/>
  <c r="G403" i="3"/>
  <c r="G371" i="3"/>
  <c r="G339" i="3"/>
  <c r="G307" i="3"/>
  <c r="G275" i="3"/>
  <c r="G243" i="3"/>
  <c r="G227" i="3"/>
  <c r="G211" i="3"/>
  <c r="G195" i="3"/>
  <c r="G179" i="3"/>
  <c r="G163" i="3"/>
  <c r="G147" i="3"/>
  <c r="G131" i="3"/>
  <c r="G115" i="3"/>
  <c r="G920" i="3"/>
  <c r="G900" i="3"/>
  <c r="G888" i="3"/>
  <c r="G868" i="3"/>
  <c r="G856" i="3"/>
  <c r="G836" i="3"/>
  <c r="G824" i="3"/>
  <c r="G804" i="3"/>
  <c r="G792" i="3"/>
  <c r="G772" i="3"/>
  <c r="G760" i="3"/>
  <c r="G740" i="3"/>
  <c r="G728" i="3"/>
  <c r="G708" i="3"/>
  <c r="G696" i="3"/>
  <c r="G676" i="3"/>
  <c r="G664" i="3"/>
  <c r="G644" i="3"/>
  <c r="G632" i="3"/>
  <c r="G612" i="3"/>
  <c r="G600" i="3"/>
  <c r="G580" i="3"/>
  <c r="G568" i="3"/>
  <c r="G905" i="3"/>
  <c r="G873" i="3"/>
  <c r="G841" i="3"/>
  <c r="G809" i="3"/>
  <c r="G777" i="3"/>
  <c r="G745" i="3"/>
  <c r="G713" i="3"/>
  <c r="G681" i="3"/>
  <c r="G649" i="3"/>
  <c r="G617" i="3"/>
  <c r="G585" i="3"/>
  <c r="G917" i="3"/>
  <c r="G890" i="3"/>
  <c r="G885" i="3"/>
  <c r="G858" i="3"/>
  <c r="G853" i="3"/>
  <c r="G826" i="3"/>
  <c r="G821" i="3"/>
  <c r="G794" i="3"/>
  <c r="G789" i="3"/>
  <c r="G762" i="3"/>
  <c r="G757" i="3"/>
  <c r="G730" i="3"/>
  <c r="G725" i="3"/>
  <c r="G698" i="3"/>
  <c r="G693" i="3"/>
  <c r="G666" i="3"/>
  <c r="G661" i="3"/>
  <c r="G634" i="3"/>
  <c r="G629" i="3"/>
  <c r="G602" i="3"/>
  <c r="G597" i="3"/>
  <c r="G570" i="3"/>
  <c r="G565" i="3"/>
  <c r="G538" i="3"/>
  <c r="G533" i="3"/>
  <c r="G506" i="3"/>
  <c r="G501" i="3"/>
  <c r="G474" i="3"/>
  <c r="G469" i="3"/>
  <c r="G442" i="3"/>
  <c r="G437" i="3"/>
  <c r="G410" i="3"/>
  <c r="G405" i="3"/>
  <c r="G378" i="3"/>
  <c r="G373" i="3"/>
  <c r="G346" i="3"/>
  <c r="G341" i="3"/>
  <c r="G314" i="3"/>
  <c r="G309" i="3"/>
  <c r="G282" i="3"/>
  <c r="G277" i="3"/>
  <c r="G250" i="3"/>
  <c r="G245" i="3"/>
  <c r="G238" i="3"/>
  <c r="G222" i="3"/>
  <c r="G206" i="3"/>
  <c r="G190" i="3"/>
  <c r="G174" i="3"/>
  <c r="G907" i="3"/>
  <c r="G875" i="3"/>
  <c r="G843" i="3"/>
  <c r="G811" i="3"/>
  <c r="G779" i="3"/>
  <c r="G747" i="3"/>
  <c r="G715" i="3"/>
  <c r="G683" i="3"/>
  <c r="G651" i="3"/>
  <c r="G619" i="3"/>
  <c r="G587" i="3"/>
  <c r="G555" i="3"/>
  <c r="G523" i="3"/>
  <c r="G491" i="3"/>
  <c r="G459" i="3"/>
  <c r="G427" i="3"/>
  <c r="G395" i="3"/>
  <c r="G363" i="3"/>
  <c r="G331" i="3"/>
  <c r="G299" i="3"/>
  <c r="G267" i="3"/>
  <c r="G231" i="3"/>
  <c r="G215" i="3"/>
  <c r="G199" i="3"/>
  <c r="G183" i="3"/>
  <c r="G167" i="3"/>
  <c r="G897" i="3"/>
  <c r="G865" i="3"/>
  <c r="G10" i="3"/>
  <c r="F17" i="3"/>
  <c r="G8" i="3"/>
  <c r="F15" i="3"/>
  <c r="G24" i="3"/>
  <c r="F31" i="3"/>
  <c r="G40" i="3"/>
  <c r="F47" i="3"/>
  <c r="G56" i="3"/>
  <c r="F63" i="3"/>
  <c r="G72" i="3"/>
  <c r="F79" i="3"/>
  <c r="G88" i="3"/>
  <c r="F95" i="3"/>
  <c r="G104" i="3"/>
  <c r="F111" i="3"/>
  <c r="F118" i="3"/>
  <c r="G125" i="3"/>
  <c r="F144" i="3"/>
  <c r="G151" i="3"/>
  <c r="F156" i="3"/>
  <c r="F163" i="3"/>
  <c r="F178" i="3"/>
  <c r="G188" i="3"/>
  <c r="F201" i="3"/>
  <c r="F219" i="3"/>
  <c r="G224" i="3"/>
  <c r="G229" i="3"/>
  <c r="F242" i="3"/>
  <c r="G288" i="3"/>
  <c r="F307" i="3"/>
  <c r="F332" i="3"/>
  <c r="G348" i="3"/>
  <c r="G370" i="3"/>
  <c r="F384" i="3"/>
  <c r="F395" i="3"/>
  <c r="G425" i="3"/>
  <c r="F444" i="3"/>
  <c r="G452" i="3"/>
  <c r="F466" i="3"/>
  <c r="F488" i="3"/>
  <c r="F507" i="3"/>
  <c r="G529" i="3"/>
  <c r="G537" i="3"/>
  <c r="F548" i="3"/>
  <c r="G576" i="3"/>
  <c r="G593" i="3"/>
  <c r="F641" i="3"/>
  <c r="F658" i="3"/>
  <c r="F690" i="3"/>
  <c r="F705" i="3"/>
  <c r="G717" i="3"/>
  <c r="F720" i="3"/>
  <c r="G803" i="3"/>
  <c r="F818" i="3"/>
  <c r="F833" i="3"/>
  <c r="G845" i="3"/>
  <c r="F848" i="3"/>
  <c r="F875" i="3"/>
  <c r="G899" i="3"/>
  <c r="G914" i="3"/>
  <c r="F6" i="3"/>
  <c r="G15" i="3"/>
  <c r="F22" i="3"/>
  <c r="G31" i="3"/>
  <c r="F38" i="3"/>
  <c r="G47" i="3"/>
  <c r="F54" i="3"/>
  <c r="G63" i="3"/>
  <c r="F70" i="3"/>
  <c r="G79" i="3"/>
  <c r="F86" i="3"/>
  <c r="G95" i="3"/>
  <c r="F102" i="3"/>
  <c r="G111" i="3"/>
  <c r="G118" i="3"/>
  <c r="F123" i="3"/>
  <c r="F130" i="3"/>
  <c r="F137" i="3"/>
  <c r="G144" i="3"/>
  <c r="F149" i="3"/>
  <c r="G156" i="3"/>
  <c r="F168" i="3"/>
  <c r="G178" i="3"/>
  <c r="F191" i="3"/>
  <c r="F196" i="3"/>
  <c r="G201" i="3"/>
  <c r="G219" i="3"/>
  <c r="F232" i="3"/>
  <c r="G242" i="3"/>
  <c r="G269" i="3"/>
  <c r="F272" i="3"/>
  <c r="F280" i="3"/>
  <c r="F321" i="3"/>
  <c r="G332" i="3"/>
  <c r="F340" i="3"/>
  <c r="F343" i="3"/>
  <c r="G384" i="3"/>
  <c r="F403" i="3"/>
  <c r="F428" i="3"/>
  <c r="G444" i="3"/>
  <c r="G466" i="3"/>
  <c r="F480" i="3"/>
  <c r="F491" i="3"/>
  <c r="G521" i="3"/>
  <c r="F540" i="3"/>
  <c r="G548" i="3"/>
  <c r="F562" i="3"/>
  <c r="F616" i="3"/>
  <c r="F619" i="3"/>
  <c r="G641" i="3"/>
  <c r="G658" i="3"/>
  <c r="G690" i="3"/>
  <c r="G705" i="3"/>
  <c r="G720" i="3"/>
  <c r="F732" i="3"/>
  <c r="F747" i="3"/>
  <c r="G818" i="3"/>
  <c r="G833" i="3"/>
  <c r="G848" i="3"/>
  <c r="F860" i="3"/>
  <c r="F887" i="3"/>
  <c r="G6" i="3"/>
  <c r="F13" i="3"/>
  <c r="G22" i="3"/>
  <c r="F29" i="3"/>
  <c r="G38" i="3"/>
  <c r="F45" i="3"/>
  <c r="G54" i="3"/>
  <c r="F61" i="3"/>
  <c r="G70" i="3"/>
  <c r="F77" i="3"/>
  <c r="G86" i="3"/>
  <c r="F93" i="3"/>
  <c r="G102" i="3"/>
  <c r="F109" i="3"/>
  <c r="F116" i="3"/>
  <c r="G123" i="3"/>
  <c r="G130" i="3"/>
  <c r="G137" i="3"/>
  <c r="F142" i="3"/>
  <c r="G149" i="3"/>
  <c r="G168" i="3"/>
  <c r="G173" i="3"/>
  <c r="G196" i="3"/>
  <c r="G209" i="3"/>
  <c r="G232" i="3"/>
  <c r="G237" i="3"/>
  <c r="F256" i="3"/>
  <c r="F264" i="3"/>
  <c r="G272" i="3"/>
  <c r="G280" i="3"/>
  <c r="G291" i="3"/>
  <c r="G321" i="3"/>
  <c r="G365" i="3"/>
  <c r="F368" i="3"/>
  <c r="F376" i="3"/>
  <c r="F417" i="3"/>
  <c r="G428" i="3"/>
  <c r="F436" i="3"/>
  <c r="F439" i="3"/>
  <c r="G480" i="3"/>
  <c r="F499" i="3"/>
  <c r="F524" i="3"/>
  <c r="G540" i="3"/>
  <c r="G562" i="3"/>
  <c r="G579" i="3"/>
  <c r="F588" i="3"/>
  <c r="F596" i="3"/>
  <c r="F599" i="3"/>
  <c r="G633" i="3"/>
  <c r="F673" i="3"/>
  <c r="G732" i="3"/>
  <c r="G860" i="3"/>
  <c r="F4" i="3"/>
  <c r="G13" i="3"/>
  <c r="F20" i="3"/>
  <c r="G29" i="3"/>
  <c r="F36" i="3"/>
  <c r="G45" i="3"/>
  <c r="F52" i="3"/>
  <c r="G61" i="3"/>
  <c r="F68" i="3"/>
  <c r="G77" i="3"/>
  <c r="F84" i="3"/>
  <c r="G93" i="3"/>
  <c r="F100" i="3"/>
  <c r="G109" i="3"/>
  <c r="G116" i="3"/>
  <c r="F135" i="3"/>
  <c r="G142" i="3"/>
  <c r="G161" i="3"/>
  <c r="F176" i="3"/>
  <c r="F199" i="3"/>
  <c r="F204" i="3"/>
  <c r="F227" i="3"/>
  <c r="F240" i="3"/>
  <c r="G256" i="3"/>
  <c r="G264" i="3"/>
  <c r="F283" i="3"/>
  <c r="G305" i="3"/>
  <c r="G313" i="3"/>
  <c r="F324" i="3"/>
  <c r="G368" i="3"/>
  <c r="G376" i="3"/>
  <c r="G387" i="3"/>
  <c r="G417" i="3"/>
  <c r="G461" i="3"/>
  <c r="F464" i="3"/>
  <c r="F472" i="3"/>
  <c r="F513" i="3"/>
  <c r="G524" i="3"/>
  <c r="F532" i="3"/>
  <c r="F535" i="3"/>
  <c r="F571" i="3"/>
  <c r="G588" i="3"/>
  <c r="F636" i="3"/>
  <c r="G653" i="3"/>
  <c r="F656" i="3"/>
  <c r="G673" i="3"/>
  <c r="G685" i="3"/>
  <c r="F688" i="3"/>
  <c r="F759" i="3"/>
  <c r="G4" i="3"/>
  <c r="F11" i="3"/>
  <c r="G20" i="3"/>
  <c r="F27" i="3"/>
  <c r="G36" i="3"/>
  <c r="F43" i="3"/>
  <c r="G52" i="3"/>
  <c r="F59" i="3"/>
  <c r="G68" i="3"/>
  <c r="F75" i="3"/>
  <c r="G84" i="3"/>
  <c r="F91" i="3"/>
  <c r="G100" i="3"/>
  <c r="F107" i="3"/>
  <c r="F128" i="3"/>
  <c r="G135" i="3"/>
  <c r="F140" i="3"/>
  <c r="F147" i="3"/>
  <c r="F166" i="3"/>
  <c r="F171" i="3"/>
  <c r="G176" i="3"/>
  <c r="G181" i="3"/>
  <c r="F194" i="3"/>
  <c r="G204" i="3"/>
  <c r="F217" i="3"/>
  <c r="F235" i="3"/>
  <c r="G240" i="3"/>
  <c r="F248" i="3"/>
  <c r="F267" i="3"/>
  <c r="G297" i="3"/>
  <c r="F316" i="3"/>
  <c r="G324" i="3"/>
  <c r="F338" i="3"/>
  <c r="F360" i="3"/>
  <c r="F379" i="3"/>
  <c r="G401" i="3"/>
  <c r="G409" i="3"/>
  <c r="F420" i="3"/>
  <c r="G464" i="3"/>
  <c r="G472" i="3"/>
  <c r="G483" i="3"/>
  <c r="G513" i="3"/>
  <c r="G557" i="3"/>
  <c r="F560" i="3"/>
  <c r="F608" i="3"/>
  <c r="G636" i="3"/>
  <c r="G656" i="3"/>
  <c r="G688" i="3"/>
  <c r="G771" i="3"/>
  <c r="F786" i="3"/>
  <c r="F801" i="3"/>
  <c r="G813" i="3"/>
  <c r="F816" i="3"/>
  <c r="G909" i="3"/>
  <c r="G912" i="3"/>
  <c r="G11" i="3"/>
  <c r="F34" i="3"/>
  <c r="G43" i="3"/>
  <c r="F50" i="3"/>
  <c r="G59" i="3"/>
  <c r="F66" i="3"/>
  <c r="G75" i="3"/>
  <c r="F82" i="3"/>
  <c r="G91" i="3"/>
  <c r="F98" i="3"/>
  <c r="G107" i="3"/>
  <c r="F114" i="3"/>
  <c r="F121" i="3"/>
  <c r="G128" i="3"/>
  <c r="F133" i="3"/>
  <c r="G140" i="3"/>
  <c r="F159" i="3"/>
  <c r="G166" i="3"/>
  <c r="G171" i="3"/>
  <c r="F184" i="3"/>
  <c r="G194" i="3"/>
  <c r="F207" i="3"/>
  <c r="F212" i="3"/>
  <c r="G217" i="3"/>
  <c r="G235" i="3"/>
  <c r="G248" i="3"/>
  <c r="F259" i="3"/>
  <c r="F275" i="3"/>
  <c r="F300" i="3"/>
  <c r="G316" i="3"/>
  <c r="G338" i="3"/>
  <c r="F352" i="3"/>
  <c r="F363" i="3"/>
  <c r="G393" i="3"/>
  <c r="F412" i="3"/>
  <c r="G420" i="3"/>
  <c r="F434" i="3"/>
  <c r="F456" i="3"/>
  <c r="F475" i="3"/>
  <c r="G497" i="3"/>
  <c r="G505" i="3"/>
  <c r="F516" i="3"/>
  <c r="G560" i="3"/>
  <c r="G608" i="3"/>
  <c r="G625" i="3"/>
  <c r="F700" i="3"/>
  <c r="F715" i="3"/>
  <c r="G786" i="3"/>
  <c r="G801" i="3"/>
  <c r="G816" i="3"/>
  <c r="F828" i="3"/>
  <c r="F843" i="3"/>
  <c r="F897" i="3"/>
  <c r="G2" i="3"/>
  <c r="F9" i="3"/>
  <c r="G18" i="3"/>
  <c r="F25" i="3"/>
  <c r="G34" i="3"/>
  <c r="F41" i="3"/>
  <c r="G50" i="3"/>
  <c r="F57" i="3"/>
  <c r="G66" i="3"/>
  <c r="F73" i="3"/>
  <c r="G82" i="3"/>
  <c r="F89" i="3"/>
  <c r="G98" i="3"/>
  <c r="F105" i="3"/>
  <c r="G114" i="3"/>
  <c r="G121" i="3"/>
  <c r="F126" i="3"/>
  <c r="G133" i="3"/>
  <c r="F152" i="3"/>
  <c r="G159" i="3"/>
  <c r="F164" i="3"/>
  <c r="G184" i="3"/>
  <c r="G189" i="3"/>
  <c r="G212" i="3"/>
  <c r="G225" i="3"/>
  <c r="F251" i="3"/>
  <c r="G259" i="3"/>
  <c r="F289" i="3"/>
  <c r="G300" i="3"/>
  <c r="F308" i="3"/>
  <c r="F311" i="3"/>
  <c r="G352" i="3"/>
  <c r="F371" i="3"/>
  <c r="F396" i="3"/>
  <c r="G412" i="3"/>
  <c r="G434" i="3"/>
  <c r="F448" i="3"/>
  <c r="F459" i="3"/>
  <c r="G489" i="3"/>
  <c r="F508" i="3"/>
  <c r="G516" i="3"/>
  <c r="F530" i="3"/>
  <c r="F552" i="3"/>
  <c r="F577" i="3"/>
  <c r="F594" i="3"/>
  <c r="F648" i="3"/>
  <c r="F651" i="3"/>
  <c r="F668" i="3"/>
  <c r="G700" i="3"/>
  <c r="G828" i="3"/>
  <c r="F882" i="3"/>
  <c r="F23" i="3"/>
  <c r="G71" i="3"/>
  <c r="G103" i="3"/>
  <c r="F117" i="3"/>
  <c r="F143" i="3"/>
  <c r="G150" i="3"/>
  <c r="F162" i="3"/>
  <c r="G169" i="3"/>
  <c r="F228" i="3"/>
  <c r="G265" i="3"/>
  <c r="F306" i="3"/>
  <c r="F2" i="3"/>
  <c r="F18" i="3"/>
  <c r="G27" i="3"/>
  <c r="G9" i="3"/>
  <c r="F16" i="3"/>
  <c r="G25" i="3"/>
  <c r="F32" i="3"/>
  <c r="G41" i="3"/>
  <c r="F48" i="3"/>
  <c r="G57" i="3"/>
  <c r="F64" i="3"/>
  <c r="G73" i="3"/>
  <c r="F80" i="3"/>
  <c r="G89" i="3"/>
  <c r="F96" i="3"/>
  <c r="G105" i="3"/>
  <c r="F112" i="3"/>
  <c r="F119" i="3"/>
  <c r="G126" i="3"/>
  <c r="G145" i="3"/>
  <c r="G152" i="3"/>
  <c r="F157" i="3"/>
  <c r="G164" i="3"/>
  <c r="F179" i="3"/>
  <c r="F192" i="3"/>
  <c r="F215" i="3"/>
  <c r="F220" i="3"/>
  <c r="F243" i="3"/>
  <c r="G289" i="3"/>
  <c r="G333" i="3"/>
  <c r="F336" i="3"/>
  <c r="F344" i="3"/>
  <c r="F385" i="3"/>
  <c r="G396" i="3"/>
  <c r="F404" i="3"/>
  <c r="F407" i="3"/>
  <c r="G448" i="3"/>
  <c r="F467" i="3"/>
  <c r="F492" i="3"/>
  <c r="G508" i="3"/>
  <c r="G530" i="3"/>
  <c r="F544" i="3"/>
  <c r="F555" i="3"/>
  <c r="G577" i="3"/>
  <c r="G594" i="3"/>
  <c r="G611" i="3"/>
  <c r="F620" i="3"/>
  <c r="F628" i="3"/>
  <c r="F631" i="3"/>
  <c r="G668" i="3"/>
  <c r="F683" i="3"/>
  <c r="F727" i="3"/>
  <c r="F855" i="3"/>
  <c r="G867" i="3"/>
  <c r="G882" i="3"/>
  <c r="K3" i="4"/>
  <c r="I3" i="4"/>
  <c r="K7" i="4"/>
  <c r="I7" i="4"/>
  <c r="K11" i="4"/>
  <c r="I11" i="4"/>
  <c r="J194" i="4"/>
  <c r="H194" i="4"/>
  <c r="J198" i="4"/>
  <c r="H198" i="4"/>
  <c r="J202" i="4"/>
  <c r="H202" i="4"/>
  <c r="J206" i="4"/>
  <c r="H206" i="4"/>
  <c r="J210" i="4"/>
  <c r="H210" i="4"/>
  <c r="J214" i="4"/>
  <c r="H214" i="4"/>
  <c r="J218" i="4"/>
  <c r="H218" i="4"/>
  <c r="J222" i="4"/>
  <c r="H222" i="4"/>
  <c r="J226" i="4"/>
  <c r="H226" i="4"/>
  <c r="J230" i="4"/>
  <c r="H230" i="4"/>
  <c r="J234" i="4"/>
  <c r="H234" i="4"/>
  <c r="J238" i="4"/>
  <c r="H238" i="4"/>
  <c r="J242" i="4"/>
  <c r="H242" i="4"/>
  <c r="J246" i="4"/>
  <c r="H246" i="4"/>
  <c r="J250" i="4"/>
  <c r="H250" i="4"/>
  <c r="J254" i="4"/>
  <c r="H254" i="4"/>
  <c r="J258" i="4"/>
  <c r="H258" i="4"/>
  <c r="J262" i="4"/>
  <c r="H262" i="4"/>
  <c r="J266" i="4"/>
  <c r="H266" i="4"/>
  <c r="J270" i="4"/>
  <c r="H270" i="4"/>
  <c r="J274" i="4"/>
  <c r="H274" i="4"/>
  <c r="J278" i="4"/>
  <c r="H278" i="4"/>
  <c r="J282" i="4"/>
  <c r="H282" i="4"/>
  <c r="J286" i="4"/>
  <c r="H286" i="4"/>
  <c r="J290" i="4"/>
  <c r="H290" i="4"/>
  <c r="J294" i="4"/>
  <c r="H294" i="4"/>
  <c r="J298" i="4"/>
  <c r="H298" i="4"/>
  <c r="J302" i="4"/>
  <c r="H302" i="4"/>
  <c r="J306" i="4"/>
  <c r="H306" i="4"/>
  <c r="J310" i="4"/>
  <c r="H310" i="4"/>
  <c r="J314" i="4"/>
  <c r="H314" i="4"/>
  <c r="J318" i="4"/>
  <c r="H318" i="4"/>
  <c r="J322" i="4"/>
  <c r="H322" i="4"/>
  <c r="J326" i="4"/>
  <c r="H326" i="4"/>
  <c r="J330" i="4"/>
  <c r="H330" i="4"/>
  <c r="J334" i="4"/>
  <c r="H334" i="4"/>
  <c r="J338" i="4"/>
  <c r="H338" i="4"/>
  <c r="J342" i="4"/>
  <c r="H342" i="4"/>
  <c r="J346" i="4"/>
  <c r="H346" i="4"/>
  <c r="J350" i="4"/>
  <c r="H350" i="4"/>
  <c r="J354" i="4"/>
  <c r="H354" i="4"/>
  <c r="J358" i="4"/>
  <c r="H358" i="4"/>
  <c r="K194" i="4"/>
  <c r="I194" i="4"/>
  <c r="K198" i="4"/>
  <c r="I198" i="4"/>
  <c r="K202" i="4"/>
  <c r="I202" i="4"/>
  <c r="K206" i="4"/>
  <c r="I206" i="4"/>
  <c r="K210" i="4"/>
  <c r="I210" i="4"/>
  <c r="K214" i="4"/>
  <c r="I214" i="4"/>
  <c r="K218" i="4"/>
  <c r="I218" i="4"/>
  <c r="K222" i="4"/>
  <c r="I222" i="4"/>
  <c r="K226" i="4"/>
  <c r="I226" i="4"/>
  <c r="K230" i="4"/>
  <c r="I230" i="4"/>
  <c r="K234" i="4"/>
  <c r="I234" i="4"/>
  <c r="K238" i="4"/>
  <c r="I238" i="4"/>
  <c r="K242" i="4"/>
  <c r="I242" i="4"/>
  <c r="K246" i="4"/>
  <c r="I246" i="4"/>
  <c r="K250" i="4"/>
  <c r="I250" i="4"/>
  <c r="K254" i="4"/>
  <c r="I254" i="4"/>
  <c r="K258" i="4"/>
  <c r="I258" i="4"/>
  <c r="K262" i="4"/>
  <c r="I262" i="4"/>
  <c r="K266" i="4"/>
  <c r="I266" i="4"/>
  <c r="K270" i="4"/>
  <c r="I270" i="4"/>
  <c r="K274" i="4"/>
  <c r="I274" i="4"/>
  <c r="K278" i="4"/>
  <c r="I278" i="4"/>
  <c r="K282" i="4"/>
  <c r="I282" i="4"/>
  <c r="K286" i="4"/>
  <c r="I286" i="4"/>
  <c r="K290" i="4"/>
  <c r="I290" i="4"/>
  <c r="K294" i="4"/>
  <c r="I294" i="4"/>
  <c r="K298" i="4"/>
  <c r="I298" i="4"/>
  <c r="K302" i="4"/>
  <c r="I302" i="4"/>
  <c r="K306" i="4"/>
  <c r="I306" i="4"/>
  <c r="K310" i="4"/>
  <c r="I310" i="4"/>
  <c r="K314" i="4"/>
  <c r="I314" i="4"/>
  <c r="K318" i="4"/>
  <c r="I318" i="4"/>
  <c r="K322" i="4"/>
  <c r="I322" i="4"/>
  <c r="K326" i="4"/>
  <c r="I326" i="4"/>
  <c r="K330" i="4"/>
  <c r="I330" i="4"/>
  <c r="K334" i="4"/>
  <c r="I334" i="4"/>
  <c r="K338" i="4"/>
  <c r="I338" i="4"/>
  <c r="K342" i="4"/>
  <c r="I342" i="4"/>
  <c r="K346" i="4"/>
  <c r="I346" i="4"/>
  <c r="K350" i="4"/>
  <c r="I350" i="4"/>
  <c r="K354" i="4"/>
  <c r="I354" i="4"/>
  <c r="K358" i="4"/>
  <c r="I358" i="4"/>
  <c r="H3" i="4"/>
  <c r="H5" i="4"/>
  <c r="H7" i="4"/>
  <c r="H9" i="4"/>
  <c r="H11" i="4"/>
  <c r="H13" i="4"/>
  <c r="H15" i="4"/>
  <c r="H17" i="4"/>
  <c r="H19" i="4"/>
  <c r="H21" i="4"/>
  <c r="H23" i="4"/>
  <c r="H25" i="4"/>
  <c r="H27" i="4"/>
  <c r="H29" i="4"/>
  <c r="H31" i="4"/>
  <c r="H33" i="4"/>
  <c r="H35" i="4"/>
  <c r="H37" i="4"/>
  <c r="H39" i="4"/>
  <c r="H41" i="4"/>
  <c r="H43" i="4"/>
  <c r="H45" i="4"/>
  <c r="H47" i="4"/>
  <c r="H49" i="4"/>
  <c r="H51" i="4"/>
  <c r="H53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1" i="4"/>
  <c r="H93" i="4"/>
  <c r="H95" i="4"/>
  <c r="H97" i="4"/>
  <c r="H99" i="4"/>
  <c r="H101" i="4"/>
  <c r="H103" i="4"/>
  <c r="H105" i="4"/>
  <c r="H107" i="4"/>
  <c r="H109" i="4"/>
  <c r="H111" i="4"/>
  <c r="H113" i="4"/>
  <c r="H115" i="4"/>
  <c r="H117" i="4"/>
  <c r="H119" i="4"/>
  <c r="H121" i="4"/>
  <c r="H123" i="4"/>
  <c r="H125" i="4"/>
  <c r="H127" i="4"/>
  <c r="H129" i="4"/>
  <c r="H131" i="4"/>
  <c r="H133" i="4"/>
  <c r="H135" i="4"/>
  <c r="H137" i="4"/>
  <c r="H139" i="4"/>
  <c r="H14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87" i="4"/>
  <c r="H189" i="4"/>
  <c r="H191" i="4"/>
  <c r="I13" i="4"/>
  <c r="I15" i="4"/>
  <c r="I17" i="4"/>
  <c r="I19" i="4"/>
  <c r="I21" i="4"/>
  <c r="I23" i="4"/>
  <c r="I25" i="4"/>
  <c r="I27" i="4"/>
  <c r="I29" i="4"/>
  <c r="I31" i="4"/>
  <c r="I33" i="4"/>
  <c r="I35" i="4"/>
  <c r="I37" i="4"/>
  <c r="I39" i="4"/>
  <c r="I41" i="4"/>
  <c r="I43" i="4"/>
  <c r="I45" i="4"/>
  <c r="I47" i="4"/>
  <c r="I49" i="4"/>
  <c r="I51" i="4"/>
  <c r="I53" i="4"/>
  <c r="I55" i="4"/>
  <c r="I57" i="4"/>
  <c r="I59" i="4"/>
  <c r="I61" i="4"/>
  <c r="I63" i="4"/>
  <c r="I65" i="4"/>
  <c r="I67" i="4"/>
  <c r="I69" i="4"/>
  <c r="I71" i="4"/>
  <c r="I73" i="4"/>
  <c r="I75" i="4"/>
  <c r="I77" i="4"/>
  <c r="I79" i="4"/>
  <c r="I81" i="4"/>
  <c r="I83" i="4"/>
  <c r="I85" i="4"/>
  <c r="I87" i="4"/>
  <c r="I89" i="4"/>
  <c r="I91" i="4"/>
  <c r="I93" i="4"/>
  <c r="I95" i="4"/>
  <c r="I97" i="4"/>
  <c r="I99" i="4"/>
  <c r="I101" i="4"/>
  <c r="I103" i="4"/>
  <c r="I105" i="4"/>
  <c r="I107" i="4"/>
  <c r="I109" i="4"/>
  <c r="I111" i="4"/>
  <c r="I113" i="4"/>
  <c r="I115" i="4"/>
  <c r="I117" i="4"/>
  <c r="I119" i="4"/>
  <c r="I121" i="4"/>
  <c r="I123" i="4"/>
  <c r="I125" i="4"/>
  <c r="I127" i="4"/>
  <c r="I129" i="4"/>
  <c r="I131" i="4"/>
  <c r="I133" i="4"/>
  <c r="I135" i="4"/>
  <c r="I137" i="4"/>
  <c r="I139" i="4"/>
  <c r="I14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87" i="4"/>
  <c r="I189" i="4"/>
  <c r="I191" i="4"/>
  <c r="J195" i="4"/>
  <c r="H195" i="4"/>
  <c r="J199" i="4"/>
  <c r="H199" i="4"/>
  <c r="J203" i="4"/>
  <c r="H203" i="4"/>
  <c r="J207" i="4"/>
  <c r="H207" i="4"/>
  <c r="J211" i="4"/>
  <c r="H211" i="4"/>
  <c r="J215" i="4"/>
  <c r="H215" i="4"/>
  <c r="J219" i="4"/>
  <c r="H219" i="4"/>
  <c r="J223" i="4"/>
  <c r="H223" i="4"/>
  <c r="J227" i="4"/>
  <c r="H227" i="4"/>
  <c r="J231" i="4"/>
  <c r="H231" i="4"/>
  <c r="J235" i="4"/>
  <c r="H235" i="4"/>
  <c r="J239" i="4"/>
  <c r="H239" i="4"/>
  <c r="J243" i="4"/>
  <c r="H243" i="4"/>
  <c r="J247" i="4"/>
  <c r="H247" i="4"/>
  <c r="J251" i="4"/>
  <c r="H251" i="4"/>
  <c r="J255" i="4"/>
  <c r="H255" i="4"/>
  <c r="J259" i="4"/>
  <c r="H259" i="4"/>
  <c r="J263" i="4"/>
  <c r="H263" i="4"/>
  <c r="J267" i="4"/>
  <c r="H267" i="4"/>
  <c r="J271" i="4"/>
  <c r="H271" i="4"/>
  <c r="J275" i="4"/>
  <c r="H275" i="4"/>
  <c r="J279" i="4"/>
  <c r="H279" i="4"/>
  <c r="J283" i="4"/>
  <c r="H283" i="4"/>
  <c r="J287" i="4"/>
  <c r="H287" i="4"/>
  <c r="J291" i="4"/>
  <c r="H291" i="4"/>
  <c r="J295" i="4"/>
  <c r="H295" i="4"/>
  <c r="J299" i="4"/>
  <c r="H299" i="4"/>
  <c r="J303" i="4"/>
  <c r="H303" i="4"/>
  <c r="J307" i="4"/>
  <c r="H307" i="4"/>
  <c r="J311" i="4"/>
  <c r="H311" i="4"/>
  <c r="J315" i="4"/>
  <c r="H315" i="4"/>
  <c r="J319" i="4"/>
  <c r="H319" i="4"/>
  <c r="J323" i="4"/>
  <c r="H323" i="4"/>
  <c r="J327" i="4"/>
  <c r="H327" i="4"/>
  <c r="J331" i="4"/>
  <c r="H331" i="4"/>
  <c r="J335" i="4"/>
  <c r="H335" i="4"/>
  <c r="J339" i="4"/>
  <c r="H339" i="4"/>
  <c r="J343" i="4"/>
  <c r="H343" i="4"/>
  <c r="J347" i="4"/>
  <c r="H347" i="4"/>
  <c r="J351" i="4"/>
  <c r="H351" i="4"/>
  <c r="J355" i="4"/>
  <c r="H355" i="4"/>
  <c r="J359" i="4"/>
  <c r="H359" i="4"/>
  <c r="K195" i="4"/>
  <c r="I195" i="4"/>
  <c r="K199" i="4"/>
  <c r="I199" i="4"/>
  <c r="K203" i="4"/>
  <c r="I203" i="4"/>
  <c r="K207" i="4"/>
  <c r="I207" i="4"/>
  <c r="K211" i="4"/>
  <c r="I211" i="4"/>
  <c r="K215" i="4"/>
  <c r="I215" i="4"/>
  <c r="K219" i="4"/>
  <c r="I219" i="4"/>
  <c r="K223" i="4"/>
  <c r="I223" i="4"/>
  <c r="K227" i="4"/>
  <c r="I227" i="4"/>
  <c r="K231" i="4"/>
  <c r="I231" i="4"/>
  <c r="K235" i="4"/>
  <c r="I235" i="4"/>
  <c r="K239" i="4"/>
  <c r="I239" i="4"/>
  <c r="K243" i="4"/>
  <c r="I243" i="4"/>
  <c r="K247" i="4"/>
  <c r="I247" i="4"/>
  <c r="K251" i="4"/>
  <c r="I251" i="4"/>
  <c r="K255" i="4"/>
  <c r="I255" i="4"/>
  <c r="K259" i="4"/>
  <c r="I259" i="4"/>
  <c r="K263" i="4"/>
  <c r="I263" i="4"/>
  <c r="K267" i="4"/>
  <c r="I267" i="4"/>
  <c r="K271" i="4"/>
  <c r="I271" i="4"/>
  <c r="K275" i="4"/>
  <c r="I275" i="4"/>
  <c r="K279" i="4"/>
  <c r="I279" i="4"/>
  <c r="K283" i="4"/>
  <c r="I283" i="4"/>
  <c r="K287" i="4"/>
  <c r="I287" i="4"/>
  <c r="K291" i="4"/>
  <c r="I291" i="4"/>
  <c r="K295" i="4"/>
  <c r="I295" i="4"/>
  <c r="K299" i="4"/>
  <c r="I299" i="4"/>
  <c r="K303" i="4"/>
  <c r="I303" i="4"/>
  <c r="K307" i="4"/>
  <c r="I307" i="4"/>
  <c r="K311" i="4"/>
  <c r="I311" i="4"/>
  <c r="K315" i="4"/>
  <c r="I315" i="4"/>
  <c r="K319" i="4"/>
  <c r="I319" i="4"/>
  <c r="K323" i="4"/>
  <c r="I323" i="4"/>
  <c r="K327" i="4"/>
  <c r="I327" i="4"/>
  <c r="K331" i="4"/>
  <c r="I331" i="4"/>
  <c r="K335" i="4"/>
  <c r="I335" i="4"/>
  <c r="K339" i="4"/>
  <c r="I339" i="4"/>
  <c r="K343" i="4"/>
  <c r="I343" i="4"/>
  <c r="K347" i="4"/>
  <c r="I347" i="4"/>
  <c r="K351" i="4"/>
  <c r="I351" i="4"/>
  <c r="K355" i="4"/>
  <c r="I355" i="4"/>
  <c r="K359" i="4"/>
  <c r="I359" i="4"/>
  <c r="J192" i="4"/>
  <c r="H192" i="4"/>
  <c r="J196" i="4"/>
  <c r="H196" i="4"/>
  <c r="J200" i="4"/>
  <c r="H200" i="4"/>
  <c r="J204" i="4"/>
  <c r="H204" i="4"/>
  <c r="J208" i="4"/>
  <c r="H208" i="4"/>
  <c r="J212" i="4"/>
  <c r="H212" i="4"/>
  <c r="J216" i="4"/>
  <c r="H216" i="4"/>
  <c r="J220" i="4"/>
  <c r="H220" i="4"/>
  <c r="J224" i="4"/>
  <c r="H224" i="4"/>
  <c r="J228" i="4"/>
  <c r="H228" i="4"/>
  <c r="J232" i="4"/>
  <c r="H232" i="4"/>
  <c r="J236" i="4"/>
  <c r="H236" i="4"/>
  <c r="J240" i="4"/>
  <c r="H240" i="4"/>
  <c r="J244" i="4"/>
  <c r="H244" i="4"/>
  <c r="J248" i="4"/>
  <c r="H248" i="4"/>
  <c r="J252" i="4"/>
  <c r="H252" i="4"/>
  <c r="J256" i="4"/>
  <c r="H256" i="4"/>
  <c r="J260" i="4"/>
  <c r="H260" i="4"/>
  <c r="J264" i="4"/>
  <c r="H264" i="4"/>
  <c r="J268" i="4"/>
  <c r="H268" i="4"/>
  <c r="J272" i="4"/>
  <c r="H272" i="4"/>
  <c r="J276" i="4"/>
  <c r="H276" i="4"/>
  <c r="J280" i="4"/>
  <c r="H280" i="4"/>
  <c r="J284" i="4"/>
  <c r="H284" i="4"/>
  <c r="J288" i="4"/>
  <c r="H288" i="4"/>
  <c r="J292" i="4"/>
  <c r="H292" i="4"/>
  <c r="J296" i="4"/>
  <c r="H296" i="4"/>
  <c r="J300" i="4"/>
  <c r="H300" i="4"/>
  <c r="J304" i="4"/>
  <c r="H304" i="4"/>
  <c r="J308" i="4"/>
  <c r="H308" i="4"/>
  <c r="J312" i="4"/>
  <c r="H312" i="4"/>
  <c r="J316" i="4"/>
  <c r="H316" i="4"/>
  <c r="J320" i="4"/>
  <c r="H320" i="4"/>
  <c r="J324" i="4"/>
  <c r="H324" i="4"/>
  <c r="J328" i="4"/>
  <c r="H328" i="4"/>
  <c r="J332" i="4"/>
  <c r="H332" i="4"/>
  <c r="J336" i="4"/>
  <c r="H336" i="4"/>
  <c r="J340" i="4"/>
  <c r="H340" i="4"/>
  <c r="J344" i="4"/>
  <c r="H344" i="4"/>
  <c r="J348" i="4"/>
  <c r="H348" i="4"/>
  <c r="J352" i="4"/>
  <c r="H352" i="4"/>
  <c r="J356" i="4"/>
  <c r="H356" i="4"/>
  <c r="K192" i="4"/>
  <c r="I192" i="4"/>
  <c r="K196" i="4"/>
  <c r="I196" i="4"/>
  <c r="K200" i="4"/>
  <c r="I200" i="4"/>
  <c r="K204" i="4"/>
  <c r="I204" i="4"/>
  <c r="K208" i="4"/>
  <c r="I208" i="4"/>
  <c r="K212" i="4"/>
  <c r="I212" i="4"/>
  <c r="K216" i="4"/>
  <c r="I216" i="4"/>
  <c r="K220" i="4"/>
  <c r="I220" i="4"/>
  <c r="K224" i="4"/>
  <c r="I224" i="4"/>
  <c r="K228" i="4"/>
  <c r="I228" i="4"/>
  <c r="K232" i="4"/>
  <c r="I232" i="4"/>
  <c r="K236" i="4"/>
  <c r="I236" i="4"/>
  <c r="K240" i="4"/>
  <c r="I240" i="4"/>
  <c r="K244" i="4"/>
  <c r="I244" i="4"/>
  <c r="K248" i="4"/>
  <c r="I248" i="4"/>
  <c r="K252" i="4"/>
  <c r="I252" i="4"/>
  <c r="K256" i="4"/>
  <c r="I256" i="4"/>
  <c r="K260" i="4"/>
  <c r="I260" i="4"/>
  <c r="K264" i="4"/>
  <c r="I264" i="4"/>
  <c r="K268" i="4"/>
  <c r="I268" i="4"/>
  <c r="K272" i="4"/>
  <c r="I272" i="4"/>
  <c r="K276" i="4"/>
  <c r="I276" i="4"/>
  <c r="K280" i="4"/>
  <c r="I280" i="4"/>
  <c r="K284" i="4"/>
  <c r="I284" i="4"/>
  <c r="K288" i="4"/>
  <c r="I288" i="4"/>
  <c r="K292" i="4"/>
  <c r="I292" i="4"/>
  <c r="K296" i="4"/>
  <c r="I296" i="4"/>
  <c r="K300" i="4"/>
  <c r="I300" i="4"/>
  <c r="K304" i="4"/>
  <c r="I304" i="4"/>
  <c r="K308" i="4"/>
  <c r="I308" i="4"/>
  <c r="K312" i="4"/>
  <c r="I312" i="4"/>
  <c r="K316" i="4"/>
  <c r="I316" i="4"/>
  <c r="K320" i="4"/>
  <c r="I320" i="4"/>
  <c r="K324" i="4"/>
  <c r="I324" i="4"/>
  <c r="K328" i="4"/>
  <c r="I328" i="4"/>
  <c r="K332" i="4"/>
  <c r="I332" i="4"/>
  <c r="K336" i="4"/>
  <c r="I336" i="4"/>
  <c r="K340" i="4"/>
  <c r="I340" i="4"/>
  <c r="K344" i="4"/>
  <c r="I344" i="4"/>
  <c r="K348" i="4"/>
  <c r="I348" i="4"/>
  <c r="K352" i="4"/>
  <c r="I352" i="4"/>
  <c r="K356" i="4"/>
  <c r="I356" i="4"/>
  <c r="H2" i="4"/>
  <c r="H4" i="4"/>
  <c r="H6" i="4"/>
  <c r="H8" i="4"/>
  <c r="H10" i="4"/>
  <c r="H12" i="4"/>
  <c r="H14" i="4"/>
  <c r="H16" i="4"/>
  <c r="H18" i="4"/>
  <c r="H20" i="4"/>
  <c r="H22" i="4"/>
  <c r="H24" i="4"/>
  <c r="H26" i="4"/>
  <c r="H28" i="4"/>
  <c r="H30" i="4"/>
  <c r="H32" i="4"/>
  <c r="H34" i="4"/>
  <c r="H36" i="4"/>
  <c r="H38" i="4"/>
  <c r="H40" i="4"/>
  <c r="H42" i="4"/>
  <c r="H44" i="4"/>
  <c r="H48" i="4"/>
  <c r="I2" i="4"/>
  <c r="I4" i="4"/>
  <c r="I6" i="4"/>
  <c r="I8" i="4"/>
  <c r="I10" i="4"/>
  <c r="I12" i="4"/>
  <c r="I14" i="4"/>
  <c r="I16" i="4"/>
  <c r="I18" i="4"/>
  <c r="I20" i="4"/>
  <c r="I22" i="4"/>
  <c r="I24" i="4"/>
  <c r="I26" i="4"/>
  <c r="I28" i="4"/>
  <c r="I30" i="4"/>
  <c r="I32" i="4"/>
  <c r="I34" i="4"/>
  <c r="I36" i="4"/>
  <c r="I38" i="4"/>
  <c r="I40" i="4"/>
  <c r="I42" i="4"/>
  <c r="I44" i="4"/>
  <c r="I46" i="4"/>
  <c r="I48" i="4"/>
  <c r="I50" i="4"/>
  <c r="I52" i="4"/>
  <c r="I54" i="4"/>
  <c r="I56" i="4"/>
  <c r="I58" i="4"/>
  <c r="I60" i="4"/>
  <c r="I62" i="4"/>
  <c r="I64" i="4"/>
  <c r="I66" i="4"/>
  <c r="I68" i="4"/>
  <c r="I70" i="4"/>
  <c r="I72" i="4"/>
  <c r="I74" i="4"/>
  <c r="I76" i="4"/>
  <c r="I78" i="4"/>
  <c r="I80" i="4"/>
  <c r="I82" i="4"/>
  <c r="I84" i="4"/>
  <c r="I86" i="4"/>
  <c r="I88" i="4"/>
  <c r="I90" i="4"/>
  <c r="I92" i="4"/>
  <c r="I94" i="4"/>
  <c r="I96" i="4"/>
  <c r="I98" i="4"/>
  <c r="I100" i="4"/>
  <c r="I102" i="4"/>
  <c r="I104" i="4"/>
  <c r="I106" i="4"/>
  <c r="I108" i="4"/>
  <c r="I110" i="4"/>
  <c r="I112" i="4"/>
  <c r="I114" i="4"/>
  <c r="I116" i="4"/>
  <c r="I118" i="4"/>
  <c r="I120" i="4"/>
  <c r="I122" i="4"/>
  <c r="I124" i="4"/>
  <c r="I126" i="4"/>
  <c r="I128" i="4"/>
  <c r="I130" i="4"/>
  <c r="I132" i="4"/>
  <c r="I134" i="4"/>
  <c r="I136" i="4"/>
  <c r="I138" i="4"/>
  <c r="I140" i="4"/>
  <c r="I142" i="4"/>
  <c r="I144" i="4"/>
  <c r="I146" i="4"/>
  <c r="I148" i="4"/>
  <c r="I150" i="4"/>
  <c r="I152" i="4"/>
  <c r="I154" i="4"/>
  <c r="I156" i="4"/>
  <c r="I158" i="4"/>
  <c r="I160" i="4"/>
  <c r="I162" i="4"/>
  <c r="I164" i="4"/>
  <c r="I166" i="4"/>
  <c r="I168" i="4"/>
  <c r="I170" i="4"/>
  <c r="I172" i="4"/>
  <c r="I174" i="4"/>
  <c r="I176" i="4"/>
  <c r="I178" i="4"/>
  <c r="I180" i="4"/>
  <c r="I182" i="4"/>
  <c r="I184" i="4"/>
  <c r="I186" i="4"/>
  <c r="I188" i="4"/>
  <c r="I190" i="4"/>
  <c r="J193" i="4"/>
  <c r="H193" i="4"/>
  <c r="J197" i="4"/>
  <c r="H197" i="4"/>
  <c r="J201" i="4"/>
  <c r="H201" i="4"/>
  <c r="J205" i="4"/>
  <c r="H205" i="4"/>
  <c r="J209" i="4"/>
  <c r="H209" i="4"/>
  <c r="J213" i="4"/>
  <c r="H213" i="4"/>
  <c r="J217" i="4"/>
  <c r="H217" i="4"/>
  <c r="J221" i="4"/>
  <c r="H221" i="4"/>
  <c r="J225" i="4"/>
  <c r="H225" i="4"/>
  <c r="J229" i="4"/>
  <c r="H229" i="4"/>
  <c r="J233" i="4"/>
  <c r="H233" i="4"/>
  <c r="J237" i="4"/>
  <c r="H237" i="4"/>
  <c r="J241" i="4"/>
  <c r="H241" i="4"/>
  <c r="J245" i="4"/>
  <c r="H245" i="4"/>
  <c r="J249" i="4"/>
  <c r="H249" i="4"/>
  <c r="J253" i="4"/>
  <c r="H253" i="4"/>
  <c r="J257" i="4"/>
  <c r="H257" i="4"/>
  <c r="J261" i="4"/>
  <c r="H261" i="4"/>
  <c r="J265" i="4"/>
  <c r="H265" i="4"/>
  <c r="J269" i="4"/>
  <c r="H269" i="4"/>
  <c r="J273" i="4"/>
  <c r="H273" i="4"/>
  <c r="J277" i="4"/>
  <c r="H277" i="4"/>
  <c r="J281" i="4"/>
  <c r="H281" i="4"/>
  <c r="J285" i="4"/>
  <c r="H285" i="4"/>
  <c r="J289" i="4"/>
  <c r="H289" i="4"/>
  <c r="J293" i="4"/>
  <c r="H293" i="4"/>
  <c r="J297" i="4"/>
  <c r="H297" i="4"/>
  <c r="J301" i="4"/>
  <c r="H301" i="4"/>
  <c r="J305" i="4"/>
  <c r="H305" i="4"/>
  <c r="J309" i="4"/>
  <c r="H309" i="4"/>
  <c r="J313" i="4"/>
  <c r="H313" i="4"/>
  <c r="J317" i="4"/>
  <c r="H317" i="4"/>
  <c r="J321" i="4"/>
  <c r="H321" i="4"/>
  <c r="J325" i="4"/>
  <c r="H325" i="4"/>
  <c r="J329" i="4"/>
  <c r="H329" i="4"/>
  <c r="J333" i="4"/>
  <c r="H333" i="4"/>
  <c r="J337" i="4"/>
  <c r="H337" i="4"/>
  <c r="J341" i="4"/>
  <c r="H341" i="4"/>
  <c r="J345" i="4"/>
  <c r="H345" i="4"/>
  <c r="J349" i="4"/>
  <c r="H349" i="4"/>
  <c r="J353" i="4"/>
  <c r="H353" i="4"/>
  <c r="J357" i="4"/>
  <c r="H357" i="4"/>
  <c r="K193" i="4"/>
  <c r="I193" i="4"/>
  <c r="K197" i="4"/>
  <c r="I197" i="4"/>
  <c r="K201" i="4"/>
  <c r="I201" i="4"/>
  <c r="K205" i="4"/>
  <c r="I205" i="4"/>
  <c r="K209" i="4"/>
  <c r="I209" i="4"/>
  <c r="K213" i="4"/>
  <c r="I213" i="4"/>
  <c r="K217" i="4"/>
  <c r="I217" i="4"/>
  <c r="K221" i="4"/>
  <c r="I221" i="4"/>
  <c r="K225" i="4"/>
  <c r="I225" i="4"/>
  <c r="K229" i="4"/>
  <c r="I229" i="4"/>
  <c r="K233" i="4"/>
  <c r="I233" i="4"/>
  <c r="K237" i="4"/>
  <c r="I237" i="4"/>
  <c r="K241" i="4"/>
  <c r="I241" i="4"/>
  <c r="K245" i="4"/>
  <c r="I245" i="4"/>
  <c r="K249" i="4"/>
  <c r="I249" i="4"/>
  <c r="K253" i="4"/>
  <c r="I253" i="4"/>
  <c r="K257" i="4"/>
  <c r="I257" i="4"/>
  <c r="K261" i="4"/>
  <c r="I261" i="4"/>
  <c r="K265" i="4"/>
  <c r="I265" i="4"/>
  <c r="K269" i="4"/>
  <c r="I269" i="4"/>
  <c r="K273" i="4"/>
  <c r="I273" i="4"/>
  <c r="K277" i="4"/>
  <c r="I277" i="4"/>
  <c r="K281" i="4"/>
  <c r="I281" i="4"/>
  <c r="K285" i="4"/>
  <c r="I285" i="4"/>
  <c r="K289" i="4"/>
  <c r="I289" i="4"/>
  <c r="K293" i="4"/>
  <c r="I293" i="4"/>
  <c r="K297" i="4"/>
  <c r="I297" i="4"/>
  <c r="K301" i="4"/>
  <c r="I301" i="4"/>
  <c r="K305" i="4"/>
  <c r="I305" i="4"/>
  <c r="K309" i="4"/>
  <c r="I309" i="4"/>
  <c r="K313" i="4"/>
  <c r="I313" i="4"/>
  <c r="K317" i="4"/>
  <c r="I317" i="4"/>
  <c r="K321" i="4"/>
  <c r="I321" i="4"/>
  <c r="K325" i="4"/>
  <c r="I325" i="4"/>
  <c r="K329" i="4"/>
  <c r="I329" i="4"/>
  <c r="K333" i="4"/>
  <c r="I333" i="4"/>
  <c r="K337" i="4"/>
  <c r="I337" i="4"/>
  <c r="K341" i="4"/>
  <c r="I341" i="4"/>
  <c r="K345" i="4"/>
  <c r="I345" i="4"/>
  <c r="K349" i="4"/>
  <c r="I349" i="4"/>
  <c r="K353" i="4"/>
  <c r="I353" i="4"/>
  <c r="K357" i="4"/>
  <c r="I357" i="4"/>
  <c r="H360" i="4"/>
  <c r="I360" i="4"/>
  <c r="H361" i="4"/>
  <c r="I361" i="4"/>
  <c r="F5" i="1" l="1"/>
  <c r="F4" i="1"/>
  <c r="E6" i="1"/>
  <c r="F6" i="1" l="1"/>
  <c r="F8" i="1" s="1"/>
  <c r="A14" i="1" s="1"/>
  <c r="E8" i="1"/>
  <c r="E7" i="1"/>
  <c r="F7" i="1"/>
</calcChain>
</file>

<file path=xl/sharedStrings.xml><?xml version="1.0" encoding="utf-8"?>
<sst xmlns="http://schemas.openxmlformats.org/spreadsheetml/2006/main" count="49" uniqueCount="47">
  <si>
    <t>Green-dot diameter scaling comparison</t>
  </si>
  <si>
    <t>Calibration input</t>
  </si>
  <si>
    <t>Value</t>
  </si>
  <si>
    <t>Metric</t>
  </si>
  <si>
    <t>Raw measurement</t>
  </si>
  <si>
    <t>Diameter-scaled</t>
  </si>
  <si>
    <t>Source run</t>
  </si>
  <si>
    <t>20260808_181841</t>
  </si>
  <si>
    <t>X stroke span (mm)</t>
  </si>
  <si>
    <t>Actual green-dot diameter (mm)</t>
  </si>
  <si>
    <t>Y path span (mm)</t>
  </si>
  <si>
    <t>Mean measured dot diameter (mm)</t>
  </si>
  <si>
    <t>Commanded X span (mm)</t>
  </si>
  <si>
    <t>Diameter scale factor</t>
  </si>
  <si>
    <t>Measured/commanded X span</t>
  </si>
  <si>
    <t>Ruler correction already applied</t>
  </si>
  <si>
    <t>Yes</t>
  </si>
  <si>
    <t>X-span shortfall (mm)</t>
  </si>
  <si>
    <t>Ruler scale factor</t>
  </si>
  <si>
    <t>Raw X centroid (mm)</t>
  </si>
  <si>
    <t>Raw Y centroid (mm)</t>
  </si>
  <si>
    <t>Interpretation</t>
  </si>
  <si>
    <t>Frame</t>
  </si>
  <si>
    <t>Video time (s)</t>
  </si>
  <si>
    <t>Tracking time (s)</t>
  </si>
  <si>
    <t>X pixel</t>
  </si>
  <si>
    <t>Y pixel</t>
  </si>
  <si>
    <t>Measured X (mm)</t>
  </si>
  <si>
    <t>Measured Y (mm)</t>
  </si>
  <si>
    <t>Detected dot diameter (mm)</t>
  </si>
  <si>
    <t>Circularity</t>
  </si>
  <si>
    <t>Raw X (mm)</t>
  </si>
  <si>
    <t>Raw Y (mm)</t>
  </si>
  <si>
    <t>Dot diameter (mm)</t>
  </si>
  <si>
    <t>Diameter-scaled X (mm)</t>
  </si>
  <si>
    <t>Diameter-scaled Y (mm)</t>
  </si>
  <si>
    <t>Index</t>
  </si>
  <si>
    <t>Lower PWM</t>
  </si>
  <si>
    <t>Upper PWM</t>
  </si>
  <si>
    <t>Lower angle (deg)</t>
  </si>
  <si>
    <t>Upper angle (deg)</t>
  </si>
  <si>
    <t>Unaligned X (mm)</t>
  </si>
  <si>
    <t>Unaligned Y (mm)</t>
  </si>
  <si>
    <t>Raw-comparison X (mm)</t>
  </si>
  <si>
    <t>Raw-comparison Y (mm)</t>
  </si>
  <si>
    <t>Scaled-comparison X (mm)</t>
  </si>
  <si>
    <t>Scaled-comparison Y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</si>
</sst>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0.000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0070C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CE4D6"/>
      </patternFill>
    </fill>
  </fills>
  <borders count="12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65" fontId="0" fillId="5" borderId="0" xfId="0" applyNumberFormat="1" applyFill="1"/>
    <xf numFmtId="10" fontId="0" fillId="5" borderId="0" xfId="0" applyNumberFormat="1" applyFill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164" fontId="3" fillId="3" borderId="4" xfId="0" applyNumberFormat="1" applyFont="1" applyFill="1" applyBorder="1"/>
    <xf numFmtId="164" fontId="0" fillId="4" borderId="4" xfId="0" applyNumberFormat="1" applyFill="1" applyBorder="1"/>
    <xf numFmtId="164" fontId="0" fillId="0" borderId="4" xfId="0" applyNumberFormat="1" applyBorder="1"/>
    <xf numFmtId="0" fontId="0" fillId="0" borderId="5" xfId="0" applyBorder="1"/>
    <xf numFmtId="164" fontId="0" fillId="0" borderId="6" xfId="0" applyNumberFormat="1" applyBorder="1"/>
    <xf numFmtId="0" fontId="2" fillId="2" borderId="7" xfId="0" applyFont="1" applyFill="1" applyBorder="1" applyAlignment="1">
      <alignment horizontal="left"/>
    </xf>
    <xf numFmtId="165" fontId="0" fillId="4" borderId="4" xfId="0" applyNumberFormat="1" applyFill="1" applyBorder="1"/>
    <xf numFmtId="10" fontId="0" fillId="4" borderId="4" xfId="0" applyNumberFormat="1" applyFill="1" applyBorder="1"/>
    <xf numFmtId="165" fontId="0" fillId="5" borderId="8" xfId="0" applyNumberFormat="1" applyFill="1" applyBorder="1"/>
    <xf numFmtId="165" fontId="0" fillId="4" borderId="6" xfId="0" applyNumberFormat="1" applyFill="1" applyBorder="1"/>
    <xf numFmtId="0" fontId="2" fillId="2" borderId="9" xfId="0" applyFont="1" applyFill="1" applyBorder="1" applyAlignment="1">
      <alignment wrapText="1"/>
    </xf>
    <xf numFmtId="0" fontId="0" fillId="0" borderId="10" xfId="0" applyBorder="1"/>
    <xf numFmtId="0" fontId="0" fillId="0" borderId="11" xfId="0" applyBorder="1"/>
    <xf numFmtId="165" fontId="0" fillId="0" borderId="10" xfId="0" applyNumberFormat="1" applyBorder="1"/>
    <xf numFmtId="165" fontId="0" fillId="0" borderId="11" xfId="0" applyNumberFormat="1" applyBorder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D2C7E79-5EC8-4BFD-8755-2DAB041743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 sz="900"/>
              <a:t>Raw measurement vs commanded path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Commanded path</c:v>
          </c:tx>
          <c:marker>
            <c:symbol val="none"/>
          </c:marker>
          <c:xVal>
            <c:numRef>
              <c:f>'Commanded Path'!$H$2:$H$361</c:f>
              <c:numCache>
                <c:formatCode>0.000</c:formatCode>
                <c:ptCount val="360"/>
                <c:pt idx="0">
                  <c:v>55.090553934267362</c:v>
                </c:pt>
                <c:pt idx="1">
                  <c:v>55.020278388303346</c:v>
                </c:pt>
                <c:pt idx="2">
                  <c:v>53.981785622506855</c:v>
                </c:pt>
                <c:pt idx="3">
                  <c:v>53.910745086949738</c:v>
                </c:pt>
                <c:pt idx="4">
                  <c:v>53.540445057076553</c:v>
                </c:pt>
                <c:pt idx="5">
                  <c:v>53.467353707853171</c:v>
                </c:pt>
                <c:pt idx="6">
                  <c:v>52.428464083231923</c:v>
                </c:pt>
                <c:pt idx="7">
                  <c:v>52.057511604503532</c:v>
                </c:pt>
                <c:pt idx="8">
                  <c:v>51.983849591140817</c:v>
                </c:pt>
                <c:pt idx="9">
                  <c:v>51.612693604399418</c:v>
                </c:pt>
                <c:pt idx="10">
                  <c:v>50.572786495830741</c:v>
                </c:pt>
                <c:pt idx="11">
                  <c:v>50.201478775195795</c:v>
                </c:pt>
                <c:pt idx="12">
                  <c:v>50.127563881308618</c:v>
                </c:pt>
                <c:pt idx="13">
                  <c:v>49.756257389371228</c:v>
                </c:pt>
                <c:pt idx="14">
                  <c:v>49.384982228762979</c:v>
                </c:pt>
                <c:pt idx="15">
                  <c:v>49.013758875543289</c:v>
                </c:pt>
                <c:pt idx="16">
                  <c:v>48.642607802914426</c:v>
                </c:pt>
                <c:pt idx="17">
                  <c:v>47.603201919585572</c:v>
                </c:pt>
                <c:pt idx="18">
                  <c:v>47.23239048243515</c:v>
                </c:pt>
                <c:pt idx="19">
                  <c:v>46.861733167533799</c:v>
                </c:pt>
                <c:pt idx="20">
                  <c:v>46.491250416866365</c:v>
                </c:pt>
                <c:pt idx="21">
                  <c:v>46.12096266279049</c:v>
                </c:pt>
                <c:pt idx="22">
                  <c:v>45.75089032690942</c:v>
                </c:pt>
                <c:pt idx="23">
                  <c:v>45.38105381894605</c:v>
                </c:pt>
                <c:pt idx="24">
                  <c:v>45.011473535617291</c:v>
                </c:pt>
                <c:pt idx="25">
                  <c:v>44.343124558415354</c:v>
                </c:pt>
                <c:pt idx="26">
                  <c:v>43.974117856858321</c:v>
                </c:pt>
                <c:pt idx="27">
                  <c:v>43.605428480805102</c:v>
                </c:pt>
                <c:pt idx="28">
                  <c:v>43.237076763707478</c:v>
                </c:pt>
                <c:pt idx="29">
                  <c:v>42.869083020395067</c:v>
                </c:pt>
                <c:pt idx="30">
                  <c:v>42.200795887896859</c:v>
                </c:pt>
                <c:pt idx="31">
                  <c:v>41.833578956554867</c:v>
                </c:pt>
                <c:pt idx="32">
                  <c:v>41.466780820556295</c:v>
                </c:pt>
                <c:pt idx="33">
                  <c:v>40.79814027625865</c:v>
                </c:pt>
                <c:pt idx="34">
                  <c:v>40.43224039418061</c:v>
                </c:pt>
                <c:pt idx="35">
                  <c:v>40.066819921140407</c:v>
                </c:pt>
                <c:pt idx="36">
                  <c:v>39.398024473795381</c:v>
                </c:pt>
                <c:pt idx="37">
                  <c:v>39.033623250788807</c:v>
                </c:pt>
                <c:pt idx="38">
                  <c:v>39.337497787301153</c:v>
                </c:pt>
                <c:pt idx="39">
                  <c:v>38.669761812565795</c:v>
                </c:pt>
                <c:pt idx="40">
                  <c:v>38.306460226314272</c:v>
                </c:pt>
                <c:pt idx="41">
                  <c:v>37.638287646985091</c:v>
                </c:pt>
                <c:pt idx="42">
                  <c:v>37.276165841630799</c:v>
                </c:pt>
                <c:pt idx="43">
                  <c:v>36.60765351973572</c:v>
                </c:pt>
                <c:pt idx="44">
                  <c:v>36.246791379161628</c:v>
                </c:pt>
                <c:pt idx="45">
                  <c:v>35.578035993658389</c:v>
                </c:pt>
                <c:pt idx="46">
                  <c:v>35.218513123866202</c:v>
                </c:pt>
                <c:pt idx="47">
                  <c:v>35.218513123866202</c:v>
                </c:pt>
                <c:pt idx="48">
                  <c:v>34.859689650074046</c:v>
                </c:pt>
                <c:pt idx="49">
                  <c:v>34.191506863665069</c:v>
                </c:pt>
                <c:pt idx="50">
                  <c:v>33.834141510232641</c:v>
                </c:pt>
                <c:pt idx="51">
                  <c:v>33.165947853476894</c:v>
                </c:pt>
                <c:pt idx="52">
                  <c:v>32.497041242657659</c:v>
                </c:pt>
                <c:pt idx="53">
                  <c:v>32.810119455016348</c:v>
                </c:pt>
                <c:pt idx="54">
                  <c:v>32.142010779386403</c:v>
                </c:pt>
                <c:pt idx="55">
                  <c:v>31.78779783145853</c:v>
                </c:pt>
                <c:pt idx="56">
                  <c:v>31.119869722952025</c:v>
                </c:pt>
                <c:pt idx="57">
                  <c:v>30.451341502882336</c:v>
                </c:pt>
                <c:pt idx="58">
                  <c:v>30.451341502882336</c:v>
                </c:pt>
                <c:pt idx="59">
                  <c:v>30.099698125660286</c:v>
                </c:pt>
                <c:pt idx="60">
                  <c:v>29.431502038114814</c:v>
                </c:pt>
                <c:pt idx="61">
                  <c:v>28.762798953549595</c:v>
                </c:pt>
                <c:pt idx="62">
                  <c:v>28.413899680803873</c:v>
                </c:pt>
                <c:pt idx="63">
                  <c:v>28.413899680803873</c:v>
                </c:pt>
                <c:pt idx="64">
                  <c:v>27.74567973246549</c:v>
                </c:pt>
                <c:pt idx="65">
                  <c:v>27.077045761271549</c:v>
                </c:pt>
                <c:pt idx="66">
                  <c:v>26.408034642807554</c:v>
                </c:pt>
                <c:pt idx="67">
                  <c:v>26.731063764770827</c:v>
                </c:pt>
                <c:pt idx="68">
                  <c:v>26.063063306535966</c:v>
                </c:pt>
                <c:pt idx="69">
                  <c:v>25.394741622803437</c:v>
                </c:pt>
                <c:pt idx="70">
                  <c:v>25.394741622803437</c:v>
                </c:pt>
                <c:pt idx="71">
                  <c:v>24.726135571935895</c:v>
                </c:pt>
                <c:pt idx="72">
                  <c:v>24.05728202797906</c:v>
                </c:pt>
                <c:pt idx="73">
                  <c:v>23.716543013387692</c:v>
                </c:pt>
                <c:pt idx="74">
                  <c:v>23.716543013387692</c:v>
                </c:pt>
                <c:pt idx="75">
                  <c:v>23.048584072877031</c:v>
                </c:pt>
                <c:pt idx="76">
                  <c:v>22.380470157301023</c:v>
                </c:pt>
                <c:pt idx="77">
                  <c:v>22.380470157301023</c:v>
                </c:pt>
                <c:pt idx="78">
                  <c:v>21.712238113563817</c:v>
                </c:pt>
                <c:pt idx="79">
                  <c:v>21.043924795084372</c:v>
                </c:pt>
                <c:pt idx="80">
                  <c:v>21.043924795084372</c:v>
                </c:pt>
                <c:pt idx="81">
                  <c:v>20.375567059764052</c:v>
                </c:pt>
                <c:pt idx="82">
                  <c:v>19.70720176795378</c:v>
                </c:pt>
                <c:pt idx="83">
                  <c:v>19.70720176795378</c:v>
                </c:pt>
                <c:pt idx="84">
                  <c:v>19.038865780421212</c:v>
                </c:pt>
                <c:pt idx="85">
                  <c:v>19.038865780421212</c:v>
                </c:pt>
                <c:pt idx="86">
                  <c:v>18.370595956317946</c:v>
                </c:pt>
                <c:pt idx="87">
                  <c:v>17.702429151146529</c:v>
                </c:pt>
                <c:pt idx="88">
                  <c:v>17.702429151146529</c:v>
                </c:pt>
                <c:pt idx="89">
                  <c:v>17.034402214727969</c:v>
                </c:pt>
                <c:pt idx="90">
                  <c:v>17.034402214727969</c:v>
                </c:pt>
                <c:pt idx="91">
                  <c:v>16.025169711872326</c:v>
                </c:pt>
                <c:pt idx="92">
                  <c:v>15.356457728100498</c:v>
                </c:pt>
                <c:pt idx="93">
                  <c:v>15.356457728100498</c:v>
                </c:pt>
                <c:pt idx="94">
                  <c:v>14.688014994886146</c:v>
                </c:pt>
                <c:pt idx="95">
                  <c:v>14.688014994886146</c:v>
                </c:pt>
                <c:pt idx="96">
                  <c:v>14.019878377268011</c:v>
                </c:pt>
                <c:pt idx="97">
                  <c:v>13.674308446743908</c:v>
                </c:pt>
                <c:pt idx="98">
                  <c:v>13.005515383838809</c:v>
                </c:pt>
                <c:pt idx="99">
                  <c:v>12.337121227445351</c:v>
                </c:pt>
                <c:pt idx="100">
                  <c:v>12.337121227445351</c:v>
                </c:pt>
                <c:pt idx="101">
                  <c:v>11.669162839923132</c:v>
                </c:pt>
                <c:pt idx="102">
                  <c:v>11.319710169547339</c:v>
                </c:pt>
                <c:pt idx="103">
                  <c:v>10.651301754407154</c:v>
                </c:pt>
                <c:pt idx="104">
                  <c:v>10.651301754407154</c:v>
                </c:pt>
                <c:pt idx="105">
                  <c:v>9.6312595273986776</c:v>
                </c:pt>
                <c:pt idx="106">
                  <c:v>9.6312595273986776</c:v>
                </c:pt>
                <c:pt idx="107">
                  <c:v>9.6312595273986776</c:v>
                </c:pt>
                <c:pt idx="108">
                  <c:v>8.6092087984044525</c:v>
                </c:pt>
                <c:pt idx="109">
                  <c:v>8.6092087984044525</c:v>
                </c:pt>
                <c:pt idx="110">
                  <c:v>7.9408265059243881</c:v>
                </c:pt>
                <c:pt idx="111">
                  <c:v>7.5853228898263989</c:v>
                </c:pt>
                <c:pt idx="112">
                  <c:v>6.9168324624585349</c:v>
                </c:pt>
                <c:pt idx="113">
                  <c:v>6.9168324624585349</c:v>
                </c:pt>
                <c:pt idx="114">
                  <c:v>5.8912730247834606</c:v>
                </c:pt>
                <c:pt idx="115">
                  <c:v>5.8912730247834606</c:v>
                </c:pt>
                <c:pt idx="116">
                  <c:v>5.5327420256904336</c:v>
                </c:pt>
                <c:pt idx="117">
                  <c:v>4.8643230259822676</c:v>
                </c:pt>
                <c:pt idx="118">
                  <c:v>4.5043968104054883</c:v>
                </c:pt>
                <c:pt idx="119">
                  <c:v>3.8361578571374011</c:v>
                </c:pt>
                <c:pt idx="120">
                  <c:v>3.4749158246139586</c:v>
                </c:pt>
                <c:pt idx="121">
                  <c:v>3.4749158246139586</c:v>
                </c:pt>
                <c:pt idx="122">
                  <c:v>2.4444752717958806</c:v>
                </c:pt>
                <c:pt idx="123">
                  <c:v>2.4444752717958806</c:v>
                </c:pt>
                <c:pt idx="124">
                  <c:v>2.0814090181416844</c:v>
                </c:pt>
                <c:pt idx="125">
                  <c:v>1.0490694836768739</c:v>
                </c:pt>
                <c:pt idx="126">
                  <c:v>1.0490694836768739</c:v>
                </c:pt>
                <c:pt idx="127">
                  <c:v>0.68435921226357976</c:v>
                </c:pt>
                <c:pt idx="128">
                  <c:v>0.68435921226357976</c:v>
                </c:pt>
                <c:pt idx="129">
                  <c:v>-0.34950126656592673</c:v>
                </c:pt>
                <c:pt idx="130">
                  <c:v>-0.71567453637916856</c:v>
                </c:pt>
                <c:pt idx="131">
                  <c:v>-0.71567453637916856</c:v>
                </c:pt>
                <c:pt idx="132">
                  <c:v>-1.7506764675600976</c:v>
                </c:pt>
                <c:pt idx="133">
                  <c:v>-2.1181309902732366</c:v>
                </c:pt>
                <c:pt idx="134">
                  <c:v>-2.4859720968780437</c:v>
                </c:pt>
                <c:pt idx="135">
                  <c:v>-2.4859720968780437</c:v>
                </c:pt>
                <c:pt idx="136">
                  <c:v>-2.8541795007054098</c:v>
                </c:pt>
                <c:pt idx="137">
                  <c:v>-3.8913260608042037</c:v>
                </c:pt>
                <c:pt idx="138">
                  <c:v>-4.2605104398694564</c:v>
                </c:pt>
                <c:pt idx="139">
                  <c:v>-4.6299797786697852</c:v>
                </c:pt>
                <c:pt idx="140">
                  <c:v>-4.9997137007379742</c:v>
                </c:pt>
                <c:pt idx="141">
                  <c:v>-4.9997137007379742</c:v>
                </c:pt>
                <c:pt idx="142">
                  <c:v>-5.3696918150148178</c:v>
                </c:pt>
                <c:pt idx="143">
                  <c:v>-6.4083769986189409</c:v>
                </c:pt>
                <c:pt idx="144">
                  <c:v>-6.778965214120646</c:v>
                </c:pt>
                <c:pt idx="145">
                  <c:v>-7.1497159341773937</c:v>
                </c:pt>
                <c:pt idx="146">
                  <c:v>-7.5206087116529829</c:v>
                </c:pt>
                <c:pt idx="147">
                  <c:v>-7.8916230915766548</c:v>
                </c:pt>
                <c:pt idx="148">
                  <c:v>-8.2627386122711428</c:v>
                </c:pt>
                <c:pt idx="149">
                  <c:v>-8.6339348064813066</c:v>
                </c:pt>
                <c:pt idx="150">
                  <c:v>-9.0051912025027363</c:v>
                </c:pt>
                <c:pt idx="151">
                  <c:v>-9.7478026976901404</c:v>
                </c:pt>
                <c:pt idx="152">
                  <c:v>-10.119116841363468</c:v>
                </c:pt>
                <c:pt idx="153">
                  <c:v>-10.490409278121433</c:v>
                </c:pt>
                <c:pt idx="154">
                  <c:v>-10.86165953095179</c:v>
                </c:pt>
                <c:pt idx="155">
                  <c:v>-11.232847125168824</c:v>
                </c:pt>
                <c:pt idx="156">
                  <c:v>-11.974952457427129</c:v>
                </c:pt>
                <c:pt idx="157">
                  <c:v>-12.345829267890942</c:v>
                </c:pt>
                <c:pt idx="158">
                  <c:v>-12.71656156684363</c:v>
                </c:pt>
                <c:pt idx="159">
                  <c:v>-13.457510854832208</c:v>
                </c:pt>
                <c:pt idx="160">
                  <c:v>-13.15943284595977</c:v>
                </c:pt>
                <c:pt idx="161">
                  <c:v>-13.899558859490526</c:v>
                </c:pt>
                <c:pt idx="162">
                  <c:v>-14.269262107937266</c:v>
                </c:pt>
                <c:pt idx="163">
                  <c:v>-15.007847142480486</c:v>
                </c:pt>
                <c:pt idx="164">
                  <c:v>-15.30592515135293</c:v>
                </c:pt>
                <c:pt idx="165">
                  <c:v>-15.602350622566554</c:v>
                </c:pt>
                <c:pt idx="166">
                  <c:v>-16.265948260735179</c:v>
                </c:pt>
                <c:pt idx="167">
                  <c:v>-16.559019704515762</c:v>
                </c:pt>
                <c:pt idx="168">
                  <c:v>-16.481548790833209</c:v>
                </c:pt>
                <c:pt idx="169">
                  <c:v>-17.059120972132888</c:v>
                </c:pt>
                <c:pt idx="170">
                  <c:v>-16.97614234564616</c:v>
                </c:pt>
                <c:pt idx="171">
                  <c:v>-17.173735789059144</c:v>
                </c:pt>
                <c:pt idx="172">
                  <c:v>-17.363877174200844</c:v>
                </c:pt>
                <c:pt idx="173">
                  <c:v>-17.176287263787017</c:v>
                </c:pt>
                <c:pt idx="174">
                  <c:v>-16.708827174345252</c:v>
                </c:pt>
                <c:pt idx="175">
                  <c:v>-16.508563341321256</c:v>
                </c:pt>
                <c:pt idx="176">
                  <c:v>-16.034284231374997</c:v>
                </c:pt>
                <c:pt idx="177">
                  <c:v>-15.92900551952431</c:v>
                </c:pt>
                <c:pt idx="178">
                  <c:v>-15.450439707313855</c:v>
                </c:pt>
                <c:pt idx="179">
                  <c:v>-15.341155877538675</c:v>
                </c:pt>
                <c:pt idx="180">
                  <c:v>-14.858613681632441</c:v>
                </c:pt>
                <c:pt idx="181">
                  <c:v>-14.487357285611012</c:v>
                </c:pt>
                <c:pt idx="182">
                  <c:v>-13.48497627142519</c:v>
                </c:pt>
                <c:pt idx="183">
                  <c:v>-13.113961891501518</c:v>
                </c:pt>
                <c:pt idx="184">
                  <c:v>-12.74306911402595</c:v>
                </c:pt>
                <c:pt idx="185">
                  <c:v>-12.372318393969181</c:v>
                </c:pt>
                <c:pt idx="186">
                  <c:v>-12.001730178467504</c:v>
                </c:pt>
                <c:pt idx="187">
                  <c:v>-11.631324905694854</c:v>
                </c:pt>
                <c:pt idx="188">
                  <c:v>-11.261123003735822</c:v>
                </c:pt>
                <c:pt idx="189">
                  <c:v>-10.891144889458946</c:v>
                </c:pt>
                <c:pt idx="190">
                  <c:v>-10.521410967390768</c:v>
                </c:pt>
                <c:pt idx="191">
                  <c:v>-10.15194162859046</c:v>
                </c:pt>
                <c:pt idx="192">
                  <c:v>-9.5207269356270388</c:v>
                </c:pt>
                <c:pt idx="193">
                  <c:v>-9.1518478770484037</c:v>
                </c:pt>
                <c:pt idx="194">
                  <c:v>-8.7832944828692483</c:v>
                </c:pt>
                <c:pt idx="195">
                  <c:v>-8.4150870790418821</c:v>
                </c:pt>
                <c:pt idx="196">
                  <c:v>-8.0472459724370538</c:v>
                </c:pt>
                <c:pt idx="197">
                  <c:v>-7.0487668988735059</c:v>
                </c:pt>
                <c:pt idx="198">
                  <c:v>-7.0487668988735059</c:v>
                </c:pt>
                <c:pt idx="199">
                  <c:v>-6.6821463175523732</c:v>
                </c:pt>
                <c:pt idx="200">
                  <c:v>-6.3159730477391278</c:v>
                </c:pt>
                <c:pt idx="201">
                  <c:v>-5.9502672841207307</c:v>
                </c:pt>
                <c:pt idx="202">
                  <c:v>-5.3191403132344774</c:v>
                </c:pt>
                <c:pt idx="203">
                  <c:v>-4.9544300418211549</c:v>
                </c:pt>
                <c:pt idx="204">
                  <c:v>-4.5902477015160947</c:v>
                </c:pt>
                <c:pt idx="205">
                  <c:v>-3.5957209012389555</c:v>
                </c:pt>
                <c:pt idx="206">
                  <c:v>-3.5957209012389555</c:v>
                </c:pt>
                <c:pt idx="207">
                  <c:v>-3.2332427415744789</c:v>
                </c:pt>
                <c:pt idx="208">
                  <c:v>-2.8713726667990294</c:v>
                </c:pt>
                <c:pt idx="209">
                  <c:v>-2.240401842803017</c:v>
                </c:pt>
                <c:pt idx="210">
                  <c:v>-1.8798077752577207</c:v>
                </c:pt>
                <c:pt idx="211">
                  <c:v>-1.8798077752577207</c:v>
                </c:pt>
                <c:pt idx="212">
                  <c:v>-0.88902656131068625</c:v>
                </c:pt>
                <c:pt idx="213">
                  <c:v>-0.53049556221765926</c:v>
                </c:pt>
                <c:pt idx="214">
                  <c:v>0.10079734785403716</c:v>
                </c:pt>
                <c:pt idx="215">
                  <c:v>0.45785403871026631</c:v>
                </c:pt>
                <c:pt idx="216">
                  <c:v>0.45785403871026631</c:v>
                </c:pt>
                <c:pt idx="217">
                  <c:v>1.4449944621656527</c:v>
                </c:pt>
                <c:pt idx="218">
                  <c:v>1.4449944621656527</c:v>
                </c:pt>
                <c:pt idx="219">
                  <c:v>1.7996921098271415</c:v>
                </c:pt>
                <c:pt idx="220">
                  <c:v>2.4307535012981738</c:v>
                </c:pt>
                <c:pt idx="221">
                  <c:v>2.783780572217708</c:v>
                </c:pt>
                <c:pt idx="222">
                  <c:v>3.4149595588205663</c:v>
                </c:pt>
                <c:pt idx="223">
                  <c:v>3.7662381754088301</c:v>
                </c:pt>
                <c:pt idx="224">
                  <c:v>4.3974416823335893</c:v>
                </c:pt>
                <c:pt idx="225">
                  <c:v>4.3974416823335893</c:v>
                </c:pt>
                <c:pt idx="226">
                  <c:v>4.7468943527093828</c:v>
                </c:pt>
                <c:pt idx="227">
                  <c:v>5.3780295994923186</c:v>
                </c:pt>
                <c:pt idx="228">
                  <c:v>5.7255792345771823</c:v>
                </c:pt>
                <c:pt idx="229">
                  <c:v>6.3565537530054392</c:v>
                </c:pt>
                <c:pt idx="230">
                  <c:v>6.3565537530054392</c:v>
                </c:pt>
                <c:pt idx="231">
                  <c:v>7.3328453354608776</c:v>
                </c:pt>
                <c:pt idx="232">
                  <c:v>7.3328453354608776</c:v>
                </c:pt>
                <c:pt idx="233">
                  <c:v>7.9642787452373511</c:v>
                </c:pt>
                <c:pt idx="234">
                  <c:v>8.3067363239694068</c:v>
                </c:pt>
                <c:pt idx="235">
                  <c:v>8.9377713662050944</c:v>
                </c:pt>
                <c:pt idx="236">
                  <c:v>8.9377713662050944</c:v>
                </c:pt>
                <c:pt idx="237">
                  <c:v>9.9086049060275414</c:v>
                </c:pt>
                <c:pt idx="238">
                  <c:v>9.9086049060275414</c:v>
                </c:pt>
                <c:pt idx="239">
                  <c:v>10.539720000514901</c:v>
                </c:pt>
                <c:pt idx="240">
                  <c:v>11.171369991685584</c:v>
                </c:pt>
                <c:pt idx="241">
                  <c:v>11.507094572430326</c:v>
                </c:pt>
                <c:pt idx="242">
                  <c:v>12.138057284043139</c:v>
                </c:pt>
                <c:pt idx="243">
                  <c:v>12.138057284043139</c:v>
                </c:pt>
                <c:pt idx="244">
                  <c:v>12.769466743029316</c:v>
                </c:pt>
                <c:pt idx="245">
                  <c:v>12.769466743029316</c:v>
                </c:pt>
                <c:pt idx="246">
                  <c:v>13.732152913495845</c:v>
                </c:pt>
                <c:pt idx="247">
                  <c:v>14.36309063956719</c:v>
                </c:pt>
                <c:pt idx="248">
                  <c:v>14.36309063956719</c:v>
                </c:pt>
                <c:pt idx="249">
                  <c:v>14.994352401018016</c:v>
                </c:pt>
                <c:pt idx="250">
                  <c:v>14.994352401018016</c:v>
                </c:pt>
                <c:pt idx="251">
                  <c:v>15.625903383363717</c:v>
                </c:pt>
                <c:pt idx="252">
                  <c:v>16.257708756169013</c:v>
                </c:pt>
                <c:pt idx="253">
                  <c:v>16.582088789246015</c:v>
                </c:pt>
                <c:pt idx="254">
                  <c:v>17.212762796932079</c:v>
                </c:pt>
                <c:pt idx="255">
                  <c:v>17.843603678779527</c:v>
                </c:pt>
                <c:pt idx="256">
                  <c:v>17.843603678779527</c:v>
                </c:pt>
                <c:pt idx="257">
                  <c:v>18.474576643515537</c:v>
                </c:pt>
                <c:pt idx="258">
                  <c:v>19.105646892582861</c:v>
                </c:pt>
                <c:pt idx="259">
                  <c:v>19.105646892582861</c:v>
                </c:pt>
                <c:pt idx="260">
                  <c:v>19.736779622058982</c:v>
                </c:pt>
                <c:pt idx="261">
                  <c:v>20.367940024575528</c:v>
                </c:pt>
                <c:pt idx="262">
                  <c:v>20.367940024575528</c:v>
                </c:pt>
                <c:pt idx="263">
                  <c:v>20.999093291237916</c:v>
                </c:pt>
                <c:pt idx="264">
                  <c:v>21.63020461354515</c:v>
                </c:pt>
                <c:pt idx="265">
                  <c:v>21.63020461354515</c:v>
                </c:pt>
                <c:pt idx="266">
                  <c:v>22.261239185309442</c:v>
                </c:pt>
                <c:pt idx="267">
                  <c:v>22.892162204575907</c:v>
                </c:pt>
                <c:pt idx="268">
                  <c:v>22.892162204575907</c:v>
                </c:pt>
                <c:pt idx="269">
                  <c:v>23.522938875541783</c:v>
                </c:pt>
                <c:pt idx="270">
                  <c:v>24.153534410475604</c:v>
                </c:pt>
                <c:pt idx="271">
                  <c:v>24.478463150274607</c:v>
                </c:pt>
                <c:pt idx="272">
                  <c:v>24.478463150274607</c:v>
                </c:pt>
                <c:pt idx="273">
                  <c:v>25.110168436675384</c:v>
                </c:pt>
                <c:pt idx="274">
                  <c:v>25.74160505033198</c:v>
                </c:pt>
                <c:pt idx="275">
                  <c:v>26.37273816711663</c:v>
                </c:pt>
                <c:pt idx="276">
                  <c:v>26.37273816711663</c:v>
                </c:pt>
                <c:pt idx="277">
                  <c:v>27.003532979639559</c:v>
                </c:pt>
                <c:pt idx="278">
                  <c:v>27.334909398075116</c:v>
                </c:pt>
                <c:pt idx="279">
                  <c:v>27.966566105956613</c:v>
                </c:pt>
                <c:pt idx="280">
                  <c:v>27.966566105956613</c:v>
                </c:pt>
                <c:pt idx="281">
                  <c:v>28.597796608959609</c:v>
                </c:pt>
                <c:pt idx="282">
                  <c:v>29.228566094323487</c:v>
                </c:pt>
                <c:pt idx="283">
                  <c:v>29.564772136414529</c:v>
                </c:pt>
                <c:pt idx="284">
                  <c:v>30.196207031713062</c:v>
                </c:pt>
                <c:pt idx="285">
                  <c:v>30.196207031713062</c:v>
                </c:pt>
                <c:pt idx="286">
                  <c:v>30.827092756028808</c:v>
                </c:pt>
                <c:pt idx="287">
                  <c:v>31.166726561779825</c:v>
                </c:pt>
                <c:pt idx="288">
                  <c:v>31.798133530207242</c:v>
                </c:pt>
                <c:pt idx="289">
                  <c:v>32.428902980394383</c:v>
                </c:pt>
                <c:pt idx="290">
                  <c:v>32.13995896166724</c:v>
                </c:pt>
                <c:pt idx="291">
                  <c:v>32.771795976834746</c:v>
                </c:pt>
                <c:pt idx="292">
                  <c:v>33.40294177566355</c:v>
                </c:pt>
                <c:pt idx="293">
                  <c:v>33.747913111935141</c:v>
                </c:pt>
                <c:pt idx="294">
                  <c:v>34.379343546565167</c:v>
                </c:pt>
                <c:pt idx="295">
                  <c:v>35.0099941075934</c:v>
                </c:pt>
                <c:pt idx="296">
                  <c:v>35.357940126489737</c:v>
                </c:pt>
                <c:pt idx="297">
                  <c:v>35.357940126489737</c:v>
                </c:pt>
                <c:pt idx="298">
                  <c:v>35.706839399235484</c:v>
                </c:pt>
                <c:pt idx="299">
                  <c:v>36.338562571569142</c:v>
                </c:pt>
                <c:pt idx="300">
                  <c:v>36.969397818135192</c:v>
                </c:pt>
                <c:pt idx="301">
                  <c:v>37.321041195357225</c:v>
                </c:pt>
                <c:pt idx="302">
                  <c:v>37.951829706173598</c:v>
                </c:pt>
                <c:pt idx="303">
                  <c:v>38.30520560369041</c:v>
                </c:pt>
                <c:pt idx="304">
                  <c:v>38.935854266449496</c:v>
                </c:pt>
                <c:pt idx="305">
                  <c:v>38.659418551618288</c:v>
                </c:pt>
                <c:pt idx="306">
                  <c:v>39.290884729720737</c:v>
                </c:pt>
                <c:pt idx="307">
                  <c:v>39.646713128181275</c:v>
                </c:pt>
                <c:pt idx="308">
                  <c:v>40.277906869114275</c:v>
                </c:pt>
                <c:pt idx="309">
                  <c:v>40.63527222254671</c:v>
                </c:pt>
                <c:pt idx="310">
                  <c:v>40.993376510997791</c:v>
                </c:pt>
                <c:pt idx="311">
                  <c:v>41.624923189198483</c:v>
                </c:pt>
                <c:pt idx="312">
                  <c:v>41.984446058990677</c:v>
                </c:pt>
                <c:pt idx="313">
                  <c:v>42.615492833386</c:v>
                </c:pt>
                <c:pt idx="314">
                  <c:v>42.976354973960099</c:v>
                </c:pt>
                <c:pt idx="315">
                  <c:v>43.337856915454438</c:v>
                </c:pt>
                <c:pt idx="316">
                  <c:v>43.968929252196688</c:v>
                </c:pt>
                <c:pt idx="317">
                  <c:v>44.331650950164899</c:v>
                </c:pt>
                <c:pt idx="318">
                  <c:v>44.694952536416423</c:v>
                </c:pt>
                <c:pt idx="319">
                  <c:v>45.325855868107446</c:v>
                </c:pt>
                <c:pt idx="320">
                  <c:v>45.690257091114034</c:v>
                </c:pt>
                <c:pt idx="321">
                  <c:v>46.055178001946715</c:v>
                </c:pt>
                <c:pt idx="322">
                  <c:v>46.685717003006047</c:v>
                </c:pt>
                <c:pt idx="323">
                  <c:v>47.051616885084108</c:v>
                </c:pt>
                <c:pt idx="324">
                  <c:v>47.417975996590535</c:v>
                </c:pt>
                <c:pt idx="325">
                  <c:v>47.784774132589106</c:v>
                </c:pt>
                <c:pt idx="326">
                  <c:v>48.415171605047206</c:v>
                </c:pt>
                <c:pt idx="327">
                  <c:v>48.782787079487122</c:v>
                </c:pt>
                <c:pt idx="328">
                  <c:v>49.150780822799518</c:v>
                </c:pt>
                <c:pt idx="329">
                  <c:v>49.51913253989715</c:v>
                </c:pt>
                <c:pt idx="330">
                  <c:v>49.887821915950369</c:v>
                </c:pt>
                <c:pt idx="331">
                  <c:v>50.256828617507388</c:v>
                </c:pt>
                <c:pt idx="332">
                  <c:v>50.626132293615676</c:v>
                </c:pt>
                <c:pt idx="333">
                  <c:v>50.995712576944435</c:v>
                </c:pt>
                <c:pt idx="334">
                  <c:v>51.626777124547921</c:v>
                </c:pt>
                <c:pt idx="335">
                  <c:v>51.996849460429004</c:v>
                </c:pt>
                <c:pt idx="336">
                  <c:v>52.367137214504893</c:v>
                </c:pt>
                <c:pt idx="337">
                  <c:v>52.7376199651723</c:v>
                </c:pt>
                <c:pt idx="338">
                  <c:v>53.108277280073665</c:v>
                </c:pt>
                <c:pt idx="339">
                  <c:v>53.479088717224094</c:v>
                </c:pt>
                <c:pt idx="340">
                  <c:v>53.850033826138855</c:v>
                </c:pt>
                <c:pt idx="341">
                  <c:v>54.592243221589882</c:v>
                </c:pt>
                <c:pt idx="342">
                  <c:v>54.963466574809573</c:v>
                </c:pt>
                <c:pt idx="343">
                  <c:v>55.334741735417822</c:v>
                </c:pt>
                <c:pt idx="344">
                  <c:v>55.444820187715081</c:v>
                </c:pt>
                <c:pt idx="345">
                  <c:v>55.924264712713011</c:v>
                </c:pt>
                <c:pt idx="346">
                  <c:v>56.666769369689767</c:v>
                </c:pt>
                <c:pt idx="347">
                  <c:v>56.50576493494399</c:v>
                </c:pt>
                <c:pt idx="348">
                  <c:v>56.978831347239101</c:v>
                </c:pt>
                <c:pt idx="349">
                  <c:v>57.44947418375213</c:v>
                </c:pt>
                <c:pt idx="350">
                  <c:v>57.64295777858819</c:v>
                </c:pt>
                <c:pt idx="351">
                  <c:v>58.10645913336861</c:v>
                </c:pt>
                <c:pt idx="352">
                  <c:v>57.635809081064515</c:v>
                </c:pt>
                <c:pt idx="353">
                  <c:v>57.436004504569034</c:v>
                </c:pt>
                <c:pt idx="354">
                  <c:v>57.517825450491337</c:v>
                </c:pt>
                <c:pt idx="355">
                  <c:v>57.228881431764179</c:v>
                </c:pt>
                <c:pt idx="356">
                  <c:v>56.645837619504299</c:v>
                </c:pt>
                <c:pt idx="357">
                  <c:v>56.351769981205813</c:v>
                </c:pt>
                <c:pt idx="358">
                  <c:v>56.056026781048523</c:v>
                </c:pt>
                <c:pt idx="359">
                  <c:v>55.389599235361054</c:v>
                </c:pt>
              </c:numCache>
            </c:numRef>
          </c:xVal>
          <c:yVal>
            <c:numRef>
              <c:f>'Commanded Path'!$I$2:$I$361</c:f>
              <c:numCache>
                <c:formatCode>0.000</c:formatCode>
                <c:ptCount val="360"/>
                <c:pt idx="0">
                  <c:v>-37.875994492077993</c:v>
                </c:pt>
                <c:pt idx="1">
                  <c:v>-38.057650923298212</c:v>
                </c:pt>
                <c:pt idx="2">
                  <c:v>-37.768866491775327</c:v>
                </c:pt>
                <c:pt idx="3">
                  <c:v>-37.958759918649108</c:v>
                </c:pt>
                <c:pt idx="4">
                  <c:v>-37.931292378293662</c:v>
                </c:pt>
                <c:pt idx="5">
                  <c:v>-38.128900449638436</c:v>
                </c:pt>
                <c:pt idx="6">
                  <c:v>-37.865399348155705</c:v>
                </c:pt>
                <c:pt idx="7">
                  <c:v>-37.848942239584645</c:v>
                </c:pt>
                <c:pt idx="8">
                  <c:v>-38.057565284375968</c:v>
                </c:pt>
                <c:pt idx="9">
                  <c:v>-38.0466194448327</c:v>
                </c:pt>
                <c:pt idx="10">
                  <c:v>-37.810673168755827</c:v>
                </c:pt>
                <c:pt idx="11">
                  <c:v>-37.807998380131281</c:v>
                </c:pt>
                <c:pt idx="12">
                  <c:v>-38.030406002948823</c:v>
                </c:pt>
                <c:pt idx="13">
                  <c:v>-38.033246239283272</c:v>
                </c:pt>
                <c:pt idx="14">
                  <c:v>-38.038843829175178</c:v>
                </c:pt>
                <c:pt idx="15">
                  <c:v>-38.047198463913958</c:v>
                </c:pt>
                <c:pt idx="16">
                  <c:v>-38.058309682736194</c:v>
                </c:pt>
                <c:pt idx="17">
                  <c:v>-37.866474372793235</c:v>
                </c:pt>
                <c:pt idx="18">
                  <c:v>-37.885851059189477</c:v>
                </c:pt>
                <c:pt idx="19">
                  <c:v>-37.907980966722008</c:v>
                </c:pt>
                <c:pt idx="20">
                  <c:v>-37.932862874912473</c:v>
                </c:pt>
                <c:pt idx="21">
                  <c:v>-37.960495411507949</c:v>
                </c:pt>
                <c:pt idx="22">
                  <c:v>-37.990877052556598</c:v>
                </c:pt>
                <c:pt idx="23">
                  <c:v>-38.024006122491684</c:v>
                </c:pt>
                <c:pt idx="24">
                  <c:v>-38.059880794224171</c:v>
                </c:pt>
                <c:pt idx="25">
                  <c:v>-37.878388921847275</c:v>
                </c:pt>
                <c:pt idx="26">
                  <c:v>-37.919748710329557</c:v>
                </c:pt>
                <c:pt idx="27">
                  <c:v>-37.963847711256662</c:v>
                </c:pt>
                <c:pt idx="28">
                  <c:v>-38.010683492540821</c:v>
                </c:pt>
                <c:pt idx="29">
                  <c:v>-38.060253471159101</c:v>
                </c:pt>
                <c:pt idx="30">
                  <c:v>-37.894671614400082</c:v>
                </c:pt>
                <c:pt idx="31">
                  <c:v>-37.949701635597961</c:v>
                </c:pt>
                <c:pt idx="32">
                  <c:v>-38.007457200916434</c:v>
                </c:pt>
                <c:pt idx="33">
                  <c:v>-37.852290711105283</c:v>
                </c:pt>
                <c:pt idx="34">
                  <c:v>-37.915487658757527</c:v>
                </c:pt>
                <c:pt idx="35">
                  <c:v>-37.981400144527257</c:v>
                </c:pt>
                <c:pt idx="36">
                  <c:v>-37.836630897131997</c:v>
                </c:pt>
                <c:pt idx="37">
                  <c:v>-37.907963404227971</c:v>
                </c:pt>
                <c:pt idx="38">
                  <c:v>-38.121357040395253</c:v>
                </c:pt>
                <c:pt idx="39">
                  <c:v>-37.982000095615078</c:v>
                </c:pt>
                <c:pt idx="40">
                  <c:v>-38.058736888123107</c:v>
                </c:pt>
                <c:pt idx="41">
                  <c:v>-37.927038460122972</c:v>
                </c:pt>
                <c:pt idx="42">
                  <c:v>-38.009162609946301</c:v>
                </c:pt>
                <c:pt idx="43">
                  <c:v>-37.885116819934964</c:v>
                </c:pt>
                <c:pt idx="44">
                  <c:v>-37.972610210528572</c:v>
                </c:pt>
                <c:pt idx="45">
                  <c:v>-37.856209867809085</c:v>
                </c:pt>
                <c:pt idx="46">
                  <c:v>-37.949053198176244</c:v>
                </c:pt>
                <c:pt idx="47">
                  <c:v>-37.949053198176244</c:v>
                </c:pt>
                <c:pt idx="48">
                  <c:v>-38.044563891572352</c:v>
                </c:pt>
                <c:pt idx="49">
                  <c:v>-37.938462592587868</c:v>
                </c:pt>
                <c:pt idx="50">
                  <c:v>-38.03929206280057</c:v>
                </c:pt>
                <c:pt idx="51">
                  <c:v>-37.940806933132293</c:v>
                </c:pt>
                <c:pt idx="52">
                  <c:v>-37.847286723034614</c:v>
                </c:pt>
                <c:pt idx="53">
                  <c:v>-38.046932937232555</c:v>
                </c:pt>
                <c:pt idx="54">
                  <c:v>-37.956052287652611</c:v>
                </c:pt>
                <c:pt idx="55">
                  <c:v>-38.067451414298802</c:v>
                </c:pt>
                <c:pt idx="56">
                  <c:v>-37.984162261794566</c:v>
                </c:pt>
                <c:pt idx="57">
                  <c:v>-37.905835637787206</c:v>
                </c:pt>
                <c:pt idx="58">
                  <c:v>-37.905835637787206</c:v>
                </c:pt>
                <c:pt idx="59">
                  <c:v>-38.02509800885683</c:v>
                </c:pt>
                <c:pt idx="60">
                  <c:v>-37.95434635218129</c:v>
                </c:pt>
                <c:pt idx="61">
                  <c:v>-37.888558868368833</c:v>
                </c:pt>
                <c:pt idx="62">
                  <c:v>-38.015625289483026</c:v>
                </c:pt>
                <c:pt idx="63">
                  <c:v>-38.015625289483026</c:v>
                </c:pt>
                <c:pt idx="64">
                  <c:v>-37.957393132096172</c:v>
                </c:pt>
                <c:pt idx="65">
                  <c:v>-37.904124979540569</c:v>
                </c:pt>
                <c:pt idx="66">
                  <c:v>-37.855823769588454</c:v>
                </c:pt>
                <c:pt idx="67">
                  <c:v>-38.038932382878286</c:v>
                </c:pt>
                <c:pt idx="68">
                  <c:v>-37.993196820250787</c:v>
                </c:pt>
                <c:pt idx="69">
                  <c:v>-37.952423287858537</c:v>
                </c:pt>
                <c:pt idx="70">
                  <c:v>-37.952423287858537</c:v>
                </c:pt>
                <c:pt idx="71">
                  <c:v>-37.916614034387621</c:v>
                </c:pt>
                <c:pt idx="72">
                  <c:v>-37.885771034740898</c:v>
                </c:pt>
                <c:pt idx="73">
                  <c:v>-38.033329503940678</c:v>
                </c:pt>
                <c:pt idx="74">
                  <c:v>-38.033329503940678</c:v>
                </c:pt>
                <c:pt idx="75">
                  <c:v>-38.009980818904026</c:v>
                </c:pt>
                <c:pt idx="76">
                  <c:v>-37.991593238454485</c:v>
                </c:pt>
                <c:pt idx="77">
                  <c:v>-37.991593238454485</c:v>
                </c:pt>
                <c:pt idx="78">
                  <c:v>-37.978167776678745</c:v>
                </c:pt>
                <c:pt idx="79">
                  <c:v>-37.969705173999515</c:v>
                </c:pt>
                <c:pt idx="80">
                  <c:v>-37.969705173999515</c:v>
                </c:pt>
                <c:pt idx="81">
                  <c:v>-37.966205897134657</c:v>
                </c:pt>
                <c:pt idx="82">
                  <c:v>-37.967670139071501</c:v>
                </c:pt>
                <c:pt idx="83">
                  <c:v>-37.967670139071501</c:v>
                </c:pt>
                <c:pt idx="84">
                  <c:v>-37.974097819056126</c:v>
                </c:pt>
                <c:pt idx="85">
                  <c:v>-37.974097819056126</c:v>
                </c:pt>
                <c:pt idx="86">
                  <c:v>-37.985488582598052</c:v>
                </c:pt>
                <c:pt idx="87">
                  <c:v>-38.001841801489363</c:v>
                </c:pt>
                <c:pt idx="88">
                  <c:v>-38.001841801489363</c:v>
                </c:pt>
                <c:pt idx="89">
                  <c:v>-38.023156573839756</c:v>
                </c:pt>
                <c:pt idx="90">
                  <c:v>-38.023156573839756</c:v>
                </c:pt>
                <c:pt idx="91">
                  <c:v>-37.903367633245821</c:v>
                </c:pt>
                <c:pt idx="92">
                  <c:v>-37.937140945945814</c:v>
                </c:pt>
                <c:pt idx="93">
                  <c:v>-37.937140945945814</c:v>
                </c:pt>
                <c:pt idx="94">
                  <c:v>-37.975879380397927</c:v>
                </c:pt>
                <c:pt idx="95">
                  <c:v>-37.975879380397927</c:v>
                </c:pt>
                <c:pt idx="96">
                  <c:v>-38.019580800153037</c:v>
                </c:pt>
                <c:pt idx="97">
                  <c:v>-37.883720574130692</c:v>
                </c:pt>
                <c:pt idx="98">
                  <c:v>-37.934952619973927</c:v>
                </c:pt>
                <c:pt idx="99">
                  <c:v>-37.991149908256844</c:v>
                </c:pt>
                <c:pt idx="100">
                  <c:v>-37.991149908256844</c:v>
                </c:pt>
                <c:pt idx="101">
                  <c:v>-38.052309339663495</c:v>
                </c:pt>
                <c:pt idx="102">
                  <c:v>-37.926772854670062</c:v>
                </c:pt>
                <c:pt idx="103">
                  <c:v>-37.995489656859874</c:v>
                </c:pt>
                <c:pt idx="104">
                  <c:v>-37.995489656859874</c:v>
                </c:pt>
                <c:pt idx="105">
                  <c:v>-37.951447876379447</c:v>
                </c:pt>
                <c:pt idx="106">
                  <c:v>-37.951447876379447</c:v>
                </c:pt>
                <c:pt idx="107">
                  <c:v>-37.951447876379447</c:v>
                </c:pt>
                <c:pt idx="108">
                  <c:v>-37.920225812748086</c:v>
                </c:pt>
                <c:pt idx="109">
                  <c:v>-37.920225812748086</c:v>
                </c:pt>
                <c:pt idx="110">
                  <c:v>-38.009071780688018</c:v>
                </c:pt>
                <c:pt idx="111">
                  <c:v>-37.901862840582552</c:v>
                </c:pt>
                <c:pt idx="112">
                  <c:v>-37.998312994609861</c:v>
                </c:pt>
                <c:pt idx="113">
                  <c:v>-37.998312994609861</c:v>
                </c:pt>
                <c:pt idx="114">
                  <c:v>-38.000462205250074</c:v>
                </c:pt>
                <c:pt idx="115">
                  <c:v>-38.000462205250074</c:v>
                </c:pt>
                <c:pt idx="116">
                  <c:v>-37.903859407223123</c:v>
                </c:pt>
                <c:pt idx="117">
                  <c:v>-38.015552579045604</c:v>
                </c:pt>
                <c:pt idx="118">
                  <c:v>-37.924285404016118</c:v>
                </c:pt>
                <c:pt idx="119">
                  <c:v>-38.043614808439031</c:v>
                </c:pt>
                <c:pt idx="120">
                  <c:v>-37.957703389898697</c:v>
                </c:pt>
                <c:pt idx="121">
                  <c:v>-37.957703389898697</c:v>
                </c:pt>
                <c:pt idx="122">
                  <c:v>-38.004140393195001</c:v>
                </c:pt>
                <c:pt idx="123">
                  <c:v>-38.004140393195001</c:v>
                </c:pt>
                <c:pt idx="124">
                  <c:v>-37.926297774053637</c:v>
                </c:pt>
                <c:pt idx="125">
                  <c:v>-37.991179240327241</c:v>
                </c:pt>
                <c:pt idx="126">
                  <c:v>-37.991179240327241</c:v>
                </c:pt>
                <c:pt idx="127">
                  <c:v>-37.921444056790463</c:v>
                </c:pt>
                <c:pt idx="128">
                  <c:v>-37.921444056790463</c:v>
                </c:pt>
                <c:pt idx="129">
                  <c:v>-38.004831520757079</c:v>
                </c:pt>
                <c:pt idx="130">
                  <c:v>-37.943238385006751</c:v>
                </c:pt>
                <c:pt idx="131">
                  <c:v>-37.943238385006751</c:v>
                </c:pt>
                <c:pt idx="132">
                  <c:v>-38.045185191311646</c:v>
                </c:pt>
                <c:pt idx="133">
                  <c:v>-37.991764674326518</c:v>
                </c:pt>
                <c:pt idx="134">
                  <c:v>-37.941074456443644</c:v>
                </c:pt>
                <c:pt idx="135">
                  <c:v>-37.941074456443644</c:v>
                </c:pt>
                <c:pt idx="136">
                  <c:v>-37.89311733326052</c:v>
                </c:pt>
                <c:pt idx="137">
                  <c:v>-38.024611412160752</c:v>
                </c:pt>
                <c:pt idx="138">
                  <c:v>-37.984868838621978</c:v>
                </c:pt>
                <c:pt idx="139">
                  <c:v>-37.947869033436959</c:v>
                </c:pt>
                <c:pt idx="140">
                  <c:v>-37.913614037168344</c:v>
                </c:pt>
                <c:pt idx="141">
                  <c:v>-37.913614037168344</c:v>
                </c:pt>
                <c:pt idx="142">
                  <c:v>-37.882105739000764</c:v>
                </c:pt>
                <c:pt idx="143">
                  <c:v>-38.048754369958303</c:v>
                </c:pt>
                <c:pt idx="144">
                  <c:v>-38.0254959859097</c:v>
                </c:pt>
                <c:pt idx="145">
                  <c:v>-38.004990340962891</c:v>
                </c:pt>
                <c:pt idx="146">
                  <c:v>-37.987238566017155</c:v>
                </c:pt>
                <c:pt idx="147">
                  <c:v>-37.972241640094111</c:v>
                </c:pt>
                <c:pt idx="148">
                  <c:v>-37.960000390283639</c:v>
                </c:pt>
                <c:pt idx="149">
                  <c:v>-37.950515491698425</c:v>
                </c:pt>
                <c:pt idx="150">
                  <c:v>-37.943787467436621</c:v>
                </c:pt>
                <c:pt idx="151">
                  <c:v>-37.938603374038465</c:v>
                </c:pt>
                <c:pt idx="152">
                  <c:v>-37.940147590808166</c:v>
                </c:pt>
                <c:pt idx="153">
                  <c:v>-37.944449253697542</c:v>
                </c:pt>
                <c:pt idx="154">
                  <c:v>-37.951508125467157</c:v>
                </c:pt>
                <c:pt idx="155">
                  <c:v>-37.961323816815806</c:v>
                </c:pt>
                <c:pt idx="156">
                  <c:v>-37.989223340873338</c:v>
                </c:pt>
                <c:pt idx="157">
                  <c:v>-38.007305634905876</c:v>
                </c:pt>
                <c:pt idx="158">
                  <c:v>-38.028141671249571</c:v>
                </c:pt>
                <c:pt idx="159">
                  <c:v>-38.078070222580934</c:v>
                </c:pt>
                <c:pt idx="160">
                  <c:v>-37.856651888823521</c:v>
                </c:pt>
                <c:pt idx="161">
                  <c:v>-37.917579646897408</c:v>
                </c:pt>
                <c:pt idx="162">
                  <c:v>-37.952164122969918</c:v>
                </c:pt>
                <c:pt idx="163">
                  <c:v>-38.029564732512796</c:v>
                </c:pt>
                <c:pt idx="164">
                  <c:v>-38.250983066270223</c:v>
                </c:pt>
                <c:pt idx="165">
                  <c:v>-38.47460890984172</c:v>
                </c:pt>
                <c:pt idx="166">
                  <c:v>-38.743241794898765</c:v>
                </c:pt>
                <c:pt idx="167">
                  <c:v>-38.971245537713784</c:v>
                </c:pt>
                <c:pt idx="168">
                  <c:v>-39.158607563736425</c:v>
                </c:pt>
                <c:pt idx="169">
                  <c:v>-39.625414893367719</c:v>
                </c:pt>
                <c:pt idx="170">
                  <c:v>-39.821951026048751</c:v>
                </c:pt>
                <c:pt idx="171">
                  <c:v>-40.264180180154469</c:v>
                </c:pt>
                <c:pt idx="172">
                  <c:v>-40.717522639033362</c:v>
                </c:pt>
                <c:pt idx="173">
                  <c:v>-41.152782912214903</c:v>
                </c:pt>
                <c:pt idx="174">
                  <c:v>-41.354012152272745</c:v>
                </c:pt>
                <c:pt idx="175">
                  <c:v>-41.823467699408283</c:v>
                </c:pt>
                <c:pt idx="176">
                  <c:v>-42.052756224333095</c:v>
                </c:pt>
                <c:pt idx="177">
                  <c:v>-42.302110446701263</c:v>
                </c:pt>
                <c:pt idx="178">
                  <c:v>-42.551887397109169</c:v>
                </c:pt>
                <c:pt idx="179">
                  <c:v>-42.81343383485941</c:v>
                </c:pt>
                <c:pt idx="180">
                  <c:v>-43.083647242614859</c:v>
                </c:pt>
                <c:pt idx="181">
                  <c:v>-43.090375266876677</c:v>
                </c:pt>
                <c:pt idx="182">
                  <c:v>-42.847072100915042</c:v>
                </c:pt>
                <c:pt idx="183">
                  <c:v>-42.862069026838114</c:v>
                </c:pt>
                <c:pt idx="184">
                  <c:v>-42.879820801783822</c:v>
                </c:pt>
                <c:pt idx="185">
                  <c:v>-42.900326446730631</c:v>
                </c:pt>
                <c:pt idx="186">
                  <c:v>-42.923584830779248</c:v>
                </c:pt>
                <c:pt idx="187">
                  <c:v>-42.94959467121511</c:v>
                </c:pt>
                <c:pt idx="188">
                  <c:v>-42.978354533579122</c:v>
                </c:pt>
                <c:pt idx="189">
                  <c:v>-43.009862831746702</c:v>
                </c:pt>
                <c:pt idx="190">
                  <c:v>-43.044117828015331</c:v>
                </c:pt>
                <c:pt idx="191">
                  <c:v>-43.081117633200321</c:v>
                </c:pt>
                <c:pt idx="192">
                  <c:v>-42.857769552219168</c:v>
                </c:pt>
                <c:pt idx="193">
                  <c:v>-42.900252702283709</c:v>
                </c:pt>
                <c:pt idx="194">
                  <c:v>-42.945474085901452</c:v>
                </c:pt>
                <c:pt idx="195">
                  <c:v>-42.993431209084562</c:v>
                </c:pt>
                <c:pt idx="196">
                  <c:v>-43.04412142696745</c:v>
                </c:pt>
                <c:pt idx="197">
                  <c:v>-42.892552328797805</c:v>
                </c:pt>
                <c:pt idx="198">
                  <c:v>-42.892552328797805</c:v>
                </c:pt>
                <c:pt idx="199">
                  <c:v>-42.951424455046507</c:v>
                </c:pt>
                <c:pt idx="200">
                  <c:v>-43.013017590796835</c:v>
                </c:pt>
                <c:pt idx="201">
                  <c:v>-43.07732833914848</c:v>
                </c:pt>
                <c:pt idx="202">
                  <c:v>-42.885183239606306</c:v>
                </c:pt>
                <c:pt idx="203">
                  <c:v>-42.95491842314307</c:v>
                </c:pt>
                <c:pt idx="204">
                  <c:v>-43.027360130102622</c:v>
                </c:pt>
                <c:pt idx="205">
                  <c:v>-42.923158935438082</c:v>
                </c:pt>
                <c:pt idx="206">
                  <c:v>-42.923158935438082</c:v>
                </c:pt>
                <c:pt idx="207">
                  <c:v>-43.003695645474764</c:v>
                </c:pt>
                <c:pt idx="208">
                  <c:v>-43.086922004756403</c:v>
                </c:pt>
                <c:pt idx="209">
                  <c:v>-42.917641423132096</c:v>
                </c:pt>
                <c:pt idx="210">
                  <c:v>-43.006233162862173</c:v>
                </c:pt>
                <c:pt idx="211">
                  <c:v>-43.006233162862173</c:v>
                </c:pt>
                <c:pt idx="212">
                  <c:v>-42.93825603743106</c:v>
                </c:pt>
                <c:pt idx="213">
                  <c:v>-43.034858835458024</c:v>
                </c:pt>
                <c:pt idx="214">
                  <c:v>-42.882963735530907</c:v>
                </c:pt>
                <c:pt idx="215">
                  <c:v>-42.984880846028048</c:v>
                </c:pt>
                <c:pt idx="216">
                  <c:v>-42.984880846028048</c:v>
                </c:pt>
                <c:pt idx="217">
                  <c:v>-42.947535840952142</c:v>
                </c:pt>
                <c:pt idx="218">
                  <c:v>-42.947535840952142</c:v>
                </c:pt>
                <c:pt idx="219">
                  <c:v>-43.057381899783095</c:v>
                </c:pt>
                <c:pt idx="220">
                  <c:v>-42.922790841925249</c:v>
                </c:pt>
                <c:pt idx="221">
                  <c:v>-43.037892818864137</c:v>
                </c:pt>
                <c:pt idx="222">
                  <c:v>-42.910610430535158</c:v>
                </c:pt>
                <c:pt idx="223">
                  <c:v>-43.030942934145358</c:v>
                </c:pt>
                <c:pt idx="224">
                  <c:v>-42.910956758329888</c:v>
                </c:pt>
                <c:pt idx="225">
                  <c:v>-42.910956758329888</c:v>
                </c:pt>
                <c:pt idx="226">
                  <c:v>-43.036493243323335</c:v>
                </c:pt>
                <c:pt idx="227">
                  <c:v>-42.923789557402927</c:v>
                </c:pt>
                <c:pt idx="228">
                  <c:v>-43.054502330495907</c:v>
                </c:pt>
                <c:pt idx="229">
                  <c:v>-42.949066151492659</c:v>
                </c:pt>
                <c:pt idx="230">
                  <c:v>-42.949066151492659</c:v>
                </c:pt>
                <c:pt idx="231">
                  <c:v>-42.986741467594285</c:v>
                </c:pt>
                <c:pt idx="232">
                  <c:v>-42.986741467594285</c:v>
                </c:pt>
                <c:pt idx="233">
                  <c:v>-42.893243190769766</c:v>
                </c:pt>
                <c:pt idx="234">
                  <c:v>-43.036768048081186</c:v>
                </c:pt>
                <c:pt idx="235">
                  <c:v>-42.950500794410758</c:v>
                </c:pt>
                <c:pt idx="236">
                  <c:v>-42.950500794410758</c:v>
                </c:pt>
                <c:pt idx="237">
                  <c:v>-43.020040424374073</c:v>
                </c:pt>
                <c:pt idx="238">
                  <c:v>-43.020040424374073</c:v>
                </c:pt>
                <c:pt idx="239">
                  <c:v>-42.945669582052801</c:v>
                </c:pt>
                <c:pt idx="240">
                  <c:v>-42.87598763796818</c:v>
                </c:pt>
                <c:pt idx="241">
                  <c:v>-43.034624278694906</c:v>
                </c:pt>
                <c:pt idx="242">
                  <c:v>-42.972123891471441</c:v>
                </c:pt>
                <c:pt idx="243">
                  <c:v>-42.972123891471441</c:v>
                </c:pt>
                <c:pt idx="244">
                  <c:v>-42.91431094351276</c:v>
                </c:pt>
                <c:pt idx="245">
                  <c:v>-42.91431094351276</c:v>
                </c:pt>
                <c:pt idx="246">
                  <c:v>-43.029726662846699</c:v>
                </c:pt>
                <c:pt idx="247">
                  <c:v>-42.983750352307041</c:v>
                </c:pt>
                <c:pt idx="248">
                  <c:v>-42.983750352307041</c:v>
                </c:pt>
                <c:pt idx="249">
                  <c:v>-42.942460839825515</c:v>
                </c:pt>
                <c:pt idx="250">
                  <c:v>-42.942460839825515</c:v>
                </c:pt>
                <c:pt idx="251">
                  <c:v>-42.905860402544803</c:v>
                </c:pt>
                <c:pt idx="252">
                  <c:v>-42.873951059002096</c:v>
                </c:pt>
                <c:pt idx="253">
                  <c:v>-43.054655713170845</c:v>
                </c:pt>
                <c:pt idx="254">
                  <c:v>-43.029843182307687</c:v>
                </c:pt>
                <c:pt idx="255">
                  <c:v>-43.009714907453997</c:v>
                </c:pt>
                <c:pt idx="256">
                  <c:v>-43.009714907453997</c:v>
                </c:pt>
                <c:pt idx="257">
                  <c:v>-42.994271998696831</c:v>
                </c:pt>
                <c:pt idx="258">
                  <c:v>-42.983515307722342</c:v>
                </c:pt>
                <c:pt idx="259">
                  <c:v>-42.983515307722342</c:v>
                </c:pt>
                <c:pt idx="260">
                  <c:v>-42.977445427768842</c:v>
                </c:pt>
                <c:pt idx="261">
                  <c:v>-42.976062693594045</c:v>
                </c:pt>
                <c:pt idx="262">
                  <c:v>-42.976062693594045</c:v>
                </c:pt>
                <c:pt idx="263">
                  <c:v>-42.979367181456624</c:v>
                </c:pt>
                <c:pt idx="264">
                  <c:v>-42.987358709111959</c:v>
                </c:pt>
                <c:pt idx="265">
                  <c:v>-42.987358709111959</c:v>
                </c:pt>
                <c:pt idx="266">
                  <c:v>-43.000036835822257</c:v>
                </c:pt>
                <c:pt idx="267">
                  <c:v>-43.017400862380853</c:v>
                </c:pt>
                <c:pt idx="268">
                  <c:v>-43.017400862380853</c:v>
                </c:pt>
                <c:pt idx="269">
                  <c:v>-43.039449831150691</c:v>
                </c:pt>
                <c:pt idx="270">
                  <c:v>-43.066182526117259</c:v>
                </c:pt>
                <c:pt idx="271">
                  <c:v>-42.886466383409044</c:v>
                </c:pt>
                <c:pt idx="272">
                  <c:v>-42.886466383409044</c:v>
                </c:pt>
                <c:pt idx="273">
                  <c:v>-42.920299302944116</c:v>
                </c:pt>
                <c:pt idx="274">
                  <c:v>-42.958822519902739</c:v>
                </c:pt>
                <c:pt idx="275">
                  <c:v>-43.002033909705162</c:v>
                </c:pt>
                <c:pt idx="276">
                  <c:v>-43.002033909705162</c:v>
                </c:pt>
                <c:pt idx="277">
                  <c:v>-43.049931089215988</c:v>
                </c:pt>
                <c:pt idx="278">
                  <c:v>-42.882401249479571</c:v>
                </c:pt>
                <c:pt idx="279">
                  <c:v>-42.937447096164178</c:v>
                </c:pt>
                <c:pt idx="280">
                  <c:v>-42.937447096164178</c:v>
                </c:pt>
                <c:pt idx="281">
                  <c:v>-42.997182294560687</c:v>
                </c:pt>
                <c:pt idx="282">
                  <c:v>-43.061603550235233</c:v>
                </c:pt>
                <c:pt idx="283">
                  <c:v>-42.903989860605293</c:v>
                </c:pt>
                <c:pt idx="284">
                  <c:v>-42.975594732483373</c:v>
                </c:pt>
                <c:pt idx="285">
                  <c:v>-42.975594732483373</c:v>
                </c:pt>
                <c:pt idx="286">
                  <c:v>-43.05188685220719</c:v>
                </c:pt>
                <c:pt idx="287">
                  <c:v>-42.901802023232491</c:v>
                </c:pt>
                <c:pt idx="288">
                  <c:v>-42.985303543018361</c:v>
                </c:pt>
                <c:pt idx="289">
                  <c:v>-43.073491775202896</c:v>
                </c:pt>
                <c:pt idx="290">
                  <c:v>-42.840279571536215</c:v>
                </c:pt>
                <c:pt idx="291">
                  <c:v>-42.931010299601894</c:v>
                </c:pt>
                <c:pt idx="292">
                  <c:v>-43.026430734372966</c:v>
                </c:pt>
                <c:pt idx="293">
                  <c:v>-42.889057683710632</c:v>
                </c:pt>
                <c:pt idx="294">
                  <c:v>-42.991728210014401</c:v>
                </c:pt>
                <c:pt idx="295">
                  <c:v>-43.099085094392422</c:v>
                </c:pt>
                <c:pt idx="296">
                  <c:v>-42.969431147936987</c:v>
                </c:pt>
                <c:pt idx="297">
                  <c:v>-42.969431147936987</c:v>
                </c:pt>
                <c:pt idx="298">
                  <c:v>-42.842364726822794</c:v>
                </c:pt>
                <c:pt idx="299">
                  <c:v>-42.95958410695097</c:v>
                </c:pt>
                <c:pt idx="300">
                  <c:v>-43.081491617920946</c:v>
                </c:pt>
                <c:pt idx="301">
                  <c:v>-42.962229246851322</c:v>
                </c:pt>
                <c:pt idx="302">
                  <c:v>-43.091432861854216</c:v>
                </c:pt>
                <c:pt idx="303">
                  <c:v>-42.977406316911967</c:v>
                </c:pt>
                <c:pt idx="304">
                  <c:v>-43.113918209510658</c:v>
                </c:pt>
                <c:pt idx="305">
                  <c:v>-42.866007190265762</c:v>
                </c:pt>
                <c:pt idx="306">
                  <c:v>-43.005152644892647</c:v>
                </c:pt>
                <c:pt idx="307">
                  <c:v>-42.8990266407924</c:v>
                </c:pt>
                <c:pt idx="308">
                  <c:v>-43.045503126561329</c:v>
                </c:pt>
                <c:pt idx="309">
                  <c:v>-42.944673656348627</c:v>
                </c:pt>
                <c:pt idx="310">
                  <c:v>-42.846500867398603</c:v>
                </c:pt>
                <c:pt idx="311">
                  <c:v>-43.002979522337753</c:v>
                </c:pt>
                <c:pt idx="312">
                  <c:v>-42.910136191970608</c:v>
                </c:pt>
                <c:pt idx="313">
                  <c:v>-43.07397306786423</c:v>
                </c:pt>
                <c:pt idx="314">
                  <c:v>-42.986479677270637</c:v>
                </c:pt>
                <c:pt idx="315">
                  <c:v>-42.901668568369089</c:v>
                </c:pt>
                <c:pt idx="316">
                  <c:v>-43.075556507251449</c:v>
                </c:pt>
                <c:pt idx="317">
                  <c:v>-42.996123845705085</c:v>
                </c:pt>
                <c:pt idx="318">
                  <c:v>-42.91938705319707</c:v>
                </c:pt>
                <c:pt idx="319">
                  <c:v>-43.103352697129409</c:v>
                </c:pt>
                <c:pt idx="320">
                  <c:v>-43.03202019003345</c:v>
                </c:pt>
                <c:pt idx="321">
                  <c:v>-42.963395801261427</c:v>
                </c:pt>
                <c:pt idx="322">
                  <c:v>-43.157461668433314</c:v>
                </c:pt>
                <c:pt idx="323">
                  <c:v>-43.094264720781084</c:v>
                </c:pt>
                <c:pt idx="324">
                  <c:v>-43.03378679659788</c:v>
                </c:pt>
                <c:pt idx="325">
                  <c:v>-42.976031231279407</c:v>
                </c:pt>
                <c:pt idx="326">
                  <c:v>-43.182941242675057</c:v>
                </c:pt>
                <c:pt idx="327">
                  <c:v>-43.130639800538205</c:v>
                </c:pt>
                <c:pt idx="328">
                  <c:v>-43.081069821919897</c:v>
                </c:pt>
                <c:pt idx="329">
                  <c:v>-43.034234040635752</c:v>
                </c:pt>
                <c:pt idx="330">
                  <c:v>-42.990135039708662</c:v>
                </c:pt>
                <c:pt idx="331">
                  <c:v>-42.948775251226365</c:v>
                </c:pt>
                <c:pt idx="332">
                  <c:v>-42.910156956207302</c:v>
                </c:pt>
                <c:pt idx="333">
                  <c:v>-42.87428228447483</c:v>
                </c:pt>
                <c:pt idx="334">
                  <c:v>-43.105040480627054</c:v>
                </c:pt>
                <c:pt idx="335">
                  <c:v>-43.074658839578433</c:v>
                </c:pt>
                <c:pt idx="336">
                  <c:v>-43.047026302982957</c:v>
                </c:pt>
                <c:pt idx="337">
                  <c:v>-43.022144394792477</c:v>
                </c:pt>
                <c:pt idx="338">
                  <c:v>-43.000014487259961</c:v>
                </c:pt>
                <c:pt idx="339">
                  <c:v>-42.980637800863704</c:v>
                </c:pt>
                <c:pt idx="340">
                  <c:v>-42.964015404240271</c:v>
                </c:pt>
                <c:pt idx="341">
                  <c:v>-42.939036995303042</c:v>
                </c:pt>
                <c:pt idx="342">
                  <c:v>-42.930682360564262</c:v>
                </c:pt>
                <c:pt idx="343">
                  <c:v>-42.925084770672356</c:v>
                </c:pt>
                <c:pt idx="344">
                  <c:v>-42.658357268250583</c:v>
                </c:pt>
                <c:pt idx="345">
                  <c:v>-42.399009298145401</c:v>
                </c:pt>
                <c:pt idx="346">
                  <c:v>-42.412630677540889</c:v>
                </c:pt>
                <c:pt idx="347">
                  <c:v>-41.905595828823081</c:v>
                </c:pt>
                <c:pt idx="348">
                  <c:v>-41.679742700578558</c:v>
                </c:pt>
                <c:pt idx="349">
                  <c:v>-41.466911182516313</c:v>
                </c:pt>
                <c:pt idx="350">
                  <c:v>-41.01714912343779</c:v>
                </c:pt>
                <c:pt idx="351">
                  <c:v>-40.832419118931625</c:v>
                </c:pt>
                <c:pt idx="352">
                  <c:v>-40.136808550017165</c:v>
                </c:pt>
                <c:pt idx="353">
                  <c:v>-39.698193150873678</c:v>
                </c:pt>
                <c:pt idx="354">
                  <c:v>-39.504036956019448</c:v>
                </c:pt>
                <c:pt idx="355">
                  <c:v>-39.270824752352738</c:v>
                </c:pt>
                <c:pt idx="356">
                  <c:v>-38.810869732166722</c:v>
                </c:pt>
                <c:pt idx="357">
                  <c:v>-38.584152282457111</c:v>
                </c:pt>
                <c:pt idx="358">
                  <c:v>-38.359624917848663</c:v>
                </c:pt>
                <c:pt idx="359">
                  <c:v>-38.09610465947398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FB-49EA-8E7B-7A939A6782B0}"/>
            </c:ext>
          </c:extLst>
        </c:ser>
        <c:ser>
          <c:idx val="1"/>
          <c:order val="1"/>
          <c:tx>
            <c:v>Raw measured</c:v>
          </c:tx>
          <c:spPr>
            <a:ln w="12700"/>
          </c:spPr>
          <c:marker>
            <c:symbol val="none"/>
          </c:marker>
          <c:xVal>
            <c:numRef>
              <c:f>'Scaled Data'!$C$2:$C$920</c:f>
              <c:numCache>
                <c:formatCode>0.000</c:formatCode>
                <c:ptCount val="919"/>
                <c:pt idx="0">
                  <c:v>48.363109588623047</c:v>
                </c:pt>
                <c:pt idx="1">
                  <c:v>48.345062255859375</c:v>
                </c:pt>
                <c:pt idx="2">
                  <c:v>48.641857147216797</c:v>
                </c:pt>
                <c:pt idx="3">
                  <c:v>48.683452606201172</c:v>
                </c:pt>
                <c:pt idx="4">
                  <c:v>48.682605743408203</c:v>
                </c:pt>
                <c:pt idx="5">
                  <c:v>49.052722930908203</c:v>
                </c:pt>
                <c:pt idx="6">
                  <c:v>49.994503021240234</c:v>
                </c:pt>
                <c:pt idx="7">
                  <c:v>47.999046325683594</c:v>
                </c:pt>
                <c:pt idx="8">
                  <c:v>46.377414703369141</c:v>
                </c:pt>
                <c:pt idx="9">
                  <c:v>45.460296630859375</c:v>
                </c:pt>
                <c:pt idx="10">
                  <c:v>44.890853881835938</c:v>
                </c:pt>
                <c:pt idx="11">
                  <c:v>44.023162841796875</c:v>
                </c:pt>
                <c:pt idx="12">
                  <c:v>42.959812164306641</c:v>
                </c:pt>
                <c:pt idx="13">
                  <c:v>42.493267059326172</c:v>
                </c:pt>
                <c:pt idx="14">
                  <c:v>41.900638580322266</c:v>
                </c:pt>
                <c:pt idx="15">
                  <c:v>40.092330932617188</c:v>
                </c:pt>
                <c:pt idx="16">
                  <c:v>39.21826171875</c:v>
                </c:pt>
                <c:pt idx="17">
                  <c:v>38.728000640869141</c:v>
                </c:pt>
                <c:pt idx="18">
                  <c:v>37.928592681884766</c:v>
                </c:pt>
                <c:pt idx="19">
                  <c:v>36.566356658935547</c:v>
                </c:pt>
                <c:pt idx="20">
                  <c:v>35.683097839355469</c:v>
                </c:pt>
                <c:pt idx="21">
                  <c:v>35.146160125732422</c:v>
                </c:pt>
                <c:pt idx="22">
                  <c:v>34.145576477050781</c:v>
                </c:pt>
                <c:pt idx="23">
                  <c:v>32.6121826171875</c:v>
                </c:pt>
                <c:pt idx="24">
                  <c:v>31.959705352783203</c:v>
                </c:pt>
                <c:pt idx="25">
                  <c:v>31.313732147216797</c:v>
                </c:pt>
                <c:pt idx="26">
                  <c:v>30.146602630615234</c:v>
                </c:pt>
                <c:pt idx="27">
                  <c:v>29.238252639770508</c:v>
                </c:pt>
                <c:pt idx="28">
                  <c:v>28.397075653076172</c:v>
                </c:pt>
                <c:pt idx="29">
                  <c:v>27.958816528320313</c:v>
                </c:pt>
                <c:pt idx="30">
                  <c:v>26.674386978149414</c:v>
                </c:pt>
                <c:pt idx="31">
                  <c:v>25.805845260620117</c:v>
                </c:pt>
                <c:pt idx="32">
                  <c:v>24.721078872680664</c:v>
                </c:pt>
                <c:pt idx="33">
                  <c:v>23.838098526000977</c:v>
                </c:pt>
                <c:pt idx="34">
                  <c:v>22.84254264831543</c:v>
                </c:pt>
                <c:pt idx="35">
                  <c:v>21.930543899536133</c:v>
                </c:pt>
                <c:pt idx="36">
                  <c:v>21.602725982666016</c:v>
                </c:pt>
                <c:pt idx="37">
                  <c:v>20.369867324829102</c:v>
                </c:pt>
                <c:pt idx="38">
                  <c:v>19.211786270141602</c:v>
                </c:pt>
                <c:pt idx="39">
                  <c:v>17.701274871826172</c:v>
                </c:pt>
                <c:pt idx="40">
                  <c:v>17.358219146728516</c:v>
                </c:pt>
                <c:pt idx="41">
                  <c:v>16.499916076660156</c:v>
                </c:pt>
                <c:pt idx="42">
                  <c:v>15.14096736907959</c:v>
                </c:pt>
                <c:pt idx="43">
                  <c:v>14.667098045349121</c:v>
                </c:pt>
                <c:pt idx="44">
                  <c:v>14.152649879455566</c:v>
                </c:pt>
                <c:pt idx="45">
                  <c:v>14.119158744812012</c:v>
                </c:pt>
                <c:pt idx="46">
                  <c:v>12.474568367004395</c:v>
                </c:pt>
                <c:pt idx="47">
                  <c:v>12.107150077819824</c:v>
                </c:pt>
                <c:pt idx="48">
                  <c:v>11.432546615600586</c:v>
                </c:pt>
                <c:pt idx="49">
                  <c:v>10.670687675476074</c:v>
                </c:pt>
                <c:pt idx="50">
                  <c:v>9.0072755813598633</c:v>
                </c:pt>
                <c:pt idx="51">
                  <c:v>8.0096797943115234</c:v>
                </c:pt>
                <c:pt idx="52">
                  <c:v>7.2175321578979492</c:v>
                </c:pt>
                <c:pt idx="53">
                  <c:v>6.5040669441223145</c:v>
                </c:pt>
                <c:pt idx="54">
                  <c:v>5.3829154968261719</c:v>
                </c:pt>
                <c:pt idx="55">
                  <c:v>4.3327293395996094</c:v>
                </c:pt>
                <c:pt idx="56">
                  <c:v>3.3351905345916748</c:v>
                </c:pt>
                <c:pt idx="57">
                  <c:v>2.5563349723815918</c:v>
                </c:pt>
                <c:pt idx="58">
                  <c:v>2.0370206832885742</c:v>
                </c:pt>
                <c:pt idx="59">
                  <c:v>1.3113479614257813</c:v>
                </c:pt>
                <c:pt idx="60">
                  <c:v>-0.79852771759033203</c:v>
                </c:pt>
                <c:pt idx="61">
                  <c:v>-2.0279502868652344</c:v>
                </c:pt>
                <c:pt idx="62">
                  <c:v>-2.8268184661865234</c:v>
                </c:pt>
                <c:pt idx="63">
                  <c:v>-3.7727205753326416</c:v>
                </c:pt>
                <c:pt idx="64">
                  <c:v>-4.3634157180786133</c:v>
                </c:pt>
                <c:pt idx="65">
                  <c:v>-5.0539546012878418</c:v>
                </c:pt>
                <c:pt idx="66">
                  <c:v>-5.7564282417297363</c:v>
                </c:pt>
                <c:pt idx="67">
                  <c:v>-6.5542120933532715</c:v>
                </c:pt>
                <c:pt idx="68">
                  <c:v>-7.8054776191711426</c:v>
                </c:pt>
                <c:pt idx="69">
                  <c:v>-8.5831222534179688</c:v>
                </c:pt>
                <c:pt idx="70">
                  <c:v>-9.8037805557250977</c:v>
                </c:pt>
                <c:pt idx="71">
                  <c:v>-11.268457412719727</c:v>
                </c:pt>
                <c:pt idx="72">
                  <c:v>-12.293734550476074</c:v>
                </c:pt>
                <c:pt idx="73">
                  <c:v>-12.901226997375488</c:v>
                </c:pt>
                <c:pt idx="74">
                  <c:v>-12.947530746459961</c:v>
                </c:pt>
                <c:pt idx="75">
                  <c:v>-16.789989471435547</c:v>
                </c:pt>
                <c:pt idx="76">
                  <c:v>-15.748760223388672</c:v>
                </c:pt>
                <c:pt idx="77">
                  <c:v>-16.256429672241211</c:v>
                </c:pt>
                <c:pt idx="78">
                  <c:v>-15.458713531494141</c:v>
                </c:pt>
                <c:pt idx="79">
                  <c:v>-14.704245567321777</c:v>
                </c:pt>
                <c:pt idx="80">
                  <c:v>-15.794192314147949</c:v>
                </c:pt>
                <c:pt idx="81">
                  <c:v>-14.665584564208984</c:v>
                </c:pt>
                <c:pt idx="82">
                  <c:v>-13.642667770385742</c:v>
                </c:pt>
                <c:pt idx="83">
                  <c:v>-12.502001762390137</c:v>
                </c:pt>
                <c:pt idx="84">
                  <c:v>-11.49826717376709</c:v>
                </c:pt>
                <c:pt idx="85">
                  <c:v>-10.903465270996094</c:v>
                </c:pt>
                <c:pt idx="86">
                  <c:v>-10.099514961242676</c:v>
                </c:pt>
                <c:pt idx="87">
                  <c:v>-8.6091184616088867</c:v>
                </c:pt>
                <c:pt idx="88">
                  <c:v>-7.5604414939880371</c:v>
                </c:pt>
                <c:pt idx="89">
                  <c:v>-6.1733565330505371</c:v>
                </c:pt>
                <c:pt idx="90">
                  <c:v>-5.4763288497924805</c:v>
                </c:pt>
                <c:pt idx="91">
                  <c:v>-4.6451029777526855</c:v>
                </c:pt>
                <c:pt idx="92">
                  <c:v>-3.1604955196380615</c:v>
                </c:pt>
                <c:pt idx="93">
                  <c:v>-1.8642517328262329</c:v>
                </c:pt>
                <c:pt idx="94">
                  <c:v>-0.44734370708465576</c:v>
                </c:pt>
                <c:pt idx="95">
                  <c:v>0.56667548418045044</c:v>
                </c:pt>
                <c:pt idx="96">
                  <c:v>1.9856865406036377</c:v>
                </c:pt>
                <c:pt idx="97">
                  <c:v>3.0317363739013672</c:v>
                </c:pt>
                <c:pt idx="98">
                  <c:v>4.020836353302002</c:v>
                </c:pt>
                <c:pt idx="99">
                  <c:v>5.1183676719665527</c:v>
                </c:pt>
                <c:pt idx="100">
                  <c:v>6.1536054611206055</c:v>
                </c:pt>
                <c:pt idx="101">
                  <c:v>6.7161698341369629</c:v>
                </c:pt>
                <c:pt idx="102">
                  <c:v>7.7523093223571777</c:v>
                </c:pt>
                <c:pt idx="103">
                  <c:v>8.6648340225219727</c:v>
                </c:pt>
                <c:pt idx="104">
                  <c:v>9.6271982192993164</c:v>
                </c:pt>
                <c:pt idx="105">
                  <c:v>10.694396018981934</c:v>
                </c:pt>
                <c:pt idx="106">
                  <c:v>11.61016845703125</c:v>
                </c:pt>
                <c:pt idx="107">
                  <c:v>12.549241065979004</c:v>
                </c:pt>
                <c:pt idx="108">
                  <c:v>13.588962554931641</c:v>
                </c:pt>
                <c:pt idx="109">
                  <c:v>14.709258079528809</c:v>
                </c:pt>
                <c:pt idx="110">
                  <c:v>15.806754112243652</c:v>
                </c:pt>
                <c:pt idx="111">
                  <c:v>17.02393913269043</c:v>
                </c:pt>
                <c:pt idx="112">
                  <c:v>17.539787292480469</c:v>
                </c:pt>
                <c:pt idx="113">
                  <c:v>18.082788467407227</c:v>
                </c:pt>
                <c:pt idx="114">
                  <c:v>19.198131561279297</c:v>
                </c:pt>
                <c:pt idx="115">
                  <c:v>20.403654098510742</c:v>
                </c:pt>
                <c:pt idx="116">
                  <c:v>21.560806274414063</c:v>
                </c:pt>
                <c:pt idx="117">
                  <c:v>22.524894714355469</c:v>
                </c:pt>
                <c:pt idx="118">
                  <c:v>23.188953399658203</c:v>
                </c:pt>
                <c:pt idx="119">
                  <c:v>24.455690383911133</c:v>
                </c:pt>
                <c:pt idx="120">
                  <c:v>25.361703872680664</c:v>
                </c:pt>
                <c:pt idx="121">
                  <c:v>26.434232711791992</c:v>
                </c:pt>
                <c:pt idx="122">
                  <c:v>27.312353134155273</c:v>
                </c:pt>
                <c:pt idx="123">
                  <c:v>28.660844802856445</c:v>
                </c:pt>
                <c:pt idx="124">
                  <c:v>29.517436981201172</c:v>
                </c:pt>
                <c:pt idx="125">
                  <c:v>30.712871551513672</c:v>
                </c:pt>
                <c:pt idx="126">
                  <c:v>31.274065017700195</c:v>
                </c:pt>
                <c:pt idx="127">
                  <c:v>32.273128509521484</c:v>
                </c:pt>
                <c:pt idx="128">
                  <c:v>32.988235473632813</c:v>
                </c:pt>
                <c:pt idx="129">
                  <c:v>34.299213409423828</c:v>
                </c:pt>
                <c:pt idx="130">
                  <c:v>35.198650360107422</c:v>
                </c:pt>
                <c:pt idx="131">
                  <c:v>36.045619964599609</c:v>
                </c:pt>
                <c:pt idx="132">
                  <c:v>36.990974426269531</c:v>
                </c:pt>
                <c:pt idx="133">
                  <c:v>38.209392547607422</c:v>
                </c:pt>
                <c:pt idx="134">
                  <c:v>38.948673248291016</c:v>
                </c:pt>
                <c:pt idx="135">
                  <c:v>39.529327392578125</c:v>
                </c:pt>
                <c:pt idx="136">
                  <c:v>40.660049438476563</c:v>
                </c:pt>
                <c:pt idx="137">
                  <c:v>41.759498596191406</c:v>
                </c:pt>
                <c:pt idx="138">
                  <c:v>42.653465270996094</c:v>
                </c:pt>
                <c:pt idx="139">
                  <c:v>44.019874572753906</c:v>
                </c:pt>
                <c:pt idx="140">
                  <c:v>44.548133850097656</c:v>
                </c:pt>
                <c:pt idx="141">
                  <c:v>45.133995056152344</c:v>
                </c:pt>
                <c:pt idx="142">
                  <c:v>46.123420715332031</c:v>
                </c:pt>
                <c:pt idx="143">
                  <c:v>47.153148651123047</c:v>
                </c:pt>
                <c:pt idx="144">
                  <c:v>47.399288177490234</c:v>
                </c:pt>
                <c:pt idx="145">
                  <c:v>48.444534301757813</c:v>
                </c:pt>
                <c:pt idx="146">
                  <c:v>49.102214813232422</c:v>
                </c:pt>
                <c:pt idx="147">
                  <c:v>50.551303863525391</c:v>
                </c:pt>
                <c:pt idx="148">
                  <c:v>50.991706848144531</c:v>
                </c:pt>
                <c:pt idx="149">
                  <c:v>51.310104370117188</c:v>
                </c:pt>
                <c:pt idx="150">
                  <c:v>52.038166046142578</c:v>
                </c:pt>
                <c:pt idx="151">
                  <c:v>52.187164306640625</c:v>
                </c:pt>
                <c:pt idx="152">
                  <c:v>53.138713836669922</c:v>
                </c:pt>
                <c:pt idx="153">
                  <c:v>51.641048431396484</c:v>
                </c:pt>
                <c:pt idx="154">
                  <c:v>50.977767944335938</c:v>
                </c:pt>
                <c:pt idx="155">
                  <c:v>50.819927215576172</c:v>
                </c:pt>
                <c:pt idx="156">
                  <c:v>51.020565032958984</c:v>
                </c:pt>
                <c:pt idx="157">
                  <c:v>48.709480285644531</c:v>
                </c:pt>
                <c:pt idx="158">
                  <c:v>47.453346252441406</c:v>
                </c:pt>
                <c:pt idx="159">
                  <c:v>46.365814208984375</c:v>
                </c:pt>
                <c:pt idx="160">
                  <c:v>45.508632659912109</c:v>
                </c:pt>
                <c:pt idx="161">
                  <c:v>44.793407440185547</c:v>
                </c:pt>
                <c:pt idx="162">
                  <c:v>44.135009765625</c:v>
                </c:pt>
                <c:pt idx="163">
                  <c:v>43.652027130126953</c:v>
                </c:pt>
                <c:pt idx="164">
                  <c:v>42.692432403564453</c:v>
                </c:pt>
                <c:pt idx="165">
                  <c:v>41.169681549072266</c:v>
                </c:pt>
                <c:pt idx="166">
                  <c:v>39.817897796630859</c:v>
                </c:pt>
                <c:pt idx="167">
                  <c:v>39.317424774169922</c:v>
                </c:pt>
                <c:pt idx="168">
                  <c:v>38.511451721191406</c:v>
                </c:pt>
                <c:pt idx="169">
                  <c:v>37.513168334960938</c:v>
                </c:pt>
                <c:pt idx="170">
                  <c:v>36.704433441162109</c:v>
                </c:pt>
                <c:pt idx="171">
                  <c:v>35.749992370605469</c:v>
                </c:pt>
                <c:pt idx="172">
                  <c:v>35.066616058349609</c:v>
                </c:pt>
                <c:pt idx="173">
                  <c:v>33.650249481201172</c:v>
                </c:pt>
                <c:pt idx="174">
                  <c:v>33.063880920410156</c:v>
                </c:pt>
                <c:pt idx="175">
                  <c:v>32.058967590332031</c:v>
                </c:pt>
                <c:pt idx="176">
                  <c:v>30.757080078125</c:v>
                </c:pt>
                <c:pt idx="177">
                  <c:v>30.343950271606445</c:v>
                </c:pt>
                <c:pt idx="178">
                  <c:v>29.568639755249023</c:v>
                </c:pt>
                <c:pt idx="179">
                  <c:v>28.930313110351563</c:v>
                </c:pt>
                <c:pt idx="180">
                  <c:v>27.771247863769531</c:v>
                </c:pt>
                <c:pt idx="181">
                  <c:v>26.834108352661133</c:v>
                </c:pt>
                <c:pt idx="182">
                  <c:v>25.434139251708984</c:v>
                </c:pt>
                <c:pt idx="183">
                  <c:v>24.864921569824219</c:v>
                </c:pt>
                <c:pt idx="184">
                  <c:v>23.512744903564453</c:v>
                </c:pt>
                <c:pt idx="185">
                  <c:v>22.4205322265625</c:v>
                </c:pt>
                <c:pt idx="186">
                  <c:v>22.278652191162109</c:v>
                </c:pt>
                <c:pt idx="187">
                  <c:v>21.013391494750977</c:v>
                </c:pt>
                <c:pt idx="188">
                  <c:v>20.045480728149414</c:v>
                </c:pt>
                <c:pt idx="189">
                  <c:v>18.566549301147461</c:v>
                </c:pt>
                <c:pt idx="190">
                  <c:v>18.189785003662109</c:v>
                </c:pt>
                <c:pt idx="191">
                  <c:v>18.106277465820313</c:v>
                </c:pt>
                <c:pt idx="192">
                  <c:v>16.723440170288086</c:v>
                </c:pt>
                <c:pt idx="193">
                  <c:v>15.28121280670166</c:v>
                </c:pt>
                <c:pt idx="194">
                  <c:v>14.800529479980469</c:v>
                </c:pt>
                <c:pt idx="195">
                  <c:v>14.657273292541504</c:v>
                </c:pt>
                <c:pt idx="196">
                  <c:v>13.360041618347168</c:v>
                </c:pt>
                <c:pt idx="197">
                  <c:v>12.367304801940918</c:v>
                </c:pt>
                <c:pt idx="198">
                  <c:v>11.870497703552246</c:v>
                </c:pt>
                <c:pt idx="199">
                  <c:v>10.801214218139648</c:v>
                </c:pt>
                <c:pt idx="200">
                  <c:v>9.8969345092773438</c:v>
                </c:pt>
                <c:pt idx="201">
                  <c:v>9.0329265594482422</c:v>
                </c:pt>
                <c:pt idx="202">
                  <c:v>7.6399435997009277</c:v>
                </c:pt>
                <c:pt idx="203">
                  <c:v>6.9884443283081055</c:v>
                </c:pt>
                <c:pt idx="204">
                  <c:v>5.538358211517334</c:v>
                </c:pt>
                <c:pt idx="205">
                  <c:v>5.0653843879699707</c:v>
                </c:pt>
                <c:pt idx="206">
                  <c:v>4.4457335472106934</c:v>
                </c:pt>
                <c:pt idx="207">
                  <c:v>3.2711436748504639</c:v>
                </c:pt>
                <c:pt idx="208">
                  <c:v>1.426903247833252</c:v>
                </c:pt>
                <c:pt idx="209">
                  <c:v>0.7342216968536377</c:v>
                </c:pt>
                <c:pt idx="210">
                  <c:v>0.16818778216838837</c:v>
                </c:pt>
                <c:pt idx="211">
                  <c:v>-0.45015448331832886</c:v>
                </c:pt>
                <c:pt idx="212">
                  <c:v>-1.2335057258605957</c:v>
                </c:pt>
                <c:pt idx="213">
                  <c:v>-2.083789587020874</c:v>
                </c:pt>
                <c:pt idx="214">
                  <c:v>-2.7567014694213867</c:v>
                </c:pt>
                <c:pt idx="215">
                  <c:v>-4.8843679428100586</c:v>
                </c:pt>
                <c:pt idx="216">
                  <c:v>-6.6304640769958496</c:v>
                </c:pt>
                <c:pt idx="217">
                  <c:v>-7.4825701713562012</c:v>
                </c:pt>
                <c:pt idx="218">
                  <c:v>-8.6882419586181641</c:v>
                </c:pt>
                <c:pt idx="219">
                  <c:v>-9.4252958297729492</c:v>
                </c:pt>
                <c:pt idx="220">
                  <c:v>-10.61316967010498</c:v>
                </c:pt>
                <c:pt idx="221">
                  <c:v>-11.757813453674316</c:v>
                </c:pt>
                <c:pt idx="222">
                  <c:v>-12.790497779846191</c:v>
                </c:pt>
                <c:pt idx="223">
                  <c:v>-13.56669807434082</c:v>
                </c:pt>
                <c:pt idx="224">
                  <c:v>-13.615469932556152</c:v>
                </c:pt>
                <c:pt idx="225">
                  <c:v>-13.400360107421875</c:v>
                </c:pt>
                <c:pt idx="226">
                  <c:v>-16.586952209472656</c:v>
                </c:pt>
                <c:pt idx="227">
                  <c:v>-14.733124732971191</c:v>
                </c:pt>
                <c:pt idx="228">
                  <c:v>-14.948756217956543</c:v>
                </c:pt>
                <c:pt idx="229">
                  <c:v>-15.095537185668945</c:v>
                </c:pt>
                <c:pt idx="230">
                  <c:v>-13.889252662658691</c:v>
                </c:pt>
                <c:pt idx="231">
                  <c:v>-13.837160110473633</c:v>
                </c:pt>
                <c:pt idx="232">
                  <c:v>-12.771215438842773</c:v>
                </c:pt>
                <c:pt idx="233">
                  <c:v>-11.683273315429688</c:v>
                </c:pt>
                <c:pt idx="234">
                  <c:v>-10.843058586120605</c:v>
                </c:pt>
                <c:pt idx="235">
                  <c:v>-10.002077102661133</c:v>
                </c:pt>
                <c:pt idx="236">
                  <c:v>-9.227874755859375</c:v>
                </c:pt>
                <c:pt idx="237">
                  <c:v>-8.2112255096435547</c:v>
                </c:pt>
                <c:pt idx="238">
                  <c:v>-7.7013659477233887</c:v>
                </c:pt>
                <c:pt idx="239">
                  <c:v>-6.0898447036743164</c:v>
                </c:pt>
                <c:pt idx="240">
                  <c:v>-4.8748435974121094</c:v>
                </c:pt>
                <c:pt idx="241">
                  <c:v>-3.4532790184020996</c:v>
                </c:pt>
                <c:pt idx="242">
                  <c:v>-2.2616896629333496</c:v>
                </c:pt>
                <c:pt idx="243">
                  <c:v>-1.3035084009170532</c:v>
                </c:pt>
                <c:pt idx="244">
                  <c:v>1.2970464304089546E-2</c:v>
                </c:pt>
                <c:pt idx="245">
                  <c:v>1.2923555374145508</c:v>
                </c:pt>
                <c:pt idx="246">
                  <c:v>2.6106119155883789</c:v>
                </c:pt>
                <c:pt idx="247">
                  <c:v>3.6307330131530762</c:v>
                </c:pt>
                <c:pt idx="248">
                  <c:v>4.4223289489746094</c:v>
                </c:pt>
                <c:pt idx="249">
                  <c:v>5.6790552139282227</c:v>
                </c:pt>
                <c:pt idx="250">
                  <c:v>6.7662415504455566</c:v>
                </c:pt>
                <c:pt idx="251">
                  <c:v>6.9971952438354492</c:v>
                </c:pt>
                <c:pt idx="252">
                  <c:v>7.9956259727478027</c:v>
                </c:pt>
                <c:pt idx="253">
                  <c:v>9.2472152709960938</c:v>
                </c:pt>
                <c:pt idx="254">
                  <c:v>10.505326271057129</c:v>
                </c:pt>
                <c:pt idx="255">
                  <c:v>11.118700981140137</c:v>
                </c:pt>
                <c:pt idx="256">
                  <c:v>11.661783218383789</c:v>
                </c:pt>
                <c:pt idx="257">
                  <c:v>13.045589447021484</c:v>
                </c:pt>
                <c:pt idx="258">
                  <c:v>14.052620887756348</c:v>
                </c:pt>
                <c:pt idx="259">
                  <c:v>15.584962844848633</c:v>
                </c:pt>
                <c:pt idx="260">
                  <c:v>16.612339019775391</c:v>
                </c:pt>
                <c:pt idx="261">
                  <c:v>17.429729461669922</c:v>
                </c:pt>
                <c:pt idx="262">
                  <c:v>18.309017181396484</c:v>
                </c:pt>
                <c:pt idx="263">
                  <c:v>18.838743209838867</c:v>
                </c:pt>
                <c:pt idx="264">
                  <c:v>19.248203277587891</c:v>
                </c:pt>
                <c:pt idx="265">
                  <c:v>20.414674758911133</c:v>
                </c:pt>
                <c:pt idx="266">
                  <c:v>21.377468109130859</c:v>
                </c:pt>
                <c:pt idx="267">
                  <c:v>22.377336502075195</c:v>
                </c:pt>
                <c:pt idx="268">
                  <c:v>23.471353530883789</c:v>
                </c:pt>
                <c:pt idx="269">
                  <c:v>24.650920867919922</c:v>
                </c:pt>
                <c:pt idx="270">
                  <c:v>25.620311737060547</c:v>
                </c:pt>
                <c:pt idx="271">
                  <c:v>26.390205383300781</c:v>
                </c:pt>
                <c:pt idx="272">
                  <c:v>27.394079208374023</c:v>
                </c:pt>
                <c:pt idx="273">
                  <c:v>28.638376235961914</c:v>
                </c:pt>
                <c:pt idx="274">
                  <c:v>29.468008041381836</c:v>
                </c:pt>
                <c:pt idx="275">
                  <c:v>31.037509918212891</c:v>
                </c:pt>
                <c:pt idx="276">
                  <c:v>32.156742095947266</c:v>
                </c:pt>
                <c:pt idx="277">
                  <c:v>32.861366271972656</c:v>
                </c:pt>
                <c:pt idx="278">
                  <c:v>33.742324829101563</c:v>
                </c:pt>
                <c:pt idx="279">
                  <c:v>34.708591461181641</c:v>
                </c:pt>
                <c:pt idx="280">
                  <c:v>35.345081329345703</c:v>
                </c:pt>
                <c:pt idx="281">
                  <c:v>36.063373565673828</c:v>
                </c:pt>
                <c:pt idx="282">
                  <c:v>36.943164825439453</c:v>
                </c:pt>
                <c:pt idx="283">
                  <c:v>38.500194549560547</c:v>
                </c:pt>
                <c:pt idx="284">
                  <c:v>39.501323699951172</c:v>
                </c:pt>
                <c:pt idx="285">
                  <c:v>40.117336273193359</c:v>
                </c:pt>
                <c:pt idx="286">
                  <c:v>41.040618896484375</c:v>
                </c:pt>
                <c:pt idx="287">
                  <c:v>42.286838531494141</c:v>
                </c:pt>
                <c:pt idx="288">
                  <c:v>43.125465393066406</c:v>
                </c:pt>
                <c:pt idx="289">
                  <c:v>44.577121734619141</c:v>
                </c:pt>
                <c:pt idx="290">
                  <c:v>45.088466644287109</c:v>
                </c:pt>
                <c:pt idx="291">
                  <c:v>45.64337158203125</c:v>
                </c:pt>
                <c:pt idx="292">
                  <c:v>46.521488189697266</c:v>
                </c:pt>
                <c:pt idx="293">
                  <c:v>47.523246765136719</c:v>
                </c:pt>
                <c:pt idx="294">
                  <c:v>47.36322021484375</c:v>
                </c:pt>
                <c:pt idx="295">
                  <c:v>48.34228515625</c:v>
                </c:pt>
                <c:pt idx="296">
                  <c:v>49.351234436035156</c:v>
                </c:pt>
                <c:pt idx="297">
                  <c:v>50.592689514160156</c:v>
                </c:pt>
                <c:pt idx="298">
                  <c:v>51.423225402832031</c:v>
                </c:pt>
                <c:pt idx="299">
                  <c:v>52.495510101318359</c:v>
                </c:pt>
                <c:pt idx="300">
                  <c:v>51.375736236572266</c:v>
                </c:pt>
                <c:pt idx="301">
                  <c:v>53.773212432861328</c:v>
                </c:pt>
                <c:pt idx="302">
                  <c:v>52.380588531494141</c:v>
                </c:pt>
                <c:pt idx="303">
                  <c:v>52.735939025878906</c:v>
                </c:pt>
                <c:pt idx="304">
                  <c:v>51.714992523193359</c:v>
                </c:pt>
                <c:pt idx="305">
                  <c:v>51.620067596435547</c:v>
                </c:pt>
                <c:pt idx="306">
                  <c:v>51.405231475830078</c:v>
                </c:pt>
                <c:pt idx="307">
                  <c:v>48.945716857910156</c:v>
                </c:pt>
                <c:pt idx="308">
                  <c:v>47.641403198242188</c:v>
                </c:pt>
                <c:pt idx="309">
                  <c:v>46.662834167480469</c:v>
                </c:pt>
                <c:pt idx="310">
                  <c:v>45.665351867675781</c:v>
                </c:pt>
                <c:pt idx="311">
                  <c:v>45.003719329833984</c:v>
                </c:pt>
                <c:pt idx="312">
                  <c:v>44.161346435546875</c:v>
                </c:pt>
                <c:pt idx="313">
                  <c:v>43.330982208251953</c:v>
                </c:pt>
                <c:pt idx="314">
                  <c:v>42.747810363769531</c:v>
                </c:pt>
                <c:pt idx="315">
                  <c:v>41.981109619140625</c:v>
                </c:pt>
                <c:pt idx="316">
                  <c:v>40.224491119384766</c:v>
                </c:pt>
                <c:pt idx="317">
                  <c:v>39.423534393310547</c:v>
                </c:pt>
                <c:pt idx="318">
                  <c:v>38.906768798828125</c:v>
                </c:pt>
                <c:pt idx="319">
                  <c:v>37.934944152832031</c:v>
                </c:pt>
                <c:pt idx="320">
                  <c:v>36.672355651855469</c:v>
                </c:pt>
                <c:pt idx="321">
                  <c:v>36.032581329345703</c:v>
                </c:pt>
                <c:pt idx="322">
                  <c:v>35.255481719970703</c:v>
                </c:pt>
                <c:pt idx="323">
                  <c:v>33.962997436523438</c:v>
                </c:pt>
                <c:pt idx="324">
                  <c:v>33.196697235107422</c:v>
                </c:pt>
                <c:pt idx="325">
                  <c:v>32.381675720214844</c:v>
                </c:pt>
                <c:pt idx="326">
                  <c:v>31.292770385742188</c:v>
                </c:pt>
                <c:pt idx="327">
                  <c:v>30.978887557983398</c:v>
                </c:pt>
                <c:pt idx="328">
                  <c:v>29.766166687011719</c:v>
                </c:pt>
                <c:pt idx="329">
                  <c:v>29.149240493774414</c:v>
                </c:pt>
                <c:pt idx="330">
                  <c:v>28.318811416625977</c:v>
                </c:pt>
                <c:pt idx="331">
                  <c:v>27.077863693237305</c:v>
                </c:pt>
                <c:pt idx="332">
                  <c:v>25.891489028930664</c:v>
                </c:pt>
                <c:pt idx="333">
                  <c:v>24.90650749206543</c:v>
                </c:pt>
                <c:pt idx="334">
                  <c:v>23.483959197998047</c:v>
                </c:pt>
                <c:pt idx="335">
                  <c:v>22.540464401245117</c:v>
                </c:pt>
                <c:pt idx="336">
                  <c:v>22.027406692504883</c:v>
                </c:pt>
                <c:pt idx="337">
                  <c:v>21.246002197265625</c:v>
                </c:pt>
                <c:pt idx="338">
                  <c:v>20.371250152587891</c:v>
                </c:pt>
                <c:pt idx="339">
                  <c:v>18.787454605102539</c:v>
                </c:pt>
                <c:pt idx="340">
                  <c:v>18.223684310913086</c:v>
                </c:pt>
                <c:pt idx="341">
                  <c:v>18.217403411865234</c:v>
                </c:pt>
                <c:pt idx="342">
                  <c:v>16.912450790405273</c:v>
                </c:pt>
                <c:pt idx="343">
                  <c:v>15.590780258178711</c:v>
                </c:pt>
                <c:pt idx="344">
                  <c:v>14.816001892089844</c:v>
                </c:pt>
                <c:pt idx="345">
                  <c:v>14.585517883300781</c:v>
                </c:pt>
                <c:pt idx="346">
                  <c:v>13.331327438354492</c:v>
                </c:pt>
                <c:pt idx="347">
                  <c:v>12.499037742614746</c:v>
                </c:pt>
                <c:pt idx="348">
                  <c:v>12.104293823242188</c:v>
                </c:pt>
                <c:pt idx="349">
                  <c:v>11.150373458862305</c:v>
                </c:pt>
                <c:pt idx="350">
                  <c:v>10.078472137451172</c:v>
                </c:pt>
                <c:pt idx="351">
                  <c:v>9.6707353591918945</c:v>
                </c:pt>
                <c:pt idx="352">
                  <c:v>7.8694620132446289</c:v>
                </c:pt>
                <c:pt idx="353">
                  <c:v>6.1033468246459961</c:v>
                </c:pt>
                <c:pt idx="354">
                  <c:v>5.321314811706543</c:v>
                </c:pt>
                <c:pt idx="355">
                  <c:v>4.8578896522521973</c:v>
                </c:pt>
                <c:pt idx="356">
                  <c:v>4.3108325004577637</c:v>
                </c:pt>
                <c:pt idx="357">
                  <c:v>3.6278460025787354</c:v>
                </c:pt>
                <c:pt idx="358">
                  <c:v>3.085289478302002</c:v>
                </c:pt>
                <c:pt idx="359">
                  <c:v>2.5917706489562988</c:v>
                </c:pt>
                <c:pt idx="360">
                  <c:v>-0.31680154800415039</c:v>
                </c:pt>
                <c:pt idx="361">
                  <c:v>-1.4206362962722778</c:v>
                </c:pt>
                <c:pt idx="362">
                  <c:v>-2.1783170700073242</c:v>
                </c:pt>
                <c:pt idx="363">
                  <c:v>-3.1565511226654053</c:v>
                </c:pt>
                <c:pt idx="364">
                  <c:v>-3.8383209705352783</c:v>
                </c:pt>
                <c:pt idx="365">
                  <c:v>-4.6018218994140625</c:v>
                </c:pt>
                <c:pt idx="366">
                  <c:v>-5.3072638511657715</c:v>
                </c:pt>
                <c:pt idx="367">
                  <c:v>-6.1579494476318359</c:v>
                </c:pt>
                <c:pt idx="368">
                  <c:v>-7.1471948623657227</c:v>
                </c:pt>
                <c:pt idx="369">
                  <c:v>-8.1294422149658203</c:v>
                </c:pt>
                <c:pt idx="370">
                  <c:v>-9.1785459518432617</c:v>
                </c:pt>
                <c:pt idx="371">
                  <c:v>-10.380486488342285</c:v>
                </c:pt>
                <c:pt idx="372">
                  <c:v>-11.436962127685547</c:v>
                </c:pt>
                <c:pt idx="373">
                  <c:v>-12.164111137390137</c:v>
                </c:pt>
                <c:pt idx="374">
                  <c:v>-12.20438289642334</c:v>
                </c:pt>
                <c:pt idx="375">
                  <c:v>-15.419131278991699</c:v>
                </c:pt>
                <c:pt idx="376">
                  <c:v>-14.830472946166992</c:v>
                </c:pt>
                <c:pt idx="377">
                  <c:v>-15.139249801635742</c:v>
                </c:pt>
                <c:pt idx="378">
                  <c:v>-14.948417663574219</c:v>
                </c:pt>
                <c:pt idx="379">
                  <c:v>-14.286595344543457</c:v>
                </c:pt>
                <c:pt idx="380">
                  <c:v>-13.832221031188965</c:v>
                </c:pt>
                <c:pt idx="381">
                  <c:v>-12.609808921813965</c:v>
                </c:pt>
                <c:pt idx="382">
                  <c:v>-11.528179168701172</c:v>
                </c:pt>
                <c:pt idx="383">
                  <c:v>-10.610739707946777</c:v>
                </c:pt>
                <c:pt idx="384">
                  <c:v>-9.4637632369995117</c:v>
                </c:pt>
                <c:pt idx="385">
                  <c:v>-8.8252973556518555</c:v>
                </c:pt>
                <c:pt idx="386">
                  <c:v>-8.0590677261352539</c:v>
                </c:pt>
                <c:pt idx="387">
                  <c:v>-7.3106026649475098</c:v>
                </c:pt>
                <c:pt idx="388">
                  <c:v>-6.6054196357727051</c:v>
                </c:pt>
                <c:pt idx="389">
                  <c:v>-5.8346419334411621</c:v>
                </c:pt>
                <c:pt idx="390">
                  <c:v>-5.2715816497802734</c:v>
                </c:pt>
                <c:pt idx="391">
                  <c:v>-3.9509596824645996</c:v>
                </c:pt>
                <c:pt idx="392">
                  <c:v>-2.5764880180358887</c:v>
                </c:pt>
                <c:pt idx="393">
                  <c:v>-1.1103310585021973</c:v>
                </c:pt>
                <c:pt idx="394">
                  <c:v>0.25626394152641296</c:v>
                </c:pt>
                <c:pt idx="395">
                  <c:v>1.6865311861038208</c:v>
                </c:pt>
                <c:pt idx="396">
                  <c:v>2.5911438465118408</c:v>
                </c:pt>
                <c:pt idx="397">
                  <c:v>3.973637580871582</c:v>
                </c:pt>
                <c:pt idx="398">
                  <c:v>4.5981807708740234</c:v>
                </c:pt>
                <c:pt idx="399">
                  <c:v>5.1112313270568848</c:v>
                </c:pt>
                <c:pt idx="400">
                  <c:v>6.6363296508789063</c:v>
                </c:pt>
                <c:pt idx="401">
                  <c:v>7.6131701469421387</c:v>
                </c:pt>
                <c:pt idx="402">
                  <c:v>8.6813421249389648</c:v>
                </c:pt>
                <c:pt idx="403">
                  <c:v>9.8830680847167969</c:v>
                </c:pt>
                <c:pt idx="404">
                  <c:v>10.534754753112793</c:v>
                </c:pt>
                <c:pt idx="405">
                  <c:v>11.382349014282227</c:v>
                </c:pt>
                <c:pt idx="406">
                  <c:v>12.161801338195801</c:v>
                </c:pt>
                <c:pt idx="407">
                  <c:v>13.236937522888184</c:v>
                </c:pt>
                <c:pt idx="408">
                  <c:v>14.383016586303711</c:v>
                </c:pt>
                <c:pt idx="409">
                  <c:v>15.398575782775879</c:v>
                </c:pt>
                <c:pt idx="410">
                  <c:v>16.477487564086914</c:v>
                </c:pt>
                <c:pt idx="411">
                  <c:v>17.691154479980469</c:v>
                </c:pt>
                <c:pt idx="412">
                  <c:v>18.774051666259766</c:v>
                </c:pt>
                <c:pt idx="413">
                  <c:v>19.451574325561523</c:v>
                </c:pt>
                <c:pt idx="414">
                  <c:v>20.332082748413086</c:v>
                </c:pt>
                <c:pt idx="415">
                  <c:v>21.115438461303711</c:v>
                </c:pt>
                <c:pt idx="416">
                  <c:v>22.008449554443359</c:v>
                </c:pt>
                <c:pt idx="417">
                  <c:v>23.241912841796875</c:v>
                </c:pt>
                <c:pt idx="418">
                  <c:v>24.134559631347656</c:v>
                </c:pt>
                <c:pt idx="419">
                  <c:v>25.315725326538086</c:v>
                </c:pt>
                <c:pt idx="420">
                  <c:v>26.138275146484375</c:v>
                </c:pt>
                <c:pt idx="421">
                  <c:v>27.138107299804688</c:v>
                </c:pt>
                <c:pt idx="422">
                  <c:v>28.025733947753906</c:v>
                </c:pt>
                <c:pt idx="423">
                  <c:v>29.378225326538086</c:v>
                </c:pt>
                <c:pt idx="424">
                  <c:v>29.951742172241211</c:v>
                </c:pt>
                <c:pt idx="425">
                  <c:v>31.327722549438477</c:v>
                </c:pt>
                <c:pt idx="426">
                  <c:v>32.041278839111328</c:v>
                </c:pt>
                <c:pt idx="427">
                  <c:v>33.005146026611328</c:v>
                </c:pt>
                <c:pt idx="428">
                  <c:v>34.041549682617188</c:v>
                </c:pt>
                <c:pt idx="429">
                  <c:v>35.224647521972656</c:v>
                </c:pt>
                <c:pt idx="430">
                  <c:v>35.93963623046875</c:v>
                </c:pt>
                <c:pt idx="431">
                  <c:v>36.653705596923828</c:v>
                </c:pt>
                <c:pt idx="432">
                  <c:v>37.641620635986328</c:v>
                </c:pt>
                <c:pt idx="433">
                  <c:v>38.565658569335938</c:v>
                </c:pt>
                <c:pt idx="434">
                  <c:v>39.503746032714844</c:v>
                </c:pt>
                <c:pt idx="435">
                  <c:v>40.044803619384766</c:v>
                </c:pt>
                <c:pt idx="436">
                  <c:v>41.117950439453125</c:v>
                </c:pt>
                <c:pt idx="437">
                  <c:v>42.385883331298828</c:v>
                </c:pt>
                <c:pt idx="438">
                  <c:v>43.232704162597656</c:v>
                </c:pt>
                <c:pt idx="439">
                  <c:v>44.419761657714844</c:v>
                </c:pt>
                <c:pt idx="440">
                  <c:v>45.333114624023438</c:v>
                </c:pt>
                <c:pt idx="441">
                  <c:v>45.847652435302734</c:v>
                </c:pt>
                <c:pt idx="442">
                  <c:v>46.603168487548828</c:v>
                </c:pt>
                <c:pt idx="443">
                  <c:v>47.218330383300781</c:v>
                </c:pt>
                <c:pt idx="444">
                  <c:v>47.835567474365234</c:v>
                </c:pt>
                <c:pt idx="445">
                  <c:v>48.351058959960938</c:v>
                </c:pt>
                <c:pt idx="446">
                  <c:v>49.828071594238281</c:v>
                </c:pt>
                <c:pt idx="447">
                  <c:v>51.203842163085938</c:v>
                </c:pt>
                <c:pt idx="448">
                  <c:v>51.260154724121094</c:v>
                </c:pt>
                <c:pt idx="449">
                  <c:v>52.202186584472656</c:v>
                </c:pt>
                <c:pt idx="450">
                  <c:v>52.808494567871094</c:v>
                </c:pt>
                <c:pt idx="451">
                  <c:v>53.174961090087891</c:v>
                </c:pt>
                <c:pt idx="452">
                  <c:v>53.195064544677734</c:v>
                </c:pt>
                <c:pt idx="453">
                  <c:v>52.500331878662109</c:v>
                </c:pt>
                <c:pt idx="454">
                  <c:v>51.534938812255859</c:v>
                </c:pt>
                <c:pt idx="455">
                  <c:v>51.442348480224609</c:v>
                </c:pt>
                <c:pt idx="456">
                  <c:v>51.461544036865234</c:v>
                </c:pt>
                <c:pt idx="457">
                  <c:v>49.313362121582031</c:v>
                </c:pt>
                <c:pt idx="458">
                  <c:v>48.248950958251953</c:v>
                </c:pt>
                <c:pt idx="459">
                  <c:v>47.006546020507813</c:v>
                </c:pt>
                <c:pt idx="460">
                  <c:v>45.672763824462891</c:v>
                </c:pt>
                <c:pt idx="461">
                  <c:v>45.22637939453125</c:v>
                </c:pt>
                <c:pt idx="462">
                  <c:v>44.390888214111328</c:v>
                </c:pt>
                <c:pt idx="463">
                  <c:v>43.668361663818359</c:v>
                </c:pt>
                <c:pt idx="464">
                  <c:v>43.031696319580078</c:v>
                </c:pt>
                <c:pt idx="465">
                  <c:v>42.140861511230469</c:v>
                </c:pt>
                <c:pt idx="466">
                  <c:v>40.41015625</c:v>
                </c:pt>
                <c:pt idx="467">
                  <c:v>39.75250244140625</c:v>
                </c:pt>
                <c:pt idx="468">
                  <c:v>39.028705596923828</c:v>
                </c:pt>
                <c:pt idx="469">
                  <c:v>38.121253967285156</c:v>
                </c:pt>
                <c:pt idx="470">
                  <c:v>36.771949768066406</c:v>
                </c:pt>
                <c:pt idx="471">
                  <c:v>36.38970947265625</c:v>
                </c:pt>
                <c:pt idx="472">
                  <c:v>35.542945861816406</c:v>
                </c:pt>
                <c:pt idx="473">
                  <c:v>34.142646789550781</c:v>
                </c:pt>
                <c:pt idx="474">
                  <c:v>33.599628448486328</c:v>
                </c:pt>
                <c:pt idx="475">
                  <c:v>33.039714813232422</c:v>
                </c:pt>
                <c:pt idx="476">
                  <c:v>31.445856094360352</c:v>
                </c:pt>
                <c:pt idx="477">
                  <c:v>31.18556022644043</c:v>
                </c:pt>
                <c:pt idx="478">
                  <c:v>30.307098388671875</c:v>
                </c:pt>
                <c:pt idx="479">
                  <c:v>29.487766265869141</c:v>
                </c:pt>
                <c:pt idx="480">
                  <c:v>28.323261260986328</c:v>
                </c:pt>
                <c:pt idx="481">
                  <c:v>27.197689056396484</c:v>
                </c:pt>
                <c:pt idx="482">
                  <c:v>26.233409881591797</c:v>
                </c:pt>
                <c:pt idx="483">
                  <c:v>25.264225006103516</c:v>
                </c:pt>
                <c:pt idx="484">
                  <c:v>23.904655456542969</c:v>
                </c:pt>
                <c:pt idx="485">
                  <c:v>22.903253555297852</c:v>
                </c:pt>
                <c:pt idx="486">
                  <c:v>22.389738082885742</c:v>
                </c:pt>
                <c:pt idx="487">
                  <c:v>21.580398559570313</c:v>
                </c:pt>
                <c:pt idx="488">
                  <c:v>20.518596649169922</c:v>
                </c:pt>
                <c:pt idx="489">
                  <c:v>19.397304534912109</c:v>
                </c:pt>
                <c:pt idx="490">
                  <c:v>18.786951065063477</c:v>
                </c:pt>
                <c:pt idx="491">
                  <c:v>18.047786712646484</c:v>
                </c:pt>
                <c:pt idx="492">
                  <c:v>16.839376449584961</c:v>
                </c:pt>
                <c:pt idx="493">
                  <c:v>15.7415771484375</c:v>
                </c:pt>
                <c:pt idx="494">
                  <c:v>15.414535522460938</c:v>
                </c:pt>
                <c:pt idx="495">
                  <c:v>14.738921165466309</c:v>
                </c:pt>
                <c:pt idx="496">
                  <c:v>13.542469024658203</c:v>
                </c:pt>
                <c:pt idx="497">
                  <c:v>12.729466438293457</c:v>
                </c:pt>
                <c:pt idx="498">
                  <c:v>12.385870933532715</c:v>
                </c:pt>
                <c:pt idx="499">
                  <c:v>11.300840377807617</c:v>
                </c:pt>
                <c:pt idx="500">
                  <c:v>10.475137710571289</c:v>
                </c:pt>
                <c:pt idx="501">
                  <c:v>9.7850561141967773</c:v>
                </c:pt>
                <c:pt idx="502">
                  <c:v>8.0539207458496094</c:v>
                </c:pt>
                <c:pt idx="503">
                  <c:v>7.4461970329284668</c:v>
                </c:pt>
                <c:pt idx="504">
                  <c:v>6.1110777854919434</c:v>
                </c:pt>
                <c:pt idx="505">
                  <c:v>5.5874323844909668</c:v>
                </c:pt>
                <c:pt idx="506">
                  <c:v>4.6938881874084473</c:v>
                </c:pt>
                <c:pt idx="507">
                  <c:v>2.9648005962371826</c:v>
                </c:pt>
                <c:pt idx="508">
                  <c:v>2.3275496959686279</c:v>
                </c:pt>
                <c:pt idx="509">
                  <c:v>1.7131516933441162</c:v>
                </c:pt>
                <c:pt idx="510">
                  <c:v>1.064961314201355</c:v>
                </c:pt>
                <c:pt idx="511">
                  <c:v>0.42417865991592407</c:v>
                </c:pt>
                <c:pt idx="512">
                  <c:v>-2.2060825824737549</c:v>
                </c:pt>
                <c:pt idx="513">
                  <c:v>-3.684572696685791</c:v>
                </c:pt>
                <c:pt idx="514">
                  <c:v>-4.3336710929870605</c:v>
                </c:pt>
                <c:pt idx="515">
                  <c:v>-5.0287508964538574</c:v>
                </c:pt>
                <c:pt idx="516">
                  <c:v>-5.9705147743225098</c:v>
                </c:pt>
                <c:pt idx="517">
                  <c:v>-6.7783036231994629</c:v>
                </c:pt>
                <c:pt idx="518">
                  <c:v>-7.8057317733764648</c:v>
                </c:pt>
                <c:pt idx="519">
                  <c:v>-8.6347579956054688</c:v>
                </c:pt>
                <c:pt idx="520">
                  <c:v>-9.8421487808227539</c:v>
                </c:pt>
                <c:pt idx="521">
                  <c:v>-10.98954963684082</c:v>
                </c:pt>
                <c:pt idx="522">
                  <c:v>-12.127636909484863</c:v>
                </c:pt>
                <c:pt idx="523">
                  <c:v>-12.778813362121582</c:v>
                </c:pt>
                <c:pt idx="524">
                  <c:v>-12.786437034606934</c:v>
                </c:pt>
                <c:pt idx="525">
                  <c:v>-14.005036354064941</c:v>
                </c:pt>
                <c:pt idx="526">
                  <c:v>-15.930905342102051</c:v>
                </c:pt>
                <c:pt idx="527">
                  <c:v>-14.394110679626465</c:v>
                </c:pt>
                <c:pt idx="528">
                  <c:v>-15.771157264709473</c:v>
                </c:pt>
                <c:pt idx="529">
                  <c:v>-14.08625316619873</c:v>
                </c:pt>
                <c:pt idx="530">
                  <c:v>-13.807451248168945</c:v>
                </c:pt>
                <c:pt idx="531">
                  <c:v>-13.389338493347168</c:v>
                </c:pt>
                <c:pt idx="532">
                  <c:v>-12.434701919555664</c:v>
                </c:pt>
                <c:pt idx="533">
                  <c:v>-11.575648307800293</c:v>
                </c:pt>
                <c:pt idx="534">
                  <c:v>-10.601553916931152</c:v>
                </c:pt>
                <c:pt idx="535">
                  <c:v>-9.9124240875244141</c:v>
                </c:pt>
                <c:pt idx="536">
                  <c:v>-8.978510856628418</c:v>
                </c:pt>
                <c:pt idx="537">
                  <c:v>-7.7026605606079102</c:v>
                </c:pt>
                <c:pt idx="538">
                  <c:v>-6.692103385925293</c:v>
                </c:pt>
                <c:pt idx="539">
                  <c:v>-5.5109748840332031</c:v>
                </c:pt>
                <c:pt idx="540">
                  <c:v>-4.6650748252868652</c:v>
                </c:pt>
                <c:pt idx="541">
                  <c:v>-3.125011682510376</c:v>
                </c:pt>
                <c:pt idx="542">
                  <c:v>-2.0323491096496582</c:v>
                </c:pt>
                <c:pt idx="543">
                  <c:v>-0.90108788013458252</c:v>
                </c:pt>
                <c:pt idx="544">
                  <c:v>0.56579446792602539</c:v>
                </c:pt>
                <c:pt idx="545">
                  <c:v>1.6641722917556763</c:v>
                </c:pt>
                <c:pt idx="546">
                  <c:v>2.7623946666717529</c:v>
                </c:pt>
                <c:pt idx="547">
                  <c:v>3.9089822769165039</c:v>
                </c:pt>
                <c:pt idx="548">
                  <c:v>4.9645247459411621</c:v>
                </c:pt>
                <c:pt idx="549">
                  <c:v>5.9257287979125977</c:v>
                </c:pt>
                <c:pt idx="550">
                  <c:v>6.9215617179870605</c:v>
                </c:pt>
                <c:pt idx="551">
                  <c:v>7.5602126121520996</c:v>
                </c:pt>
                <c:pt idx="552">
                  <c:v>8.7478742599487305</c:v>
                </c:pt>
                <c:pt idx="553">
                  <c:v>9.5204076766967773</c:v>
                </c:pt>
                <c:pt idx="554">
                  <c:v>10.755525588989258</c:v>
                </c:pt>
                <c:pt idx="555">
                  <c:v>11.727738380432129</c:v>
                </c:pt>
                <c:pt idx="556">
                  <c:v>12.423660278320313</c:v>
                </c:pt>
                <c:pt idx="557">
                  <c:v>13.576578140258789</c:v>
                </c:pt>
                <c:pt idx="558">
                  <c:v>14.631537437438965</c:v>
                </c:pt>
                <c:pt idx="559">
                  <c:v>15.931639671325684</c:v>
                </c:pt>
                <c:pt idx="560">
                  <c:v>16.963100433349609</c:v>
                </c:pt>
                <c:pt idx="561">
                  <c:v>18.095912933349609</c:v>
                </c:pt>
                <c:pt idx="562">
                  <c:v>18.98332405090332</c:v>
                </c:pt>
                <c:pt idx="563">
                  <c:v>19.562948226928711</c:v>
                </c:pt>
                <c:pt idx="564">
                  <c:v>20.048221588134766</c:v>
                </c:pt>
                <c:pt idx="565">
                  <c:v>21.204574584960938</c:v>
                </c:pt>
                <c:pt idx="566">
                  <c:v>22.392221450805664</c:v>
                </c:pt>
                <c:pt idx="567">
                  <c:v>23.545923233032227</c:v>
                </c:pt>
                <c:pt idx="568">
                  <c:v>24.704240798950195</c:v>
                </c:pt>
                <c:pt idx="569">
                  <c:v>25.915187835693359</c:v>
                </c:pt>
                <c:pt idx="570">
                  <c:v>26.282648086547852</c:v>
                </c:pt>
                <c:pt idx="571">
                  <c:v>27.300670623779297</c:v>
                </c:pt>
                <c:pt idx="572">
                  <c:v>28.154041290283203</c:v>
                </c:pt>
                <c:pt idx="573">
                  <c:v>29.458377838134766</c:v>
                </c:pt>
                <c:pt idx="574">
                  <c:v>30.294441223144531</c:v>
                </c:pt>
                <c:pt idx="575">
                  <c:v>31.587991714477539</c:v>
                </c:pt>
                <c:pt idx="576">
                  <c:v>32.451030731201172</c:v>
                </c:pt>
                <c:pt idx="577">
                  <c:v>33.092002868652344</c:v>
                </c:pt>
                <c:pt idx="578">
                  <c:v>33.813262939453125</c:v>
                </c:pt>
                <c:pt idx="579">
                  <c:v>35.021430969238281</c:v>
                </c:pt>
                <c:pt idx="580">
                  <c:v>36.056686401367188</c:v>
                </c:pt>
                <c:pt idx="581">
                  <c:v>36.929981231689453</c:v>
                </c:pt>
                <c:pt idx="582">
                  <c:v>37.709651947021484</c:v>
                </c:pt>
                <c:pt idx="583">
                  <c:v>38.687732696533203</c:v>
                </c:pt>
                <c:pt idx="584">
                  <c:v>39.590000152587891</c:v>
                </c:pt>
                <c:pt idx="585">
                  <c:v>40.399936676025391</c:v>
                </c:pt>
                <c:pt idx="586">
                  <c:v>41.330600738525391</c:v>
                </c:pt>
                <c:pt idx="587">
                  <c:v>42.526466369628906</c:v>
                </c:pt>
                <c:pt idx="588">
                  <c:v>43.346775054931641</c:v>
                </c:pt>
                <c:pt idx="589">
                  <c:v>44.606536865234375</c:v>
                </c:pt>
                <c:pt idx="590">
                  <c:v>45.390342712402344</c:v>
                </c:pt>
                <c:pt idx="591">
                  <c:v>45.984428405761719</c:v>
                </c:pt>
                <c:pt idx="592">
                  <c:v>46.742141723632813</c:v>
                </c:pt>
                <c:pt idx="593">
                  <c:v>47.307048797607422</c:v>
                </c:pt>
                <c:pt idx="594">
                  <c:v>47.815937042236328</c:v>
                </c:pt>
                <c:pt idx="595">
                  <c:v>48.635334014892578</c:v>
                </c:pt>
                <c:pt idx="596">
                  <c:v>50.027641296386719</c:v>
                </c:pt>
                <c:pt idx="597">
                  <c:v>51.399909973144531</c:v>
                </c:pt>
                <c:pt idx="598">
                  <c:v>51.595321655273438</c:v>
                </c:pt>
                <c:pt idx="599">
                  <c:v>51.988407135009766</c:v>
                </c:pt>
                <c:pt idx="600">
                  <c:v>52.943103790283203</c:v>
                </c:pt>
                <c:pt idx="601">
                  <c:v>52.975502014160156</c:v>
                </c:pt>
                <c:pt idx="602">
                  <c:v>54.036949157714844</c:v>
                </c:pt>
                <c:pt idx="603">
                  <c:v>52.680511474609375</c:v>
                </c:pt>
                <c:pt idx="604">
                  <c:v>51.720432281494141</c:v>
                </c:pt>
                <c:pt idx="605">
                  <c:v>51.605094909667969</c:v>
                </c:pt>
                <c:pt idx="606">
                  <c:v>51.107513427734375</c:v>
                </c:pt>
                <c:pt idx="607">
                  <c:v>49.085289001464844</c:v>
                </c:pt>
                <c:pt idx="608">
                  <c:v>47.503383636474609</c:v>
                </c:pt>
                <c:pt idx="609">
                  <c:v>46.862857818603516</c:v>
                </c:pt>
                <c:pt idx="610">
                  <c:v>45.857257843017578</c:v>
                </c:pt>
                <c:pt idx="611">
                  <c:v>45.009674072265625</c:v>
                </c:pt>
                <c:pt idx="612">
                  <c:v>44.260021209716797</c:v>
                </c:pt>
                <c:pt idx="613">
                  <c:v>43.407737731933594</c:v>
                </c:pt>
                <c:pt idx="614">
                  <c:v>42.757217407226563</c:v>
                </c:pt>
                <c:pt idx="615">
                  <c:v>41.588554382324219</c:v>
                </c:pt>
                <c:pt idx="616">
                  <c:v>40.149154663085938</c:v>
                </c:pt>
                <c:pt idx="617">
                  <c:v>39.853595733642578</c:v>
                </c:pt>
                <c:pt idx="618">
                  <c:v>38.800613403320313</c:v>
                </c:pt>
                <c:pt idx="619">
                  <c:v>38.009750366210938</c:v>
                </c:pt>
                <c:pt idx="620">
                  <c:v>36.654571533203125</c:v>
                </c:pt>
                <c:pt idx="621">
                  <c:v>36.212074279785156</c:v>
                </c:pt>
                <c:pt idx="622">
                  <c:v>35.527069091796875</c:v>
                </c:pt>
                <c:pt idx="623">
                  <c:v>34.157291412353516</c:v>
                </c:pt>
                <c:pt idx="624">
                  <c:v>33.327125549316406</c:v>
                </c:pt>
                <c:pt idx="625">
                  <c:v>32.536365509033203</c:v>
                </c:pt>
                <c:pt idx="626">
                  <c:v>31.284929275512695</c:v>
                </c:pt>
                <c:pt idx="627">
                  <c:v>30.722114562988281</c:v>
                </c:pt>
                <c:pt idx="628">
                  <c:v>29.724740982055664</c:v>
                </c:pt>
                <c:pt idx="629">
                  <c:v>29.102104187011719</c:v>
                </c:pt>
                <c:pt idx="630">
                  <c:v>28.026813507080078</c:v>
                </c:pt>
                <c:pt idx="631">
                  <c:v>27.038375854492188</c:v>
                </c:pt>
                <c:pt idx="632">
                  <c:v>26.196271896362305</c:v>
                </c:pt>
                <c:pt idx="633">
                  <c:v>24.977666854858398</c:v>
                </c:pt>
                <c:pt idx="634">
                  <c:v>23.501846313476563</c:v>
                </c:pt>
                <c:pt idx="635">
                  <c:v>22.763124465942383</c:v>
                </c:pt>
                <c:pt idx="636">
                  <c:v>22.467754364013672</c:v>
                </c:pt>
                <c:pt idx="637">
                  <c:v>21.290470123291016</c:v>
                </c:pt>
                <c:pt idx="638">
                  <c:v>20.324182510375977</c:v>
                </c:pt>
                <c:pt idx="639">
                  <c:v>19.088264465332031</c:v>
                </c:pt>
                <c:pt idx="640">
                  <c:v>18.410400390625</c:v>
                </c:pt>
                <c:pt idx="641">
                  <c:v>18.385625839233398</c:v>
                </c:pt>
                <c:pt idx="642">
                  <c:v>17.016189575195313</c:v>
                </c:pt>
                <c:pt idx="643">
                  <c:v>15.785083770751953</c:v>
                </c:pt>
                <c:pt idx="644">
                  <c:v>15.2677001953125</c:v>
                </c:pt>
                <c:pt idx="645">
                  <c:v>15.23133659362793</c:v>
                </c:pt>
                <c:pt idx="646">
                  <c:v>13.591641426086426</c:v>
                </c:pt>
                <c:pt idx="647">
                  <c:v>12.811347007751465</c:v>
                </c:pt>
                <c:pt idx="648">
                  <c:v>12.415454864501953</c:v>
                </c:pt>
                <c:pt idx="649">
                  <c:v>11.383847236633301</c:v>
                </c:pt>
                <c:pt idx="650">
                  <c:v>9.9365348815917969</c:v>
                </c:pt>
                <c:pt idx="651">
                  <c:v>9.647852897644043</c:v>
                </c:pt>
                <c:pt idx="652">
                  <c:v>9.3893871307373047</c:v>
                </c:pt>
                <c:pt idx="653">
                  <c:v>6.4118666648864746</c:v>
                </c:pt>
                <c:pt idx="654">
                  <c:v>5.4232039451599121</c:v>
                </c:pt>
                <c:pt idx="655">
                  <c:v>4.9100594520568848</c:v>
                </c:pt>
                <c:pt idx="656">
                  <c:v>4.5262651443481445</c:v>
                </c:pt>
                <c:pt idx="657">
                  <c:v>3.8933894634246826</c:v>
                </c:pt>
                <c:pt idx="658">
                  <c:v>2.9946737289428711</c:v>
                </c:pt>
                <c:pt idx="659">
                  <c:v>0.56780147552490234</c:v>
                </c:pt>
                <c:pt idx="660">
                  <c:v>-0.34660598635673523</c:v>
                </c:pt>
                <c:pt idx="661">
                  <c:v>-0.91408658027648926</c:v>
                </c:pt>
                <c:pt idx="662">
                  <c:v>-1.8102813959121704</c:v>
                </c:pt>
                <c:pt idx="663">
                  <c:v>-2.6258397102355957</c:v>
                </c:pt>
                <c:pt idx="664">
                  <c:v>-3.2192404270172119</c:v>
                </c:pt>
                <c:pt idx="665">
                  <c:v>-3.8732450008392334</c:v>
                </c:pt>
                <c:pt idx="666">
                  <c:v>-4.7576513290405273</c:v>
                </c:pt>
                <c:pt idx="667">
                  <c:v>-5.8023810386657715</c:v>
                </c:pt>
                <c:pt idx="668">
                  <c:v>-6.8475847244262695</c:v>
                </c:pt>
                <c:pt idx="669">
                  <c:v>-7.5480728149414063</c:v>
                </c:pt>
                <c:pt idx="670">
                  <c:v>-8.7217636108398438</c:v>
                </c:pt>
                <c:pt idx="671">
                  <c:v>-9.9549131393432617</c:v>
                </c:pt>
                <c:pt idx="672">
                  <c:v>-10.891696929931641</c:v>
                </c:pt>
                <c:pt idx="673">
                  <c:v>-11.541750907897949</c:v>
                </c:pt>
                <c:pt idx="674">
                  <c:v>-11.85385799407959</c:v>
                </c:pt>
                <c:pt idx="675">
                  <c:v>-15.626009941101074</c:v>
                </c:pt>
                <c:pt idx="676">
                  <c:v>-14.486545562744141</c:v>
                </c:pt>
                <c:pt idx="677">
                  <c:v>-15.245938301086426</c:v>
                </c:pt>
                <c:pt idx="678">
                  <c:v>-14.151363372802734</c:v>
                </c:pt>
                <c:pt idx="679">
                  <c:v>-14.215549468994141</c:v>
                </c:pt>
                <c:pt idx="680">
                  <c:v>-13.963865280151367</c:v>
                </c:pt>
                <c:pt idx="681">
                  <c:v>-12.67519474029541</c:v>
                </c:pt>
                <c:pt idx="682">
                  <c:v>-11.744038581848145</c:v>
                </c:pt>
                <c:pt idx="683">
                  <c:v>-10.890717506408691</c:v>
                </c:pt>
                <c:pt idx="684">
                  <c:v>-9.9235992431640625</c:v>
                </c:pt>
                <c:pt idx="685">
                  <c:v>-9.1942310333251953</c:v>
                </c:pt>
                <c:pt idx="686">
                  <c:v>-8.2963943481445313</c:v>
                </c:pt>
                <c:pt idx="687">
                  <c:v>-7.3268070220947266</c:v>
                </c:pt>
                <c:pt idx="688">
                  <c:v>-6.8885784149169922</c:v>
                </c:pt>
                <c:pt idx="689">
                  <c:v>-6.2218899726867676</c:v>
                </c:pt>
                <c:pt idx="690">
                  <c:v>-5.4592814445495605</c:v>
                </c:pt>
                <c:pt idx="691">
                  <c:v>-3.6457281112670898</c:v>
                </c:pt>
                <c:pt idx="692">
                  <c:v>-1.9081379175186157</c:v>
                </c:pt>
                <c:pt idx="693">
                  <c:v>-0.74807024002075195</c:v>
                </c:pt>
                <c:pt idx="694">
                  <c:v>0.35032874345779419</c:v>
                </c:pt>
                <c:pt idx="695">
                  <c:v>1.630568265914917</c:v>
                </c:pt>
                <c:pt idx="696">
                  <c:v>2.9192330837249756</c:v>
                </c:pt>
                <c:pt idx="697">
                  <c:v>4.0703082084655762</c:v>
                </c:pt>
                <c:pt idx="698">
                  <c:v>4.8063821792602539</c:v>
                </c:pt>
                <c:pt idx="699">
                  <c:v>5.900177001953125</c:v>
                </c:pt>
                <c:pt idx="700">
                  <c:v>6.8922309875488281</c:v>
                </c:pt>
                <c:pt idx="701">
                  <c:v>7.5710372924804688</c:v>
                </c:pt>
                <c:pt idx="702">
                  <c:v>8.557225227355957</c:v>
                </c:pt>
                <c:pt idx="703">
                  <c:v>9.4002704620361328</c:v>
                </c:pt>
                <c:pt idx="704">
                  <c:v>10.443286895751953</c:v>
                </c:pt>
                <c:pt idx="705">
                  <c:v>11.196972846984863</c:v>
                </c:pt>
                <c:pt idx="706">
                  <c:v>11.937195777893066</c:v>
                </c:pt>
                <c:pt idx="707">
                  <c:v>12.905876159667969</c:v>
                </c:pt>
                <c:pt idx="708">
                  <c:v>14.395663261413574</c:v>
                </c:pt>
                <c:pt idx="709">
                  <c:v>15.826153755187988</c:v>
                </c:pt>
                <c:pt idx="710">
                  <c:v>16.751365661621094</c:v>
                </c:pt>
                <c:pt idx="711">
                  <c:v>17.856821060180664</c:v>
                </c:pt>
                <c:pt idx="712">
                  <c:v>19.079261779785156</c:v>
                </c:pt>
                <c:pt idx="713">
                  <c:v>19.531339645385742</c:v>
                </c:pt>
                <c:pt idx="714">
                  <c:v>20.178766250610352</c:v>
                </c:pt>
                <c:pt idx="715">
                  <c:v>21.285751342773438</c:v>
                </c:pt>
                <c:pt idx="716">
                  <c:v>22.262939453125</c:v>
                </c:pt>
                <c:pt idx="717">
                  <c:v>23.047138214111328</c:v>
                </c:pt>
                <c:pt idx="718">
                  <c:v>24.119667053222656</c:v>
                </c:pt>
                <c:pt idx="719">
                  <c:v>25.381507873535156</c:v>
                </c:pt>
                <c:pt idx="720">
                  <c:v>26.225191116333008</c:v>
                </c:pt>
                <c:pt idx="721">
                  <c:v>26.939353942871094</c:v>
                </c:pt>
                <c:pt idx="722">
                  <c:v>28.180610656738281</c:v>
                </c:pt>
                <c:pt idx="723">
                  <c:v>29.43608283996582</c:v>
                </c:pt>
                <c:pt idx="724">
                  <c:v>30.007329940795898</c:v>
                </c:pt>
                <c:pt idx="725">
                  <c:v>31.290660858154297</c:v>
                </c:pt>
                <c:pt idx="726">
                  <c:v>31.960201263427734</c:v>
                </c:pt>
                <c:pt idx="727">
                  <c:v>32.878013610839844</c:v>
                </c:pt>
                <c:pt idx="728">
                  <c:v>33.747455596923828</c:v>
                </c:pt>
                <c:pt idx="729">
                  <c:v>35.211891174316406</c:v>
                </c:pt>
                <c:pt idx="730">
                  <c:v>36.059131622314453</c:v>
                </c:pt>
                <c:pt idx="731">
                  <c:v>36.876987457275391</c:v>
                </c:pt>
                <c:pt idx="732">
                  <c:v>37.588558197021484</c:v>
                </c:pt>
                <c:pt idx="733">
                  <c:v>38.584934234619141</c:v>
                </c:pt>
                <c:pt idx="734">
                  <c:v>39.503158569335938</c:v>
                </c:pt>
                <c:pt idx="735">
                  <c:v>40.160820007324219</c:v>
                </c:pt>
                <c:pt idx="736">
                  <c:v>40.939937591552734</c:v>
                </c:pt>
                <c:pt idx="737">
                  <c:v>42.407508850097656</c:v>
                </c:pt>
                <c:pt idx="738">
                  <c:v>43.336761474609375</c:v>
                </c:pt>
                <c:pt idx="739">
                  <c:v>44.497428894042969</c:v>
                </c:pt>
                <c:pt idx="740">
                  <c:v>45.16015625</c:v>
                </c:pt>
                <c:pt idx="741">
                  <c:v>45.46917724609375</c:v>
                </c:pt>
                <c:pt idx="742">
                  <c:v>46.434310913085938</c:v>
                </c:pt>
                <c:pt idx="743">
                  <c:v>47.386726379394531</c:v>
                </c:pt>
                <c:pt idx="744">
                  <c:v>47.615497589111328</c:v>
                </c:pt>
                <c:pt idx="745">
                  <c:v>48.364921569824219</c:v>
                </c:pt>
                <c:pt idx="746">
                  <c:v>49.676197052001953</c:v>
                </c:pt>
                <c:pt idx="747">
                  <c:v>50.830036163330078</c:v>
                </c:pt>
                <c:pt idx="748">
                  <c:v>51.487388610839844</c:v>
                </c:pt>
                <c:pt idx="749">
                  <c:v>52.554466247558594</c:v>
                </c:pt>
                <c:pt idx="750">
                  <c:v>52.017070770263672</c:v>
                </c:pt>
                <c:pt idx="751">
                  <c:v>53.629657745361328</c:v>
                </c:pt>
                <c:pt idx="752">
                  <c:v>53.274761199951172</c:v>
                </c:pt>
                <c:pt idx="753">
                  <c:v>53.199333190917969</c:v>
                </c:pt>
                <c:pt idx="754">
                  <c:v>52.441776275634766</c:v>
                </c:pt>
                <c:pt idx="755">
                  <c:v>52.190689086914063</c:v>
                </c:pt>
                <c:pt idx="756">
                  <c:v>50.462230682373047</c:v>
                </c:pt>
                <c:pt idx="757">
                  <c:v>48.77178955078125</c:v>
                </c:pt>
                <c:pt idx="758">
                  <c:v>47.097606658935547</c:v>
                </c:pt>
                <c:pt idx="759">
                  <c:v>46.374229431152344</c:v>
                </c:pt>
                <c:pt idx="760">
                  <c:v>45.836906433105469</c:v>
                </c:pt>
                <c:pt idx="761">
                  <c:v>45.097682952880859</c:v>
                </c:pt>
                <c:pt idx="762">
                  <c:v>44.349143981933594</c:v>
                </c:pt>
                <c:pt idx="763">
                  <c:v>43.514732360839844</c:v>
                </c:pt>
                <c:pt idx="764">
                  <c:v>42.700584411621094</c:v>
                </c:pt>
                <c:pt idx="765">
                  <c:v>41.422130584716797</c:v>
                </c:pt>
                <c:pt idx="766">
                  <c:v>40.390884399414063</c:v>
                </c:pt>
                <c:pt idx="767">
                  <c:v>39.773777008056641</c:v>
                </c:pt>
                <c:pt idx="768">
                  <c:v>38.783172607421875</c:v>
                </c:pt>
                <c:pt idx="769">
                  <c:v>37.509361267089844</c:v>
                </c:pt>
                <c:pt idx="770">
                  <c:v>36.825046539306641</c:v>
                </c:pt>
                <c:pt idx="771">
                  <c:v>36.502521514892578</c:v>
                </c:pt>
                <c:pt idx="772">
                  <c:v>35.687015533447266</c:v>
                </c:pt>
                <c:pt idx="773">
                  <c:v>34.068683624267578</c:v>
                </c:pt>
                <c:pt idx="774">
                  <c:v>33.087486267089844</c:v>
                </c:pt>
                <c:pt idx="775">
                  <c:v>32.475975036621094</c:v>
                </c:pt>
                <c:pt idx="776">
                  <c:v>31.106786727905273</c:v>
                </c:pt>
                <c:pt idx="777">
                  <c:v>30.878007888793945</c:v>
                </c:pt>
                <c:pt idx="778">
                  <c:v>29.891374588012695</c:v>
                </c:pt>
                <c:pt idx="779">
                  <c:v>29.085475921630859</c:v>
                </c:pt>
                <c:pt idx="780">
                  <c:v>28.190139770507813</c:v>
                </c:pt>
                <c:pt idx="781">
                  <c:v>26.871068954467773</c:v>
                </c:pt>
                <c:pt idx="782">
                  <c:v>25.825489044189453</c:v>
                </c:pt>
                <c:pt idx="783">
                  <c:v>24.934745788574219</c:v>
                </c:pt>
                <c:pt idx="784">
                  <c:v>23.498132705688477</c:v>
                </c:pt>
                <c:pt idx="785">
                  <c:v>22.761615753173828</c:v>
                </c:pt>
                <c:pt idx="786">
                  <c:v>22.340349197387695</c:v>
                </c:pt>
                <c:pt idx="787">
                  <c:v>21.333999633789063</c:v>
                </c:pt>
                <c:pt idx="788">
                  <c:v>20.275539398193359</c:v>
                </c:pt>
                <c:pt idx="789">
                  <c:v>19.157436370849609</c:v>
                </c:pt>
                <c:pt idx="790">
                  <c:v>18.839139938354492</c:v>
                </c:pt>
                <c:pt idx="791">
                  <c:v>18.158515930175781</c:v>
                </c:pt>
                <c:pt idx="792">
                  <c:v>16.821168899536133</c:v>
                </c:pt>
                <c:pt idx="793">
                  <c:v>15.605958938598633</c:v>
                </c:pt>
                <c:pt idx="794">
                  <c:v>15.254645347595215</c:v>
                </c:pt>
                <c:pt idx="795">
                  <c:v>15.054953575134277</c:v>
                </c:pt>
                <c:pt idx="796">
                  <c:v>13.387752532958984</c:v>
                </c:pt>
                <c:pt idx="797">
                  <c:v>12.750800132751465</c:v>
                </c:pt>
                <c:pt idx="798">
                  <c:v>12.457582473754883</c:v>
                </c:pt>
                <c:pt idx="799">
                  <c:v>11.177394866943359</c:v>
                </c:pt>
                <c:pt idx="800">
                  <c:v>10.08592700958252</c:v>
                </c:pt>
                <c:pt idx="801">
                  <c:v>9.4575071334838867</c:v>
                </c:pt>
                <c:pt idx="802">
                  <c:v>8.2715291976928711</c:v>
                </c:pt>
                <c:pt idx="803">
                  <c:v>7.3417196273803711</c:v>
                </c:pt>
                <c:pt idx="804">
                  <c:v>5.8619990348815918</c:v>
                </c:pt>
                <c:pt idx="805">
                  <c:v>5.3732295036315918</c:v>
                </c:pt>
                <c:pt idx="806">
                  <c:v>4.9518861770629883</c:v>
                </c:pt>
                <c:pt idx="807">
                  <c:v>3.5306389331817627</c:v>
                </c:pt>
                <c:pt idx="808">
                  <c:v>2.0107197761535645</c:v>
                </c:pt>
                <c:pt idx="809">
                  <c:v>1.3928533792495728</c:v>
                </c:pt>
                <c:pt idx="810">
                  <c:v>0.90378987789154053</c:v>
                </c:pt>
                <c:pt idx="811">
                  <c:v>0.398133784532547</c:v>
                </c:pt>
                <c:pt idx="812">
                  <c:v>-1.776887059211731</c:v>
                </c:pt>
                <c:pt idx="813">
                  <c:v>-3.5593786239624023</c:v>
                </c:pt>
                <c:pt idx="814">
                  <c:v>-4.3497209548950195</c:v>
                </c:pt>
                <c:pt idx="815">
                  <c:v>-4.9212355613708496</c:v>
                </c:pt>
                <c:pt idx="816">
                  <c:v>-5.7220873832702637</c:v>
                </c:pt>
                <c:pt idx="817">
                  <c:v>-6.6904129981994629</c:v>
                </c:pt>
                <c:pt idx="818">
                  <c:v>-7.7372875213623047</c:v>
                </c:pt>
                <c:pt idx="819">
                  <c:v>-8.4771642684936523</c:v>
                </c:pt>
                <c:pt idx="820">
                  <c:v>-9.8175172805786133</c:v>
                </c:pt>
                <c:pt idx="821">
                  <c:v>-10.916410446166992</c:v>
                </c:pt>
                <c:pt idx="822">
                  <c:v>-12.07016658782959</c:v>
                </c:pt>
                <c:pt idx="823">
                  <c:v>-12.510489463806152</c:v>
                </c:pt>
                <c:pt idx="824">
                  <c:v>-12.508730888366699</c:v>
                </c:pt>
                <c:pt idx="825">
                  <c:v>-14.478791236877441</c:v>
                </c:pt>
                <c:pt idx="826">
                  <c:v>-15.490474700927734</c:v>
                </c:pt>
                <c:pt idx="827">
                  <c:v>-14.498721122741699</c:v>
                </c:pt>
                <c:pt idx="828">
                  <c:v>-15.853089332580566</c:v>
                </c:pt>
                <c:pt idx="829">
                  <c:v>-14.048768997192383</c:v>
                </c:pt>
                <c:pt idx="830">
                  <c:v>-13.953288078308105</c:v>
                </c:pt>
                <c:pt idx="831">
                  <c:v>-13.69713020324707</c:v>
                </c:pt>
                <c:pt idx="832">
                  <c:v>-12.779745101928711</c:v>
                </c:pt>
                <c:pt idx="833">
                  <c:v>-11.741794586181641</c:v>
                </c:pt>
                <c:pt idx="834">
                  <c:v>-10.789721488952637</c:v>
                </c:pt>
                <c:pt idx="835">
                  <c:v>-10.147578239440918</c:v>
                </c:pt>
                <c:pt idx="836">
                  <c:v>-9.3851861953735352</c:v>
                </c:pt>
                <c:pt idx="837">
                  <c:v>-7.894566535949707</c:v>
                </c:pt>
                <c:pt idx="838">
                  <c:v>-6.3951077461242676</c:v>
                </c:pt>
                <c:pt idx="839">
                  <c:v>-5.3997063636779785</c:v>
                </c:pt>
                <c:pt idx="840">
                  <c:v>-4.8292927742004395</c:v>
                </c:pt>
                <c:pt idx="841">
                  <c:v>-3.3515121936798096</c:v>
                </c:pt>
                <c:pt idx="842">
                  <c:v>-1.9150117635726929</c:v>
                </c:pt>
                <c:pt idx="843">
                  <c:v>-1.2317832708358765</c:v>
                </c:pt>
                <c:pt idx="844">
                  <c:v>0.10985320806503296</c:v>
                </c:pt>
                <c:pt idx="845">
                  <c:v>1.5562705993652344</c:v>
                </c:pt>
                <c:pt idx="846">
                  <c:v>2.9837660789489746</c:v>
                </c:pt>
                <c:pt idx="847">
                  <c:v>4.2692022323608398</c:v>
                </c:pt>
                <c:pt idx="848">
                  <c:v>4.9317269325256348</c:v>
                </c:pt>
                <c:pt idx="849">
                  <c:v>6.1824889183044434</c:v>
                </c:pt>
                <c:pt idx="850">
                  <c:v>7.0237240791320801</c:v>
                </c:pt>
                <c:pt idx="851">
                  <c:v>7.5387697219848633</c:v>
                </c:pt>
                <c:pt idx="852">
                  <c:v>8.7635908126831055</c:v>
                </c:pt>
                <c:pt idx="853">
                  <c:v>9.6922369003295898</c:v>
                </c:pt>
                <c:pt idx="854">
                  <c:v>10.911398887634277</c:v>
                </c:pt>
                <c:pt idx="855">
                  <c:v>11.655707359313965</c:v>
                </c:pt>
                <c:pt idx="856">
                  <c:v>12.62935733795166</c:v>
                </c:pt>
                <c:pt idx="857">
                  <c:v>13.609029769897461</c:v>
                </c:pt>
                <c:pt idx="858">
                  <c:v>14.369470596313477</c:v>
                </c:pt>
                <c:pt idx="859">
                  <c:v>15.621075630187988</c:v>
                </c:pt>
                <c:pt idx="860">
                  <c:v>16.874568939208984</c:v>
                </c:pt>
                <c:pt idx="861">
                  <c:v>18.211753845214844</c:v>
                </c:pt>
                <c:pt idx="862">
                  <c:v>18.938348770141602</c:v>
                </c:pt>
                <c:pt idx="863">
                  <c:v>19.875986099243164</c:v>
                </c:pt>
                <c:pt idx="864">
                  <c:v>20.265457153320313</c:v>
                </c:pt>
                <c:pt idx="865">
                  <c:v>21.295543670654297</c:v>
                </c:pt>
                <c:pt idx="866">
                  <c:v>22.240211486816406</c:v>
                </c:pt>
                <c:pt idx="867">
                  <c:v>23.429964065551758</c:v>
                </c:pt>
                <c:pt idx="868">
                  <c:v>24.440223693847656</c:v>
                </c:pt>
                <c:pt idx="869">
                  <c:v>25.518943786621094</c:v>
                </c:pt>
                <c:pt idx="870">
                  <c:v>26.571731567382813</c:v>
                </c:pt>
                <c:pt idx="871">
                  <c:v>27.089565277099609</c:v>
                </c:pt>
                <c:pt idx="872">
                  <c:v>28.308998107910156</c:v>
                </c:pt>
                <c:pt idx="873">
                  <c:v>29.580686569213867</c:v>
                </c:pt>
                <c:pt idx="874">
                  <c:v>30.209037780761719</c:v>
                </c:pt>
                <c:pt idx="875">
                  <c:v>32.089595794677734</c:v>
                </c:pt>
                <c:pt idx="876">
                  <c:v>32.520046234130859</c:v>
                </c:pt>
                <c:pt idx="877">
                  <c:v>33.066410064697266</c:v>
                </c:pt>
                <c:pt idx="878">
                  <c:v>33.875259399414063</c:v>
                </c:pt>
                <c:pt idx="879">
                  <c:v>35.352561950683594</c:v>
                </c:pt>
                <c:pt idx="880">
                  <c:v>36.017528533935547</c:v>
                </c:pt>
                <c:pt idx="881">
                  <c:v>36.816455841064453</c:v>
                </c:pt>
                <c:pt idx="882">
                  <c:v>37.785778045654297</c:v>
                </c:pt>
                <c:pt idx="883">
                  <c:v>38.860916137695313</c:v>
                </c:pt>
                <c:pt idx="884">
                  <c:v>39.646404266357422</c:v>
                </c:pt>
                <c:pt idx="885">
                  <c:v>40.276874542236328</c:v>
                </c:pt>
                <c:pt idx="886">
                  <c:v>41.366004943847656</c:v>
                </c:pt>
                <c:pt idx="887">
                  <c:v>42.680889129638672</c:v>
                </c:pt>
                <c:pt idx="888">
                  <c:v>43.667716979980469</c:v>
                </c:pt>
                <c:pt idx="889">
                  <c:v>44.955211639404297</c:v>
                </c:pt>
                <c:pt idx="890">
                  <c:v>45.325649261474609</c:v>
                </c:pt>
                <c:pt idx="891">
                  <c:v>45.988506317138672</c:v>
                </c:pt>
                <c:pt idx="892">
                  <c:v>46.732044219970703</c:v>
                </c:pt>
                <c:pt idx="893">
                  <c:v>47.420516967773438</c:v>
                </c:pt>
                <c:pt idx="894">
                  <c:v>47.942989349365234</c:v>
                </c:pt>
                <c:pt idx="895">
                  <c:v>48.732551574707031</c:v>
                </c:pt>
                <c:pt idx="896">
                  <c:v>50.08355712890625</c:v>
                </c:pt>
                <c:pt idx="897">
                  <c:v>51.335094451904297</c:v>
                </c:pt>
                <c:pt idx="898">
                  <c:v>51.640422821044922</c:v>
                </c:pt>
                <c:pt idx="899">
                  <c:v>52.067710876464844</c:v>
                </c:pt>
                <c:pt idx="900">
                  <c:v>52.941802978515625</c:v>
                </c:pt>
                <c:pt idx="901">
                  <c:v>53.423080444335938</c:v>
                </c:pt>
                <c:pt idx="902">
                  <c:v>53.735759735107422</c:v>
                </c:pt>
                <c:pt idx="903">
                  <c:v>52.811759948730469</c:v>
                </c:pt>
                <c:pt idx="904">
                  <c:v>51.895244598388672</c:v>
                </c:pt>
                <c:pt idx="905">
                  <c:v>51.764007568359375</c:v>
                </c:pt>
                <c:pt idx="906">
                  <c:v>51.213523864746094</c:v>
                </c:pt>
                <c:pt idx="907">
                  <c:v>49.262493133544922</c:v>
                </c:pt>
                <c:pt idx="908">
                  <c:v>47.729282379150391</c:v>
                </c:pt>
                <c:pt idx="909">
                  <c:v>47.037883758544922</c:v>
                </c:pt>
                <c:pt idx="910">
                  <c:v>45.864715576171875</c:v>
                </c:pt>
                <c:pt idx="911">
                  <c:v>45.166851043701172</c:v>
                </c:pt>
                <c:pt idx="912">
                  <c:v>44.607475280761719</c:v>
                </c:pt>
                <c:pt idx="913">
                  <c:v>43.574951171875</c:v>
                </c:pt>
                <c:pt idx="914">
                  <c:v>42.750709533691406</c:v>
                </c:pt>
                <c:pt idx="915">
                  <c:v>41.191993713378906</c:v>
                </c:pt>
                <c:pt idx="916">
                  <c:v>40.304466247558594</c:v>
                </c:pt>
                <c:pt idx="917">
                  <c:v>39.736034393310547</c:v>
                </c:pt>
                <c:pt idx="918">
                  <c:v>39.247409820556641</c:v>
                </c:pt>
              </c:numCache>
            </c:numRef>
          </c:xVal>
          <c:yVal>
            <c:numRef>
              <c:f>'Scaled Data'!$D$2:$D$920</c:f>
              <c:numCache>
                <c:formatCode>0.000</c:formatCode>
                <c:ptCount val="919"/>
                <c:pt idx="0">
                  <c:v>-36.061180114746094</c:v>
                </c:pt>
                <c:pt idx="1">
                  <c:v>-36.064872741699219</c:v>
                </c:pt>
                <c:pt idx="2">
                  <c:v>-36.217323303222656</c:v>
                </c:pt>
                <c:pt idx="3">
                  <c:v>-36.230998992919922</c:v>
                </c:pt>
                <c:pt idx="4">
                  <c:v>-36.245113372802734</c:v>
                </c:pt>
                <c:pt idx="5">
                  <c:v>-36.514469146728516</c:v>
                </c:pt>
                <c:pt idx="6">
                  <c:v>-37.205734252929688</c:v>
                </c:pt>
                <c:pt idx="7">
                  <c:v>-36.859928131103516</c:v>
                </c:pt>
                <c:pt idx="8">
                  <c:v>-36.600440979003906</c:v>
                </c:pt>
                <c:pt idx="9">
                  <c:v>-36.671489715576172</c:v>
                </c:pt>
                <c:pt idx="10">
                  <c:v>-36.927146911621094</c:v>
                </c:pt>
                <c:pt idx="11">
                  <c:v>-36.939365386962891</c:v>
                </c:pt>
                <c:pt idx="12">
                  <c:v>-36.990467071533203</c:v>
                </c:pt>
                <c:pt idx="13">
                  <c:v>-37.253162384033203</c:v>
                </c:pt>
                <c:pt idx="14">
                  <c:v>-37.264114379882813</c:v>
                </c:pt>
                <c:pt idx="15">
                  <c:v>-37.073223114013672</c:v>
                </c:pt>
                <c:pt idx="16">
                  <c:v>-37.221199035644531</c:v>
                </c:pt>
                <c:pt idx="17">
                  <c:v>-37.337059020996094</c:v>
                </c:pt>
                <c:pt idx="18">
                  <c:v>-37.465503692626953</c:v>
                </c:pt>
                <c:pt idx="19">
                  <c:v>-37.439544677734375</c:v>
                </c:pt>
                <c:pt idx="20">
                  <c:v>-37.358146667480469</c:v>
                </c:pt>
                <c:pt idx="21">
                  <c:v>-37.486289978027344</c:v>
                </c:pt>
                <c:pt idx="22">
                  <c:v>-37.506038665771484</c:v>
                </c:pt>
                <c:pt idx="23">
                  <c:v>-37.301528930664063</c:v>
                </c:pt>
                <c:pt idx="24">
                  <c:v>-37.508335113525391</c:v>
                </c:pt>
                <c:pt idx="25">
                  <c:v>-37.670524597167969</c:v>
                </c:pt>
                <c:pt idx="26">
                  <c:v>-37.698516845703125</c:v>
                </c:pt>
                <c:pt idx="27">
                  <c:v>-37.735042572021484</c:v>
                </c:pt>
                <c:pt idx="28">
                  <c:v>-37.746112823486328</c:v>
                </c:pt>
                <c:pt idx="29">
                  <c:v>-37.874637603759766</c:v>
                </c:pt>
                <c:pt idx="30">
                  <c:v>-37.94049072265625</c:v>
                </c:pt>
                <c:pt idx="31">
                  <c:v>-37.856948852539063</c:v>
                </c:pt>
                <c:pt idx="32">
                  <c:v>-37.8424072265625</c:v>
                </c:pt>
                <c:pt idx="33">
                  <c:v>-37.808792114257813</c:v>
                </c:pt>
                <c:pt idx="34">
                  <c:v>-37.852252960205078</c:v>
                </c:pt>
                <c:pt idx="35">
                  <c:v>-37.913825988769531</c:v>
                </c:pt>
                <c:pt idx="36">
                  <c:v>-37.975177764892578</c:v>
                </c:pt>
                <c:pt idx="37">
                  <c:v>-37.932323455810547</c:v>
                </c:pt>
                <c:pt idx="38">
                  <c:v>-37.928070068359375</c:v>
                </c:pt>
                <c:pt idx="39">
                  <c:v>-37.953582763671875</c:v>
                </c:pt>
                <c:pt idx="40">
                  <c:v>-37.967964172363281</c:v>
                </c:pt>
                <c:pt idx="41">
                  <c:v>-37.979866027832031</c:v>
                </c:pt>
                <c:pt idx="42">
                  <c:v>-38.030406951904297</c:v>
                </c:pt>
                <c:pt idx="43">
                  <c:v>-38.081233978271484</c:v>
                </c:pt>
                <c:pt idx="44">
                  <c:v>-38.136226654052734</c:v>
                </c:pt>
                <c:pt idx="45">
                  <c:v>-38.134059906005859</c:v>
                </c:pt>
                <c:pt idx="46">
                  <c:v>-38.243175506591797</c:v>
                </c:pt>
                <c:pt idx="47">
                  <c:v>-38.270000457763672</c:v>
                </c:pt>
                <c:pt idx="48">
                  <c:v>-38.300434112548828</c:v>
                </c:pt>
                <c:pt idx="49">
                  <c:v>-38.344993591308594</c:v>
                </c:pt>
                <c:pt idx="50">
                  <c:v>-38.273708343505859</c:v>
                </c:pt>
                <c:pt idx="51">
                  <c:v>-38.270870208740234</c:v>
                </c:pt>
                <c:pt idx="52">
                  <c:v>-38.352775573730469</c:v>
                </c:pt>
                <c:pt idx="53">
                  <c:v>-38.387332916259766</c:v>
                </c:pt>
                <c:pt idx="54">
                  <c:v>-38.177532196044922</c:v>
                </c:pt>
                <c:pt idx="55">
                  <c:v>-38.047966003417969</c:v>
                </c:pt>
                <c:pt idx="56">
                  <c:v>-38.061569213867188</c:v>
                </c:pt>
                <c:pt idx="57">
                  <c:v>-37.953449249267578</c:v>
                </c:pt>
                <c:pt idx="58">
                  <c:v>-37.901775360107422</c:v>
                </c:pt>
                <c:pt idx="59">
                  <c:v>-37.771297454833984</c:v>
                </c:pt>
                <c:pt idx="60">
                  <c:v>-37.978614807128906</c:v>
                </c:pt>
                <c:pt idx="61">
                  <c:v>-38.171504974365234</c:v>
                </c:pt>
                <c:pt idx="62">
                  <c:v>-38.01727294921875</c:v>
                </c:pt>
                <c:pt idx="63">
                  <c:v>-37.898124694824219</c:v>
                </c:pt>
                <c:pt idx="64">
                  <c:v>-37.835369110107422</c:v>
                </c:pt>
                <c:pt idx="65">
                  <c:v>-37.821952819824219</c:v>
                </c:pt>
                <c:pt idx="66">
                  <c:v>-37.759140014648438</c:v>
                </c:pt>
                <c:pt idx="67">
                  <c:v>-37.6929931640625</c:v>
                </c:pt>
                <c:pt idx="68">
                  <c:v>-37.652122497558594</c:v>
                </c:pt>
                <c:pt idx="69">
                  <c:v>-37.655975341796875</c:v>
                </c:pt>
                <c:pt idx="70">
                  <c:v>-37.698654174804688</c:v>
                </c:pt>
                <c:pt idx="71">
                  <c:v>-37.745857238769531</c:v>
                </c:pt>
                <c:pt idx="72">
                  <c:v>-37.788116455078125</c:v>
                </c:pt>
                <c:pt idx="73">
                  <c:v>-37.841876983642578</c:v>
                </c:pt>
                <c:pt idx="74">
                  <c:v>-37.856460571289063</c:v>
                </c:pt>
                <c:pt idx="75">
                  <c:v>-39.416755676269531</c:v>
                </c:pt>
                <c:pt idx="76">
                  <c:v>-39.539463043212891</c:v>
                </c:pt>
                <c:pt idx="77">
                  <c:v>-40.504138946533203</c:v>
                </c:pt>
                <c:pt idx="78">
                  <c:v>-41.0771484375</c:v>
                </c:pt>
                <c:pt idx="79">
                  <c:v>-41.680915832519531</c:v>
                </c:pt>
                <c:pt idx="80">
                  <c:v>-42.910507202148438</c:v>
                </c:pt>
                <c:pt idx="81">
                  <c:v>-43.076473236083984</c:v>
                </c:pt>
                <c:pt idx="82">
                  <c:v>-43.106800079345703</c:v>
                </c:pt>
                <c:pt idx="83">
                  <c:v>-43.103038787841797</c:v>
                </c:pt>
                <c:pt idx="84">
                  <c:v>-43.179592132568359</c:v>
                </c:pt>
                <c:pt idx="85">
                  <c:v>-43.199817657470703</c:v>
                </c:pt>
                <c:pt idx="86">
                  <c:v>-43.265605926513672</c:v>
                </c:pt>
                <c:pt idx="87">
                  <c:v>-43.261318206787109</c:v>
                </c:pt>
                <c:pt idx="88">
                  <c:v>-43.156391143798828</c:v>
                </c:pt>
                <c:pt idx="89">
                  <c:v>-43.079616546630859</c:v>
                </c:pt>
                <c:pt idx="90">
                  <c:v>-43.167552947998047</c:v>
                </c:pt>
                <c:pt idx="91">
                  <c:v>-43.256523132324219</c:v>
                </c:pt>
                <c:pt idx="92">
                  <c:v>-43.166973114013672</c:v>
                </c:pt>
                <c:pt idx="93">
                  <c:v>-43.260150909423828</c:v>
                </c:pt>
                <c:pt idx="94">
                  <c:v>-43.153633117675781</c:v>
                </c:pt>
                <c:pt idx="95">
                  <c:v>-42.985801696777344</c:v>
                </c:pt>
                <c:pt idx="96">
                  <c:v>-42.892009735107422</c:v>
                </c:pt>
                <c:pt idx="97">
                  <c:v>-42.951274871826172</c:v>
                </c:pt>
                <c:pt idx="98">
                  <c:v>-42.957122802734375</c:v>
                </c:pt>
                <c:pt idx="99">
                  <c:v>-43.035423278808594</c:v>
                </c:pt>
                <c:pt idx="100">
                  <c:v>-43.032680511474609</c:v>
                </c:pt>
                <c:pt idx="101">
                  <c:v>-43.093585968017578</c:v>
                </c:pt>
                <c:pt idx="102">
                  <c:v>-42.927497863769531</c:v>
                </c:pt>
                <c:pt idx="103">
                  <c:v>-43.017707824707031</c:v>
                </c:pt>
                <c:pt idx="104">
                  <c:v>-43.056575775146484</c:v>
                </c:pt>
                <c:pt idx="105">
                  <c:v>-43.075851440429688</c:v>
                </c:pt>
                <c:pt idx="106">
                  <c:v>-43.098316192626953</c:v>
                </c:pt>
                <c:pt idx="107">
                  <c:v>-43.079368591308594</c:v>
                </c:pt>
                <c:pt idx="108">
                  <c:v>-43.121936798095703</c:v>
                </c:pt>
                <c:pt idx="109">
                  <c:v>-43.038249969482422</c:v>
                </c:pt>
                <c:pt idx="110">
                  <c:v>-42.930156707763672</c:v>
                </c:pt>
                <c:pt idx="111">
                  <c:v>-42.917850494384766</c:v>
                </c:pt>
                <c:pt idx="112">
                  <c:v>-42.883796691894531</c:v>
                </c:pt>
                <c:pt idx="113">
                  <c:v>-42.855056762695313</c:v>
                </c:pt>
                <c:pt idx="114">
                  <c:v>-42.859294891357422</c:v>
                </c:pt>
                <c:pt idx="115">
                  <c:v>-43.017753601074219</c:v>
                </c:pt>
                <c:pt idx="116">
                  <c:v>-43.179607391357422</c:v>
                </c:pt>
                <c:pt idx="117">
                  <c:v>-43.185554504394531</c:v>
                </c:pt>
                <c:pt idx="118">
                  <c:v>-43.267681121826172</c:v>
                </c:pt>
                <c:pt idx="119">
                  <c:v>-43.298656463623047</c:v>
                </c:pt>
                <c:pt idx="120">
                  <c:v>-43.348392486572266</c:v>
                </c:pt>
                <c:pt idx="121">
                  <c:v>-43.505111694335938</c:v>
                </c:pt>
                <c:pt idx="122">
                  <c:v>-43.534725189208984</c:v>
                </c:pt>
                <c:pt idx="123">
                  <c:v>-43.733863830566406</c:v>
                </c:pt>
                <c:pt idx="124">
                  <c:v>-43.771354675292969</c:v>
                </c:pt>
                <c:pt idx="125">
                  <c:v>-43.770378112792969</c:v>
                </c:pt>
                <c:pt idx="126">
                  <c:v>-43.592185974121094</c:v>
                </c:pt>
                <c:pt idx="127">
                  <c:v>-43.625743865966797</c:v>
                </c:pt>
                <c:pt idx="128">
                  <c:v>-43.67633056640625</c:v>
                </c:pt>
                <c:pt idx="129">
                  <c:v>-43.683452606201172</c:v>
                </c:pt>
                <c:pt idx="130">
                  <c:v>-43.595157623291016</c:v>
                </c:pt>
                <c:pt idx="131">
                  <c:v>-43.600666046142578</c:v>
                </c:pt>
                <c:pt idx="132">
                  <c:v>-43.4766845703125</c:v>
                </c:pt>
                <c:pt idx="133">
                  <c:v>-43.502326965332031</c:v>
                </c:pt>
                <c:pt idx="134">
                  <c:v>-43.433662414550781</c:v>
                </c:pt>
                <c:pt idx="135">
                  <c:v>-43.304862976074219</c:v>
                </c:pt>
                <c:pt idx="136">
                  <c:v>-43.264595031738281</c:v>
                </c:pt>
                <c:pt idx="137">
                  <c:v>-43.297233581542969</c:v>
                </c:pt>
                <c:pt idx="138">
                  <c:v>-43.260543823242188</c:v>
                </c:pt>
                <c:pt idx="139">
                  <c:v>-43.291500091552734</c:v>
                </c:pt>
                <c:pt idx="140">
                  <c:v>-43.072208404541016</c:v>
                </c:pt>
                <c:pt idx="141">
                  <c:v>-42.763866424560547</c:v>
                </c:pt>
                <c:pt idx="142">
                  <c:v>-42.681629180908203</c:v>
                </c:pt>
                <c:pt idx="143">
                  <c:v>-42.648761749267578</c:v>
                </c:pt>
                <c:pt idx="144">
                  <c:v>-42.331096649169922</c:v>
                </c:pt>
                <c:pt idx="145">
                  <c:v>-42.297306060791016</c:v>
                </c:pt>
                <c:pt idx="146">
                  <c:v>-42.086269378662109</c:v>
                </c:pt>
                <c:pt idx="147">
                  <c:v>-42.224822998046875</c:v>
                </c:pt>
                <c:pt idx="148">
                  <c:v>-41.77783203125</c:v>
                </c:pt>
                <c:pt idx="149">
                  <c:v>-41.014091491699219</c:v>
                </c:pt>
                <c:pt idx="150">
                  <c:v>-40.412261962890625</c:v>
                </c:pt>
                <c:pt idx="151">
                  <c:v>-39.504512786865234</c:v>
                </c:pt>
                <c:pt idx="152">
                  <c:v>-39.059223175048828</c:v>
                </c:pt>
                <c:pt idx="153">
                  <c:v>-37.933498382568359</c:v>
                </c:pt>
                <c:pt idx="154">
                  <c:v>-37.329631805419922</c:v>
                </c:pt>
                <c:pt idx="155">
                  <c:v>-37.178768157958984</c:v>
                </c:pt>
                <c:pt idx="156">
                  <c:v>-37.288394927978516</c:v>
                </c:pt>
                <c:pt idx="157">
                  <c:v>-36.681659698486328</c:v>
                </c:pt>
                <c:pt idx="158">
                  <c:v>-36.722309112548828</c:v>
                </c:pt>
                <c:pt idx="159">
                  <c:v>-36.711154937744141</c:v>
                </c:pt>
                <c:pt idx="160">
                  <c:v>-36.832752227783203</c:v>
                </c:pt>
                <c:pt idx="161">
                  <c:v>-36.896484375</c:v>
                </c:pt>
                <c:pt idx="162">
                  <c:v>-36.956813812255859</c:v>
                </c:pt>
                <c:pt idx="163">
                  <c:v>-37.213394165039063</c:v>
                </c:pt>
                <c:pt idx="164">
                  <c:v>-37.237865447998047</c:v>
                </c:pt>
                <c:pt idx="165">
                  <c:v>-37.147472381591797</c:v>
                </c:pt>
                <c:pt idx="166">
                  <c:v>-36.994148254394531</c:v>
                </c:pt>
                <c:pt idx="167">
                  <c:v>-37.158897399902344</c:v>
                </c:pt>
                <c:pt idx="168">
                  <c:v>-37.238185882568359</c:v>
                </c:pt>
                <c:pt idx="169">
                  <c:v>-37.249240875244141</c:v>
                </c:pt>
                <c:pt idx="170">
                  <c:v>-37.331020355224609</c:v>
                </c:pt>
                <c:pt idx="171">
                  <c:v>-37.337783813476563</c:v>
                </c:pt>
                <c:pt idx="172">
                  <c:v>-37.460826873779297</c:v>
                </c:pt>
                <c:pt idx="173">
                  <c:v>-37.314990997314453</c:v>
                </c:pt>
                <c:pt idx="174">
                  <c:v>-37.476688385009766</c:v>
                </c:pt>
                <c:pt idx="175">
                  <c:v>-37.529991149902344</c:v>
                </c:pt>
                <c:pt idx="176">
                  <c:v>-37.581172943115234</c:v>
                </c:pt>
                <c:pt idx="177">
                  <c:v>-37.605609893798828</c:v>
                </c:pt>
                <c:pt idx="178">
                  <c:v>-37.691818237304688</c:v>
                </c:pt>
                <c:pt idx="179">
                  <c:v>-37.826839447021484</c:v>
                </c:pt>
                <c:pt idx="180">
                  <c:v>-37.866344451904297</c:v>
                </c:pt>
                <c:pt idx="181">
                  <c:v>-37.863258361816406</c:v>
                </c:pt>
                <c:pt idx="182">
                  <c:v>-37.736061096191406</c:v>
                </c:pt>
                <c:pt idx="183">
                  <c:v>-37.748832702636719</c:v>
                </c:pt>
                <c:pt idx="184">
                  <c:v>-37.733158111572266</c:v>
                </c:pt>
                <c:pt idx="185">
                  <c:v>-37.781341552734375</c:v>
                </c:pt>
                <c:pt idx="186">
                  <c:v>-37.867324829101563</c:v>
                </c:pt>
                <c:pt idx="187">
                  <c:v>-37.8460693359375</c:v>
                </c:pt>
                <c:pt idx="188">
                  <c:v>-37.840045928955078</c:v>
                </c:pt>
                <c:pt idx="189">
                  <c:v>-37.827262878417969</c:v>
                </c:pt>
                <c:pt idx="190">
                  <c:v>-37.877841949462891</c:v>
                </c:pt>
                <c:pt idx="191">
                  <c:v>-37.87371826171875</c:v>
                </c:pt>
                <c:pt idx="192">
                  <c:v>-37.936717987060547</c:v>
                </c:pt>
                <c:pt idx="193">
                  <c:v>-37.978782653808594</c:v>
                </c:pt>
                <c:pt idx="194">
                  <c:v>-38.009895324707031</c:v>
                </c:pt>
                <c:pt idx="195">
                  <c:v>-37.988491058349609</c:v>
                </c:pt>
                <c:pt idx="196">
                  <c:v>-38.084003448486328</c:v>
                </c:pt>
                <c:pt idx="197">
                  <c:v>-38.192546844482422</c:v>
                </c:pt>
                <c:pt idx="198">
                  <c:v>-38.233062744140625</c:v>
                </c:pt>
                <c:pt idx="199">
                  <c:v>-38.256507873535156</c:v>
                </c:pt>
                <c:pt idx="200">
                  <c:v>-38.141838073730469</c:v>
                </c:pt>
                <c:pt idx="201">
                  <c:v>-38.134944915771484</c:v>
                </c:pt>
                <c:pt idx="202">
                  <c:v>-38.301689147949219</c:v>
                </c:pt>
                <c:pt idx="203">
                  <c:v>-38.331329345703125</c:v>
                </c:pt>
                <c:pt idx="204">
                  <c:v>-38.232353210449219</c:v>
                </c:pt>
                <c:pt idx="205">
                  <c:v>-38.09503173828125</c:v>
                </c:pt>
                <c:pt idx="206">
                  <c:v>-37.946918487548828</c:v>
                </c:pt>
                <c:pt idx="207">
                  <c:v>-37.886009216308594</c:v>
                </c:pt>
                <c:pt idx="208">
                  <c:v>-38.073646545410156</c:v>
                </c:pt>
                <c:pt idx="209">
                  <c:v>-37.970870971679688</c:v>
                </c:pt>
                <c:pt idx="210">
                  <c:v>-37.909168243408203</c:v>
                </c:pt>
                <c:pt idx="211">
                  <c:v>-37.734535217285156</c:v>
                </c:pt>
                <c:pt idx="212">
                  <c:v>-37.687244415283203</c:v>
                </c:pt>
                <c:pt idx="213">
                  <c:v>-37.536678314208984</c:v>
                </c:pt>
                <c:pt idx="214">
                  <c:v>-37.479473114013672</c:v>
                </c:pt>
                <c:pt idx="215">
                  <c:v>-37.733169555664063</c:v>
                </c:pt>
                <c:pt idx="216">
                  <c:v>-37.993850708007813</c:v>
                </c:pt>
                <c:pt idx="217">
                  <c:v>-37.960624694824219</c:v>
                </c:pt>
                <c:pt idx="218">
                  <c:v>-38.003997802734375</c:v>
                </c:pt>
                <c:pt idx="219">
                  <c:v>-38.01861572265625</c:v>
                </c:pt>
                <c:pt idx="220">
                  <c:v>-38.011215209960938</c:v>
                </c:pt>
                <c:pt idx="221">
                  <c:v>-38.071891784667969</c:v>
                </c:pt>
                <c:pt idx="222">
                  <c:v>-38.148422241210938</c:v>
                </c:pt>
                <c:pt idx="223">
                  <c:v>-38.234161376953125</c:v>
                </c:pt>
                <c:pt idx="224">
                  <c:v>-38.246898651123047</c:v>
                </c:pt>
                <c:pt idx="225">
                  <c:v>-38.262981414794922</c:v>
                </c:pt>
                <c:pt idx="226">
                  <c:v>-39.995994567871094</c:v>
                </c:pt>
                <c:pt idx="227">
                  <c:v>-40.027435302734375</c:v>
                </c:pt>
                <c:pt idx="228">
                  <c:v>-41.007926940917969</c:v>
                </c:pt>
                <c:pt idx="229">
                  <c:v>-42.002239227294922</c:v>
                </c:pt>
                <c:pt idx="230">
                  <c:v>-42.397388458251953</c:v>
                </c:pt>
                <c:pt idx="231">
                  <c:v>-42.932456970214844</c:v>
                </c:pt>
                <c:pt idx="232">
                  <c:v>-42.944488525390625</c:v>
                </c:pt>
                <c:pt idx="233">
                  <c:v>-43.053520202636719</c:v>
                </c:pt>
                <c:pt idx="234">
                  <c:v>-43.089706420898438</c:v>
                </c:pt>
                <c:pt idx="235">
                  <c:v>-43.176528930664063</c:v>
                </c:pt>
                <c:pt idx="236">
                  <c:v>-43.213363647460938</c:v>
                </c:pt>
                <c:pt idx="237">
                  <c:v>-43.325725555419922</c:v>
                </c:pt>
                <c:pt idx="238">
                  <c:v>-43.39593505859375</c:v>
                </c:pt>
                <c:pt idx="239">
                  <c:v>-43.186115264892578</c:v>
                </c:pt>
                <c:pt idx="240">
                  <c:v>-43.140735626220703</c:v>
                </c:pt>
                <c:pt idx="241">
                  <c:v>-43.234569549560547</c:v>
                </c:pt>
                <c:pt idx="242">
                  <c:v>-43.185050964355469</c:v>
                </c:pt>
                <c:pt idx="243">
                  <c:v>-43.201351165771484</c:v>
                </c:pt>
                <c:pt idx="244">
                  <c:v>-43.110164642333984</c:v>
                </c:pt>
                <c:pt idx="245">
                  <c:v>-42.98150634765625</c:v>
                </c:pt>
                <c:pt idx="246">
                  <c:v>-42.963813781738281</c:v>
                </c:pt>
                <c:pt idx="247">
                  <c:v>-42.996562957763672</c:v>
                </c:pt>
                <c:pt idx="248">
                  <c:v>-42.946819305419922</c:v>
                </c:pt>
                <c:pt idx="249">
                  <c:v>-43.029449462890625</c:v>
                </c:pt>
                <c:pt idx="250">
                  <c:v>-43.005302429199219</c:v>
                </c:pt>
                <c:pt idx="251">
                  <c:v>-43.065166473388672</c:v>
                </c:pt>
                <c:pt idx="252">
                  <c:v>-42.942184448242188</c:v>
                </c:pt>
                <c:pt idx="253">
                  <c:v>-43.012191772460938</c:v>
                </c:pt>
                <c:pt idx="254">
                  <c:v>-42.989543914794922</c:v>
                </c:pt>
                <c:pt idx="255">
                  <c:v>-42.986713409423828</c:v>
                </c:pt>
                <c:pt idx="256">
                  <c:v>-42.893657684326172</c:v>
                </c:pt>
                <c:pt idx="257">
                  <c:v>-42.967174530029297</c:v>
                </c:pt>
                <c:pt idx="258">
                  <c:v>-43.040409088134766</c:v>
                </c:pt>
                <c:pt idx="259">
                  <c:v>-42.941360473632813</c:v>
                </c:pt>
                <c:pt idx="260">
                  <c:v>-42.937221527099609</c:v>
                </c:pt>
                <c:pt idx="261">
                  <c:v>-42.912670135498047</c:v>
                </c:pt>
                <c:pt idx="262">
                  <c:v>-42.875797271728516</c:v>
                </c:pt>
                <c:pt idx="263">
                  <c:v>-42.838100433349609</c:v>
                </c:pt>
                <c:pt idx="264">
                  <c:v>-42.874317169189453</c:v>
                </c:pt>
                <c:pt idx="265">
                  <c:v>-42.909576416015625</c:v>
                </c:pt>
                <c:pt idx="266">
                  <c:v>-42.870281219482422</c:v>
                </c:pt>
                <c:pt idx="267">
                  <c:v>-42.892742156982422</c:v>
                </c:pt>
                <c:pt idx="268">
                  <c:v>-42.934207916259766</c:v>
                </c:pt>
                <c:pt idx="269">
                  <c:v>-42.966018676757813</c:v>
                </c:pt>
                <c:pt idx="270">
                  <c:v>-43.013099670410156</c:v>
                </c:pt>
                <c:pt idx="271">
                  <c:v>-43.217136383056641</c:v>
                </c:pt>
                <c:pt idx="272">
                  <c:v>-43.265727996826172</c:v>
                </c:pt>
                <c:pt idx="273">
                  <c:v>-43.378700256347656</c:v>
                </c:pt>
                <c:pt idx="274">
                  <c:v>-43.400005340576172</c:v>
                </c:pt>
                <c:pt idx="275">
                  <c:v>-43.663761138916016</c:v>
                </c:pt>
                <c:pt idx="276">
                  <c:v>-43.779052734375</c:v>
                </c:pt>
                <c:pt idx="277">
                  <c:v>-43.635540008544922</c:v>
                </c:pt>
                <c:pt idx="278">
                  <c:v>-43.786201477050781</c:v>
                </c:pt>
                <c:pt idx="279">
                  <c:v>-43.6473388671875</c:v>
                </c:pt>
                <c:pt idx="280">
                  <c:v>-43.485950469970703</c:v>
                </c:pt>
                <c:pt idx="281">
                  <c:v>-43.493141174316406</c:v>
                </c:pt>
                <c:pt idx="282">
                  <c:v>-43.357284545898438</c:v>
                </c:pt>
                <c:pt idx="283">
                  <c:v>-43.535991668701172</c:v>
                </c:pt>
                <c:pt idx="284">
                  <c:v>-43.448772430419922</c:v>
                </c:pt>
                <c:pt idx="285">
                  <c:v>-43.333164215087891</c:v>
                </c:pt>
                <c:pt idx="286">
                  <c:v>-43.366401672363281</c:v>
                </c:pt>
                <c:pt idx="287">
                  <c:v>-43.342971801757813</c:v>
                </c:pt>
                <c:pt idx="288">
                  <c:v>-43.323505401611328</c:v>
                </c:pt>
                <c:pt idx="289">
                  <c:v>-43.361495971679688</c:v>
                </c:pt>
                <c:pt idx="290">
                  <c:v>-43.242504119873047</c:v>
                </c:pt>
                <c:pt idx="291">
                  <c:v>-42.89508056640625</c:v>
                </c:pt>
                <c:pt idx="292">
                  <c:v>-42.678329467773438</c:v>
                </c:pt>
                <c:pt idx="293">
                  <c:v>-42.705490112304688</c:v>
                </c:pt>
                <c:pt idx="294">
                  <c:v>-42.267333984375</c:v>
                </c:pt>
                <c:pt idx="295">
                  <c:v>-42.270553588867188</c:v>
                </c:pt>
                <c:pt idx="296">
                  <c:v>-42.152984619140625</c:v>
                </c:pt>
                <c:pt idx="297">
                  <c:v>-42.181007385253906</c:v>
                </c:pt>
                <c:pt idx="298">
                  <c:v>-41.8468017578125</c:v>
                </c:pt>
                <c:pt idx="299">
                  <c:v>-41.443584442138672</c:v>
                </c:pt>
                <c:pt idx="300">
                  <c:v>-40.064556121826172</c:v>
                </c:pt>
                <c:pt idx="301">
                  <c:v>-39.937877655029297</c:v>
                </c:pt>
                <c:pt idx="302">
                  <c:v>-38.575626373291016</c:v>
                </c:pt>
                <c:pt idx="303">
                  <c:v>-38.146625518798828</c:v>
                </c:pt>
                <c:pt idx="304">
                  <c:v>-37.429431915283203</c:v>
                </c:pt>
                <c:pt idx="305">
                  <c:v>-37.341053009033203</c:v>
                </c:pt>
                <c:pt idx="306">
                  <c:v>-37.318466186523438</c:v>
                </c:pt>
                <c:pt idx="307">
                  <c:v>-36.735485076904297</c:v>
                </c:pt>
                <c:pt idx="308">
                  <c:v>-36.665435791015625</c:v>
                </c:pt>
                <c:pt idx="309">
                  <c:v>-36.660945892333984</c:v>
                </c:pt>
                <c:pt idx="310">
                  <c:v>-36.684417724609375</c:v>
                </c:pt>
                <c:pt idx="311">
                  <c:v>-36.859363555908203</c:v>
                </c:pt>
                <c:pt idx="312">
                  <c:v>-36.972793579101563</c:v>
                </c:pt>
                <c:pt idx="313">
                  <c:v>-37.0189208984375</c:v>
                </c:pt>
                <c:pt idx="314">
                  <c:v>-37.149532318115234</c:v>
                </c:pt>
                <c:pt idx="315">
                  <c:v>-37.245506286621094</c:v>
                </c:pt>
                <c:pt idx="316">
                  <c:v>-37.115581512451172</c:v>
                </c:pt>
                <c:pt idx="317">
                  <c:v>-37.164440155029297</c:v>
                </c:pt>
                <c:pt idx="318">
                  <c:v>-37.34100341796875</c:v>
                </c:pt>
                <c:pt idx="319">
                  <c:v>-37.389236450195313</c:v>
                </c:pt>
                <c:pt idx="320">
                  <c:v>-37.302623748779297</c:v>
                </c:pt>
                <c:pt idx="321">
                  <c:v>-37.445087432861328</c:v>
                </c:pt>
                <c:pt idx="322">
                  <c:v>-37.532402038574219</c:v>
                </c:pt>
                <c:pt idx="323">
                  <c:v>-37.468841552734375</c:v>
                </c:pt>
                <c:pt idx="324">
                  <c:v>-37.550640106201172</c:v>
                </c:pt>
                <c:pt idx="325">
                  <c:v>-37.72222900390625</c:v>
                </c:pt>
                <c:pt idx="326">
                  <c:v>-37.594127655029297</c:v>
                </c:pt>
                <c:pt idx="327">
                  <c:v>-37.699699401855469</c:v>
                </c:pt>
                <c:pt idx="328">
                  <c:v>-37.769359588623047</c:v>
                </c:pt>
                <c:pt idx="329">
                  <c:v>-37.854301452636719</c:v>
                </c:pt>
                <c:pt idx="330">
                  <c:v>-37.861492156982422</c:v>
                </c:pt>
                <c:pt idx="331">
                  <c:v>-37.8604736328125</c:v>
                </c:pt>
                <c:pt idx="332">
                  <c:v>-37.800098419189453</c:v>
                </c:pt>
                <c:pt idx="333">
                  <c:v>-37.752849578857422</c:v>
                </c:pt>
                <c:pt idx="334">
                  <c:v>-37.71551513671875</c:v>
                </c:pt>
                <c:pt idx="335">
                  <c:v>-37.732475280761719</c:v>
                </c:pt>
                <c:pt idx="336">
                  <c:v>-37.891422271728516</c:v>
                </c:pt>
                <c:pt idx="337">
                  <c:v>-37.953144073486328</c:v>
                </c:pt>
                <c:pt idx="338">
                  <c:v>-37.977481842041016</c:v>
                </c:pt>
                <c:pt idx="339">
                  <c:v>-37.951171875</c:v>
                </c:pt>
                <c:pt idx="340">
                  <c:v>-37.957439422607422</c:v>
                </c:pt>
                <c:pt idx="341">
                  <c:v>-37.958244323730469</c:v>
                </c:pt>
                <c:pt idx="342">
                  <c:v>-37.967700958251953</c:v>
                </c:pt>
                <c:pt idx="343">
                  <c:v>-38.018444061279297</c:v>
                </c:pt>
                <c:pt idx="344">
                  <c:v>-38.059238433837891</c:v>
                </c:pt>
                <c:pt idx="345">
                  <c:v>-38.090217590332031</c:v>
                </c:pt>
                <c:pt idx="346">
                  <c:v>-38.180686950683594</c:v>
                </c:pt>
                <c:pt idx="347">
                  <c:v>-38.250190734863281</c:v>
                </c:pt>
                <c:pt idx="348">
                  <c:v>-38.237258911132813</c:v>
                </c:pt>
                <c:pt idx="349">
                  <c:v>-38.316642761230469</c:v>
                </c:pt>
                <c:pt idx="350">
                  <c:v>-38.170719146728516</c:v>
                </c:pt>
                <c:pt idx="351">
                  <c:v>-38.066261291503906</c:v>
                </c:pt>
                <c:pt idx="352">
                  <c:v>-38.269111633300781</c:v>
                </c:pt>
                <c:pt idx="353">
                  <c:v>-38.437736511230469</c:v>
                </c:pt>
                <c:pt idx="354">
                  <c:v>-38.247520446777344</c:v>
                </c:pt>
                <c:pt idx="355">
                  <c:v>-38.099037170410156</c:v>
                </c:pt>
                <c:pt idx="356">
                  <c:v>-37.982723236083984</c:v>
                </c:pt>
                <c:pt idx="357">
                  <c:v>-37.811897277832031</c:v>
                </c:pt>
                <c:pt idx="358">
                  <c:v>-37.719898223876953</c:v>
                </c:pt>
                <c:pt idx="359">
                  <c:v>-37.551544189453125</c:v>
                </c:pt>
                <c:pt idx="360">
                  <c:v>-37.969974517822266</c:v>
                </c:pt>
                <c:pt idx="361">
                  <c:v>-38.105430603027344</c:v>
                </c:pt>
                <c:pt idx="362">
                  <c:v>-37.970848083496094</c:v>
                </c:pt>
                <c:pt idx="363">
                  <c:v>-37.905017852783203</c:v>
                </c:pt>
                <c:pt idx="364">
                  <c:v>-37.835990905761719</c:v>
                </c:pt>
                <c:pt idx="365">
                  <c:v>-37.783580780029297</c:v>
                </c:pt>
                <c:pt idx="366">
                  <c:v>-37.6744384765625</c:v>
                </c:pt>
                <c:pt idx="367">
                  <c:v>-37.633289337158203</c:v>
                </c:pt>
                <c:pt idx="368">
                  <c:v>-37.605228424072266</c:v>
                </c:pt>
                <c:pt idx="369">
                  <c:v>-37.587074279785156</c:v>
                </c:pt>
                <c:pt idx="370">
                  <c:v>-37.569004058837891</c:v>
                </c:pt>
                <c:pt idx="371">
                  <c:v>-37.619972229003906</c:v>
                </c:pt>
                <c:pt idx="372">
                  <c:v>-37.689998626708984</c:v>
                </c:pt>
                <c:pt idx="373">
                  <c:v>-37.776840209960938</c:v>
                </c:pt>
                <c:pt idx="374">
                  <c:v>-37.792758941650391</c:v>
                </c:pt>
                <c:pt idx="375">
                  <c:v>-39.224571228027344</c:v>
                </c:pt>
                <c:pt idx="376">
                  <c:v>-39.538669586181641</c:v>
                </c:pt>
                <c:pt idx="377">
                  <c:v>-40.426990509033203</c:v>
                </c:pt>
                <c:pt idx="378">
                  <c:v>-41.091938018798828</c:v>
                </c:pt>
                <c:pt idx="379">
                  <c:v>-41.852420806884766</c:v>
                </c:pt>
                <c:pt idx="380">
                  <c:v>-42.444564819335938</c:v>
                </c:pt>
                <c:pt idx="381">
                  <c:v>-42.503292083740234</c:v>
                </c:pt>
                <c:pt idx="382">
                  <c:v>-42.623374938964844</c:v>
                </c:pt>
                <c:pt idx="383">
                  <c:v>-42.740226745605469</c:v>
                </c:pt>
                <c:pt idx="384">
                  <c:v>-42.811691284179688</c:v>
                </c:pt>
                <c:pt idx="385">
                  <c:v>-42.848365783691406</c:v>
                </c:pt>
                <c:pt idx="386">
                  <c:v>-43.012771606445313</c:v>
                </c:pt>
                <c:pt idx="387">
                  <c:v>-43.125949859619141</c:v>
                </c:pt>
                <c:pt idx="388">
                  <c:v>-43.197505950927734</c:v>
                </c:pt>
                <c:pt idx="389">
                  <c:v>-43.240646362304688</c:v>
                </c:pt>
                <c:pt idx="390">
                  <c:v>-43.400520324707031</c:v>
                </c:pt>
                <c:pt idx="391">
                  <c:v>-43.379859924316406</c:v>
                </c:pt>
                <c:pt idx="392">
                  <c:v>-43.298294067382813</c:v>
                </c:pt>
                <c:pt idx="393">
                  <c:v>-43.249992370605469</c:v>
                </c:pt>
                <c:pt idx="394">
                  <c:v>-43.053215026855469</c:v>
                </c:pt>
                <c:pt idx="395">
                  <c:v>-42.934295654296875</c:v>
                </c:pt>
                <c:pt idx="396">
                  <c:v>-42.923892974853516</c:v>
                </c:pt>
                <c:pt idx="397">
                  <c:v>-42.904232025146484</c:v>
                </c:pt>
                <c:pt idx="398">
                  <c:v>-43.001205444335938</c:v>
                </c:pt>
                <c:pt idx="399">
                  <c:v>-43.073947906494141</c:v>
                </c:pt>
                <c:pt idx="400">
                  <c:v>-43.078083038330078</c:v>
                </c:pt>
                <c:pt idx="401">
                  <c:v>-43.00677490234375</c:v>
                </c:pt>
                <c:pt idx="402">
                  <c:v>-42.904224395751953</c:v>
                </c:pt>
                <c:pt idx="403">
                  <c:v>-42.984718322753906</c:v>
                </c:pt>
                <c:pt idx="404">
                  <c:v>-43.058692932128906</c:v>
                </c:pt>
                <c:pt idx="405">
                  <c:v>-43.075767517089844</c:v>
                </c:pt>
                <c:pt idx="406">
                  <c:v>-43.078807830810547</c:v>
                </c:pt>
                <c:pt idx="407">
                  <c:v>-43.046058654785156</c:v>
                </c:pt>
                <c:pt idx="408">
                  <c:v>-43.167369842529297</c:v>
                </c:pt>
                <c:pt idx="409">
                  <c:v>-43.018630981445313</c:v>
                </c:pt>
                <c:pt idx="410">
                  <c:v>-42.960929870605469</c:v>
                </c:pt>
                <c:pt idx="411">
                  <c:v>-42.994659423828125</c:v>
                </c:pt>
                <c:pt idx="412">
                  <c:v>-43.024845123291016</c:v>
                </c:pt>
                <c:pt idx="413">
                  <c:v>-43.211132049560547</c:v>
                </c:pt>
                <c:pt idx="414">
                  <c:v>-43.204212188720703</c:v>
                </c:pt>
                <c:pt idx="415">
                  <c:v>-43.217555999755859</c:v>
                </c:pt>
                <c:pt idx="416">
                  <c:v>-43.161151885986328</c:v>
                </c:pt>
                <c:pt idx="417">
                  <c:v>-43.214260101318359</c:v>
                </c:pt>
                <c:pt idx="418">
                  <c:v>-43.281116485595703</c:v>
                </c:pt>
                <c:pt idx="419">
                  <c:v>-43.332500457763672</c:v>
                </c:pt>
                <c:pt idx="420">
                  <c:v>-43.330360412597656</c:v>
                </c:pt>
                <c:pt idx="421">
                  <c:v>-43.503124237060547</c:v>
                </c:pt>
                <c:pt idx="422">
                  <c:v>-43.574836730957031</c:v>
                </c:pt>
                <c:pt idx="423">
                  <c:v>-43.704166412353516</c:v>
                </c:pt>
                <c:pt idx="424">
                  <c:v>-43.768814086914063</c:v>
                </c:pt>
                <c:pt idx="425">
                  <c:v>-43.660842895507813</c:v>
                </c:pt>
                <c:pt idx="426">
                  <c:v>-43.632652282714844</c:v>
                </c:pt>
                <c:pt idx="427">
                  <c:v>-43.601768493652344</c:v>
                </c:pt>
                <c:pt idx="428">
                  <c:v>-43.724788665771484</c:v>
                </c:pt>
                <c:pt idx="429">
                  <c:v>-43.677616119384766</c:v>
                </c:pt>
                <c:pt idx="430">
                  <c:v>-43.616081237792969</c:v>
                </c:pt>
                <c:pt idx="431">
                  <c:v>-43.564277648925781</c:v>
                </c:pt>
                <c:pt idx="432">
                  <c:v>-43.612606048583984</c:v>
                </c:pt>
                <c:pt idx="433">
                  <c:v>-43.468673706054688</c:v>
                </c:pt>
                <c:pt idx="434">
                  <c:v>-43.3416748046875</c:v>
                </c:pt>
                <c:pt idx="435">
                  <c:v>-43.264499664306641</c:v>
                </c:pt>
                <c:pt idx="436">
                  <c:v>-43.262264251708984</c:v>
                </c:pt>
                <c:pt idx="437">
                  <c:v>-43.302394866943359</c:v>
                </c:pt>
                <c:pt idx="438">
                  <c:v>-43.133777618408203</c:v>
                </c:pt>
                <c:pt idx="439">
                  <c:v>-43.208343505859375</c:v>
                </c:pt>
                <c:pt idx="440">
                  <c:v>-43.218746185302734</c:v>
                </c:pt>
                <c:pt idx="441">
                  <c:v>-42.784263610839844</c:v>
                </c:pt>
                <c:pt idx="442">
                  <c:v>-42.607318878173828</c:v>
                </c:pt>
                <c:pt idx="443">
                  <c:v>-42.495170593261719</c:v>
                </c:pt>
                <c:pt idx="444">
                  <c:v>-42.251972198486328</c:v>
                </c:pt>
                <c:pt idx="445">
                  <c:v>-42.021492004394531</c:v>
                </c:pt>
                <c:pt idx="446">
                  <c:v>-42.085014343261719</c:v>
                </c:pt>
                <c:pt idx="447">
                  <c:v>-42.082023620605469</c:v>
                </c:pt>
                <c:pt idx="448">
                  <c:v>-41.57220458984375</c:v>
                </c:pt>
                <c:pt idx="449">
                  <c:v>-41.211776733398438</c:v>
                </c:pt>
                <c:pt idx="450">
                  <c:v>-40.408794403076172</c:v>
                </c:pt>
                <c:pt idx="451">
                  <c:v>-39.612449645996094</c:v>
                </c:pt>
                <c:pt idx="452">
                  <c:v>-38.802234649658203</c:v>
                </c:pt>
                <c:pt idx="453">
                  <c:v>-37.9747314453125</c:v>
                </c:pt>
                <c:pt idx="454">
                  <c:v>-37.291313171386719</c:v>
                </c:pt>
                <c:pt idx="455">
                  <c:v>-37.148403167724609</c:v>
                </c:pt>
                <c:pt idx="456">
                  <c:v>-37.222373962402344</c:v>
                </c:pt>
                <c:pt idx="457">
                  <c:v>-36.763671875</c:v>
                </c:pt>
                <c:pt idx="458">
                  <c:v>-36.861839294433594</c:v>
                </c:pt>
                <c:pt idx="459">
                  <c:v>-36.680171966552734</c:v>
                </c:pt>
                <c:pt idx="460">
                  <c:v>-36.625923156738281</c:v>
                </c:pt>
                <c:pt idx="461">
                  <c:v>-36.814121246337891</c:v>
                </c:pt>
                <c:pt idx="462">
                  <c:v>-36.863201141357422</c:v>
                </c:pt>
                <c:pt idx="463">
                  <c:v>-37.027374267578125</c:v>
                </c:pt>
                <c:pt idx="464">
                  <c:v>-37.1285400390625</c:v>
                </c:pt>
                <c:pt idx="465">
                  <c:v>-37.189182281494141</c:v>
                </c:pt>
                <c:pt idx="466">
                  <c:v>-37.036811828613281</c:v>
                </c:pt>
                <c:pt idx="467">
                  <c:v>-37.096244812011719</c:v>
                </c:pt>
                <c:pt idx="468">
                  <c:v>-37.259452819824219</c:v>
                </c:pt>
                <c:pt idx="469">
                  <c:v>-37.294624328613281</c:v>
                </c:pt>
                <c:pt idx="470">
                  <c:v>-37.269374847412109</c:v>
                </c:pt>
                <c:pt idx="471">
                  <c:v>-37.396018981933594</c:v>
                </c:pt>
                <c:pt idx="472">
                  <c:v>-37.527496337890625</c:v>
                </c:pt>
                <c:pt idx="473">
                  <c:v>-37.413322448730469</c:v>
                </c:pt>
                <c:pt idx="474">
                  <c:v>-37.571796417236328</c:v>
                </c:pt>
                <c:pt idx="475">
                  <c:v>-37.719707489013672</c:v>
                </c:pt>
                <c:pt idx="476">
                  <c:v>-37.596115112304688</c:v>
                </c:pt>
                <c:pt idx="477">
                  <c:v>-37.710960388183594</c:v>
                </c:pt>
                <c:pt idx="478">
                  <c:v>-37.825973510742188</c:v>
                </c:pt>
                <c:pt idx="479">
                  <c:v>-37.846511840820313</c:v>
                </c:pt>
                <c:pt idx="480">
                  <c:v>-37.828227996826172</c:v>
                </c:pt>
                <c:pt idx="481">
                  <c:v>-37.806758880615234</c:v>
                </c:pt>
                <c:pt idx="482">
                  <c:v>-37.801826477050781</c:v>
                </c:pt>
                <c:pt idx="483">
                  <c:v>-37.711635589599609</c:v>
                </c:pt>
                <c:pt idx="484">
                  <c:v>-37.654808044433594</c:v>
                </c:pt>
                <c:pt idx="485">
                  <c:v>-37.698490142822266</c:v>
                </c:pt>
                <c:pt idx="486">
                  <c:v>-37.815402984619141</c:v>
                </c:pt>
                <c:pt idx="487">
                  <c:v>-37.860671997070313</c:v>
                </c:pt>
                <c:pt idx="488">
                  <c:v>-37.917827606201172</c:v>
                </c:pt>
                <c:pt idx="489">
                  <c:v>-37.909027099609375</c:v>
                </c:pt>
                <c:pt idx="490">
                  <c:v>-37.91998291015625</c:v>
                </c:pt>
                <c:pt idx="491">
                  <c:v>-37.950222015380859</c:v>
                </c:pt>
                <c:pt idx="492">
                  <c:v>-37.969890594482422</c:v>
                </c:pt>
                <c:pt idx="493">
                  <c:v>-38.030834197998047</c:v>
                </c:pt>
                <c:pt idx="494">
                  <c:v>-38.091243743896484</c:v>
                </c:pt>
                <c:pt idx="495">
                  <c:v>-38.134597778320313</c:v>
                </c:pt>
                <c:pt idx="496">
                  <c:v>-38.203704833984375</c:v>
                </c:pt>
                <c:pt idx="497">
                  <c:v>-38.269718170166016</c:v>
                </c:pt>
                <c:pt idx="498">
                  <c:v>-38.297691345214844</c:v>
                </c:pt>
                <c:pt idx="499">
                  <c:v>-38.352523803710938</c:v>
                </c:pt>
                <c:pt idx="500">
                  <c:v>-38.183822631835938</c:v>
                </c:pt>
                <c:pt idx="501">
                  <c:v>-38.105556488037109</c:v>
                </c:pt>
                <c:pt idx="502">
                  <c:v>-38.324127197265625</c:v>
                </c:pt>
                <c:pt idx="503">
                  <c:v>-38.296630859375</c:v>
                </c:pt>
                <c:pt idx="504">
                  <c:v>-38.170120239257813</c:v>
                </c:pt>
                <c:pt idx="505">
                  <c:v>-38.033260345458984</c:v>
                </c:pt>
                <c:pt idx="506">
                  <c:v>-37.999870300292969</c:v>
                </c:pt>
                <c:pt idx="507">
                  <c:v>-38.024742126464844</c:v>
                </c:pt>
                <c:pt idx="508">
                  <c:v>-37.967803955078125</c:v>
                </c:pt>
                <c:pt idx="509">
                  <c:v>-37.827693939208984</c:v>
                </c:pt>
                <c:pt idx="510">
                  <c:v>-37.734443664550781</c:v>
                </c:pt>
                <c:pt idx="511">
                  <c:v>-37.631671905517578</c:v>
                </c:pt>
                <c:pt idx="512">
                  <c:v>-37.943805694580078</c:v>
                </c:pt>
                <c:pt idx="513">
                  <c:v>-38.119735717773438</c:v>
                </c:pt>
                <c:pt idx="514">
                  <c:v>-38.043136596679688</c:v>
                </c:pt>
                <c:pt idx="515">
                  <c:v>-37.972579956054688</c:v>
                </c:pt>
                <c:pt idx="516">
                  <c:v>-37.892223358154297</c:v>
                </c:pt>
                <c:pt idx="517">
                  <c:v>-37.893775939941406</c:v>
                </c:pt>
                <c:pt idx="518">
                  <c:v>-37.827236175537109</c:v>
                </c:pt>
                <c:pt idx="519">
                  <c:v>-37.886306762695313</c:v>
                </c:pt>
                <c:pt idx="520">
                  <c:v>-37.875152587890625</c:v>
                </c:pt>
                <c:pt idx="521">
                  <c:v>-37.944633483886719</c:v>
                </c:pt>
                <c:pt idx="522">
                  <c:v>-38.047107696533203</c:v>
                </c:pt>
                <c:pt idx="523">
                  <c:v>-38.124622344970703</c:v>
                </c:pt>
                <c:pt idx="524">
                  <c:v>-38.103076934814453</c:v>
                </c:pt>
                <c:pt idx="525">
                  <c:v>-38.6497802734375</c:v>
                </c:pt>
                <c:pt idx="526">
                  <c:v>-39.886642456054688</c:v>
                </c:pt>
                <c:pt idx="527">
                  <c:v>-40.204738616943359</c:v>
                </c:pt>
                <c:pt idx="528">
                  <c:v>-41.620578765869141</c:v>
                </c:pt>
                <c:pt idx="529">
                  <c:v>-41.811729431152344</c:v>
                </c:pt>
                <c:pt idx="530">
                  <c:v>-42.470157623291016</c:v>
                </c:pt>
                <c:pt idx="531">
                  <c:v>-42.876655578613281</c:v>
                </c:pt>
                <c:pt idx="532">
                  <c:v>-42.996444702148438</c:v>
                </c:pt>
                <c:pt idx="533">
                  <c:v>-43.157844543457031</c:v>
                </c:pt>
                <c:pt idx="534">
                  <c:v>-43.15728759765625</c:v>
                </c:pt>
                <c:pt idx="535">
                  <c:v>-43.214645385742188</c:v>
                </c:pt>
                <c:pt idx="536">
                  <c:v>-43.337299346923828</c:v>
                </c:pt>
                <c:pt idx="537">
                  <c:v>-43.355136871337891</c:v>
                </c:pt>
                <c:pt idx="538">
                  <c:v>-43.288516998291016</c:v>
                </c:pt>
                <c:pt idx="539">
                  <c:v>-43.16497802734375</c:v>
                </c:pt>
                <c:pt idx="540">
                  <c:v>-43.178031921386719</c:v>
                </c:pt>
                <c:pt idx="541">
                  <c:v>-43.277065277099609</c:v>
                </c:pt>
                <c:pt idx="542">
                  <c:v>-43.238933563232422</c:v>
                </c:pt>
                <c:pt idx="543">
                  <c:v>-43.225307464599609</c:v>
                </c:pt>
                <c:pt idx="544">
                  <c:v>-43.169940948486328</c:v>
                </c:pt>
                <c:pt idx="545">
                  <c:v>-43.05804443359375</c:v>
                </c:pt>
                <c:pt idx="546">
                  <c:v>-43.083702087402344</c:v>
                </c:pt>
                <c:pt idx="547">
                  <c:v>-43.058986663818359</c:v>
                </c:pt>
                <c:pt idx="548">
                  <c:v>-43.002452850341797</c:v>
                </c:pt>
                <c:pt idx="549">
                  <c:v>-43.101081848144531</c:v>
                </c:pt>
                <c:pt idx="550">
                  <c:v>-43.188484191894531</c:v>
                </c:pt>
                <c:pt idx="551">
                  <c:v>-43.06597900390625</c:v>
                </c:pt>
                <c:pt idx="552">
                  <c:v>-42.962089538574219</c:v>
                </c:pt>
                <c:pt idx="553">
                  <c:v>-43.177791595458984</c:v>
                </c:pt>
                <c:pt idx="554">
                  <c:v>-43.183696746826172</c:v>
                </c:pt>
                <c:pt idx="555">
                  <c:v>-43.118064880371094</c:v>
                </c:pt>
                <c:pt idx="556">
                  <c:v>-43.003280639648438</c:v>
                </c:pt>
                <c:pt idx="557">
                  <c:v>-43.142173767089844</c:v>
                </c:pt>
                <c:pt idx="558">
                  <c:v>-43.1468505859375</c:v>
                </c:pt>
                <c:pt idx="559">
                  <c:v>-43.001007080078125</c:v>
                </c:pt>
                <c:pt idx="560">
                  <c:v>-43.0228271484375</c:v>
                </c:pt>
                <c:pt idx="561">
                  <c:v>-43.177627563476563</c:v>
                </c:pt>
                <c:pt idx="562">
                  <c:v>-43.233749389648438</c:v>
                </c:pt>
                <c:pt idx="563">
                  <c:v>-43.215538024902344</c:v>
                </c:pt>
                <c:pt idx="564">
                  <c:v>-43.227802276611328</c:v>
                </c:pt>
                <c:pt idx="565">
                  <c:v>-43.225055694580078</c:v>
                </c:pt>
                <c:pt idx="566">
                  <c:v>-43.251354217529297</c:v>
                </c:pt>
                <c:pt idx="567">
                  <c:v>-43.232231140136719</c:v>
                </c:pt>
                <c:pt idx="568">
                  <c:v>-43.290138244628906</c:v>
                </c:pt>
                <c:pt idx="569">
                  <c:v>-43.364776611328125</c:v>
                </c:pt>
                <c:pt idx="570">
                  <c:v>-43.370025634765625</c:v>
                </c:pt>
                <c:pt idx="571">
                  <c:v>-43.554973602294922</c:v>
                </c:pt>
                <c:pt idx="572">
                  <c:v>-43.577121734619141</c:v>
                </c:pt>
                <c:pt idx="573">
                  <c:v>-43.699214935302734</c:v>
                </c:pt>
                <c:pt idx="574">
                  <c:v>-43.771469116210938</c:v>
                </c:pt>
                <c:pt idx="575">
                  <c:v>-43.845245361328125</c:v>
                </c:pt>
                <c:pt idx="576">
                  <c:v>-43.675491333007813</c:v>
                </c:pt>
                <c:pt idx="577">
                  <c:v>-43.549827575683594</c:v>
                </c:pt>
                <c:pt idx="578">
                  <c:v>-43.662765502929688</c:v>
                </c:pt>
                <c:pt idx="579">
                  <c:v>-43.635536193847656</c:v>
                </c:pt>
                <c:pt idx="580">
                  <c:v>-43.681774139404297</c:v>
                </c:pt>
                <c:pt idx="581">
                  <c:v>-43.579818725585938</c:v>
                </c:pt>
                <c:pt idx="582">
                  <c:v>-43.452465057373047</c:v>
                </c:pt>
                <c:pt idx="583">
                  <c:v>-43.487949371337891</c:v>
                </c:pt>
                <c:pt idx="584">
                  <c:v>-43.328273773193359</c:v>
                </c:pt>
                <c:pt idx="585">
                  <c:v>-43.310787200927734</c:v>
                </c:pt>
                <c:pt idx="586">
                  <c:v>-43.282627105712891</c:v>
                </c:pt>
                <c:pt idx="587">
                  <c:v>-43.347343444824219</c:v>
                </c:pt>
                <c:pt idx="588">
                  <c:v>-43.206108093261719</c:v>
                </c:pt>
                <c:pt idx="589">
                  <c:v>-43.365016937255859</c:v>
                </c:pt>
                <c:pt idx="590">
                  <c:v>-43.202377319335938</c:v>
                </c:pt>
                <c:pt idx="591">
                  <c:v>-42.893501281738281</c:v>
                </c:pt>
                <c:pt idx="592">
                  <c:v>-42.704032897949219</c:v>
                </c:pt>
                <c:pt idx="593">
                  <c:v>-42.510261535644531</c:v>
                </c:pt>
                <c:pt idx="594">
                  <c:v>-42.294429779052734</c:v>
                </c:pt>
                <c:pt idx="595">
                  <c:v>-42.149257659912109</c:v>
                </c:pt>
                <c:pt idx="596">
                  <c:v>-42.292251586914063</c:v>
                </c:pt>
                <c:pt idx="597">
                  <c:v>-42.178314208984375</c:v>
                </c:pt>
                <c:pt idx="598">
                  <c:v>-41.703041076660156</c:v>
                </c:pt>
                <c:pt idx="599">
                  <c:v>-41.017601013183594</c:v>
                </c:pt>
                <c:pt idx="600">
                  <c:v>-40.420467376708984</c:v>
                </c:pt>
                <c:pt idx="601">
                  <c:v>-39.511322021484375</c:v>
                </c:pt>
                <c:pt idx="602">
                  <c:v>-39.156173706054688</c:v>
                </c:pt>
                <c:pt idx="603">
                  <c:v>-38.077938079833984</c:v>
                </c:pt>
                <c:pt idx="604">
                  <c:v>-37.424533843994141</c:v>
                </c:pt>
                <c:pt idx="605">
                  <c:v>-37.300998687744141</c:v>
                </c:pt>
                <c:pt idx="606">
                  <c:v>-37.225074768066406</c:v>
                </c:pt>
                <c:pt idx="607">
                  <c:v>-36.812339782714844</c:v>
                </c:pt>
                <c:pt idx="608">
                  <c:v>-36.555335998535156</c:v>
                </c:pt>
                <c:pt idx="609">
                  <c:v>-36.741870880126953</c:v>
                </c:pt>
                <c:pt idx="610">
                  <c:v>-36.740814208984375</c:v>
                </c:pt>
                <c:pt idx="611">
                  <c:v>-36.797286987304688</c:v>
                </c:pt>
                <c:pt idx="612">
                  <c:v>-36.919380187988281</c:v>
                </c:pt>
                <c:pt idx="613">
                  <c:v>-37.002346038818359</c:v>
                </c:pt>
                <c:pt idx="614">
                  <c:v>-37.131908416748047</c:v>
                </c:pt>
                <c:pt idx="615">
                  <c:v>-37.154506683349609</c:v>
                </c:pt>
                <c:pt idx="616">
                  <c:v>-37.052204132080078</c:v>
                </c:pt>
                <c:pt idx="617">
                  <c:v>-37.224720001220703</c:v>
                </c:pt>
                <c:pt idx="618">
                  <c:v>-37.239486694335938</c:v>
                </c:pt>
                <c:pt idx="619">
                  <c:v>-37.362003326416016</c:v>
                </c:pt>
                <c:pt idx="620">
                  <c:v>-37.247661590576172</c:v>
                </c:pt>
                <c:pt idx="621">
                  <c:v>-37.332244873046875</c:v>
                </c:pt>
                <c:pt idx="622">
                  <c:v>-37.559597015380859</c:v>
                </c:pt>
                <c:pt idx="623">
                  <c:v>-37.407760620117188</c:v>
                </c:pt>
                <c:pt idx="624">
                  <c:v>-37.4783935546875</c:v>
                </c:pt>
                <c:pt idx="625">
                  <c:v>-37.625839233398438</c:v>
                </c:pt>
                <c:pt idx="626">
                  <c:v>-37.539615631103516</c:v>
                </c:pt>
                <c:pt idx="627">
                  <c:v>-37.644622802734375</c:v>
                </c:pt>
                <c:pt idx="628">
                  <c:v>-37.734554290771484</c:v>
                </c:pt>
                <c:pt idx="629">
                  <c:v>-37.739997863769531</c:v>
                </c:pt>
                <c:pt idx="630">
                  <c:v>-37.687232971191406</c:v>
                </c:pt>
                <c:pt idx="631">
                  <c:v>-37.826148986816406</c:v>
                </c:pt>
                <c:pt idx="632">
                  <c:v>-37.802455902099609</c:v>
                </c:pt>
                <c:pt idx="633">
                  <c:v>-37.700515747070313</c:v>
                </c:pt>
                <c:pt idx="634">
                  <c:v>-37.650279998779297</c:v>
                </c:pt>
                <c:pt idx="635">
                  <c:v>-37.780265808105469</c:v>
                </c:pt>
                <c:pt idx="636">
                  <c:v>-37.902320861816406</c:v>
                </c:pt>
                <c:pt idx="637">
                  <c:v>-37.911628723144531</c:v>
                </c:pt>
                <c:pt idx="638">
                  <c:v>-37.952671051025391</c:v>
                </c:pt>
                <c:pt idx="639">
                  <c:v>-37.928371429443359</c:v>
                </c:pt>
                <c:pt idx="640">
                  <c:v>-37.957679748535156</c:v>
                </c:pt>
                <c:pt idx="641">
                  <c:v>-37.935955047607422</c:v>
                </c:pt>
                <c:pt idx="642">
                  <c:v>-37.951805114746094</c:v>
                </c:pt>
                <c:pt idx="643">
                  <c:v>-38.031494140625</c:v>
                </c:pt>
                <c:pt idx="644">
                  <c:v>-38.034584045410156</c:v>
                </c:pt>
                <c:pt idx="645">
                  <c:v>-38.029151916503906</c:v>
                </c:pt>
                <c:pt idx="646">
                  <c:v>-38.156661987304688</c:v>
                </c:pt>
                <c:pt idx="647">
                  <c:v>-38.256782531738281</c:v>
                </c:pt>
                <c:pt idx="648">
                  <c:v>-38.316356658935547</c:v>
                </c:pt>
                <c:pt idx="649">
                  <c:v>-38.346778869628906</c:v>
                </c:pt>
                <c:pt idx="650">
                  <c:v>-38.233860015869141</c:v>
                </c:pt>
                <c:pt idx="651">
                  <c:v>-38.163173675537109</c:v>
                </c:pt>
                <c:pt idx="652">
                  <c:v>-38.180995941162109</c:v>
                </c:pt>
                <c:pt idx="653">
                  <c:v>-38.44268798828125</c:v>
                </c:pt>
                <c:pt idx="654">
                  <c:v>-38.302322387695313</c:v>
                </c:pt>
                <c:pt idx="655">
                  <c:v>-38.207202911376953</c:v>
                </c:pt>
                <c:pt idx="656">
                  <c:v>-38.081661224365234</c:v>
                </c:pt>
                <c:pt idx="657">
                  <c:v>-37.944850921630859</c:v>
                </c:pt>
                <c:pt idx="658">
                  <c:v>-37.84423828125</c:v>
                </c:pt>
                <c:pt idx="659">
                  <c:v>-38.113563537597656</c:v>
                </c:pt>
                <c:pt idx="660">
                  <c:v>-38.171661376953125</c:v>
                </c:pt>
                <c:pt idx="661">
                  <c:v>-38.117435455322266</c:v>
                </c:pt>
                <c:pt idx="662">
                  <c:v>-37.949371337890625</c:v>
                </c:pt>
                <c:pt idx="663">
                  <c:v>-37.832096099853516</c:v>
                </c:pt>
                <c:pt idx="664">
                  <c:v>-37.784423828125</c:v>
                </c:pt>
                <c:pt idx="665">
                  <c:v>-37.740791320800781</c:v>
                </c:pt>
                <c:pt idx="666">
                  <c:v>-37.701255798339844</c:v>
                </c:pt>
                <c:pt idx="667">
                  <c:v>-37.570781707763672</c:v>
                </c:pt>
                <c:pt idx="668">
                  <c:v>-37.532241821289063</c:v>
                </c:pt>
                <c:pt idx="669">
                  <c:v>-37.49932861328125</c:v>
                </c:pt>
                <c:pt idx="670">
                  <c:v>-37.550426483154297</c:v>
                </c:pt>
                <c:pt idx="671">
                  <c:v>-37.546428680419922</c:v>
                </c:pt>
                <c:pt idx="672">
                  <c:v>-37.539962768554688</c:v>
                </c:pt>
                <c:pt idx="673">
                  <c:v>-37.664520263671875</c:v>
                </c:pt>
                <c:pt idx="674">
                  <c:v>-37.773933410644531</c:v>
                </c:pt>
                <c:pt idx="675">
                  <c:v>-39.385135650634766</c:v>
                </c:pt>
                <c:pt idx="676">
                  <c:v>-39.46160888671875</c:v>
                </c:pt>
                <c:pt idx="677">
                  <c:v>-40.524188995361328</c:v>
                </c:pt>
                <c:pt idx="678">
                  <c:v>-41.062824249267578</c:v>
                </c:pt>
                <c:pt idx="679">
                  <c:v>-41.933540344238281</c:v>
                </c:pt>
                <c:pt idx="680">
                  <c:v>-42.565834045410156</c:v>
                </c:pt>
                <c:pt idx="681">
                  <c:v>-42.718704223632813</c:v>
                </c:pt>
                <c:pt idx="682">
                  <c:v>-42.810466766357422</c:v>
                </c:pt>
                <c:pt idx="683">
                  <c:v>-42.879951477050781</c:v>
                </c:pt>
                <c:pt idx="684">
                  <c:v>-42.972694396972656</c:v>
                </c:pt>
                <c:pt idx="685">
                  <c:v>-43.010688781738281</c:v>
                </c:pt>
                <c:pt idx="686">
                  <c:v>-43.102554321289063</c:v>
                </c:pt>
                <c:pt idx="687">
                  <c:v>-43.255710601806641</c:v>
                </c:pt>
                <c:pt idx="688">
                  <c:v>-43.340427398681641</c:v>
                </c:pt>
                <c:pt idx="689">
                  <c:v>-43.471935272216797</c:v>
                </c:pt>
                <c:pt idx="690">
                  <c:v>-43.540599822998047</c:v>
                </c:pt>
                <c:pt idx="691">
                  <c:v>-43.381210327148438</c:v>
                </c:pt>
                <c:pt idx="692">
                  <c:v>-43.253231048583984</c:v>
                </c:pt>
                <c:pt idx="693">
                  <c:v>-43.222202301025391</c:v>
                </c:pt>
                <c:pt idx="694">
                  <c:v>-43.157749176025391</c:v>
                </c:pt>
                <c:pt idx="695">
                  <c:v>-42.983364105224609</c:v>
                </c:pt>
                <c:pt idx="696">
                  <c:v>-42.984062194824219</c:v>
                </c:pt>
                <c:pt idx="697">
                  <c:v>-43.003101348876953</c:v>
                </c:pt>
                <c:pt idx="698">
                  <c:v>-43.01129150390625</c:v>
                </c:pt>
                <c:pt idx="699">
                  <c:v>-43.055744171142578</c:v>
                </c:pt>
                <c:pt idx="700">
                  <c:v>-43.082366943359375</c:v>
                </c:pt>
                <c:pt idx="701">
                  <c:v>-43.080833435058594</c:v>
                </c:pt>
                <c:pt idx="702">
                  <c:v>-43.031948089599609</c:v>
                </c:pt>
                <c:pt idx="703">
                  <c:v>-43.053466796875</c:v>
                </c:pt>
                <c:pt idx="704">
                  <c:v>-43.261993408203125</c:v>
                </c:pt>
                <c:pt idx="705">
                  <c:v>-43.213573455810547</c:v>
                </c:pt>
                <c:pt idx="706">
                  <c:v>-43.174957275390625</c:v>
                </c:pt>
                <c:pt idx="707">
                  <c:v>-43.157447814941406</c:v>
                </c:pt>
                <c:pt idx="708">
                  <c:v>-43.115081787109375</c:v>
                </c:pt>
                <c:pt idx="709">
                  <c:v>-43.056606292724609</c:v>
                </c:pt>
                <c:pt idx="710">
                  <c:v>-43.069480895996094</c:v>
                </c:pt>
                <c:pt idx="711">
                  <c:v>-43.225490570068359</c:v>
                </c:pt>
                <c:pt idx="712">
                  <c:v>-43.277004241943359</c:v>
                </c:pt>
                <c:pt idx="713">
                  <c:v>-43.286956787109375</c:v>
                </c:pt>
                <c:pt idx="714">
                  <c:v>-43.197902679443359</c:v>
                </c:pt>
                <c:pt idx="715">
                  <c:v>-43.248935699462891</c:v>
                </c:pt>
                <c:pt idx="716">
                  <c:v>-43.266502380371094</c:v>
                </c:pt>
                <c:pt idx="717">
                  <c:v>-43.250347137451172</c:v>
                </c:pt>
                <c:pt idx="718">
                  <c:v>-43.309856414794922</c:v>
                </c:pt>
                <c:pt idx="719">
                  <c:v>-43.34954833984375</c:v>
                </c:pt>
                <c:pt idx="720">
                  <c:v>-43.380496978759766</c:v>
                </c:pt>
                <c:pt idx="721">
                  <c:v>-43.491256713867188</c:v>
                </c:pt>
                <c:pt idx="722">
                  <c:v>-43.584381103515625</c:v>
                </c:pt>
                <c:pt idx="723">
                  <c:v>-43.7056884765625</c:v>
                </c:pt>
                <c:pt idx="724">
                  <c:v>-43.775890350341797</c:v>
                </c:pt>
                <c:pt idx="725">
                  <c:v>-43.773586273193359</c:v>
                </c:pt>
                <c:pt idx="726">
                  <c:v>-43.633514404296875</c:v>
                </c:pt>
                <c:pt idx="727">
                  <c:v>-43.636611938476563</c:v>
                </c:pt>
                <c:pt idx="728">
                  <c:v>-43.737113952636719</c:v>
                </c:pt>
                <c:pt idx="729">
                  <c:v>-43.721023559570313</c:v>
                </c:pt>
                <c:pt idx="730">
                  <c:v>-43.666294097900391</c:v>
                </c:pt>
                <c:pt idx="731">
                  <c:v>-43.714702606201172</c:v>
                </c:pt>
                <c:pt idx="732">
                  <c:v>-43.586715698242188</c:v>
                </c:pt>
                <c:pt idx="733">
                  <c:v>-43.543300628662109</c:v>
                </c:pt>
                <c:pt idx="734">
                  <c:v>-43.396091461181641</c:v>
                </c:pt>
                <c:pt idx="735">
                  <c:v>-43.318931579589844</c:v>
                </c:pt>
                <c:pt idx="736">
                  <c:v>-43.181385040283203</c:v>
                </c:pt>
                <c:pt idx="737">
                  <c:v>-43.367454528808594</c:v>
                </c:pt>
                <c:pt idx="738">
                  <c:v>-43.346645355224609</c:v>
                </c:pt>
                <c:pt idx="739">
                  <c:v>-43.266208648681641</c:v>
                </c:pt>
                <c:pt idx="740">
                  <c:v>-43.046600341796875</c:v>
                </c:pt>
                <c:pt idx="741">
                  <c:v>-42.691810607910156</c:v>
                </c:pt>
                <c:pt idx="742">
                  <c:v>-42.599700927734375</c:v>
                </c:pt>
                <c:pt idx="743">
                  <c:v>-42.505294799804688</c:v>
                </c:pt>
                <c:pt idx="744">
                  <c:v>-42.220306396484375</c:v>
                </c:pt>
                <c:pt idx="745">
                  <c:v>-42.023406982421875</c:v>
                </c:pt>
                <c:pt idx="746">
                  <c:v>-42.082057952880859</c:v>
                </c:pt>
                <c:pt idx="747">
                  <c:v>-41.952785491943359</c:v>
                </c:pt>
                <c:pt idx="748">
                  <c:v>-41.605354309082031</c:v>
                </c:pt>
                <c:pt idx="749">
                  <c:v>-41.205726623535156</c:v>
                </c:pt>
                <c:pt idx="750">
                  <c:v>-40.091121673583984</c:v>
                </c:pt>
                <c:pt idx="751">
                  <c:v>-39.78961181640625</c:v>
                </c:pt>
                <c:pt idx="752">
                  <c:v>-38.761074066162109</c:v>
                </c:pt>
                <c:pt idx="753">
                  <c:v>-38.208278656005859</c:v>
                </c:pt>
                <c:pt idx="754">
                  <c:v>-37.613662719726563</c:v>
                </c:pt>
                <c:pt idx="755">
                  <c:v>-37.422817230224609</c:v>
                </c:pt>
                <c:pt idx="756">
                  <c:v>-36.899379730224609</c:v>
                </c:pt>
                <c:pt idx="757">
                  <c:v>-36.681671142578125</c:v>
                </c:pt>
                <c:pt idx="758">
                  <c:v>-36.415912628173828</c:v>
                </c:pt>
                <c:pt idx="759">
                  <c:v>-36.568698883056641</c:v>
                </c:pt>
                <c:pt idx="760">
                  <c:v>-36.71282958984375</c:v>
                </c:pt>
                <c:pt idx="761">
                  <c:v>-36.855976104736328</c:v>
                </c:pt>
                <c:pt idx="762">
                  <c:v>-36.994899749755859</c:v>
                </c:pt>
                <c:pt idx="763">
                  <c:v>-37.077919006347656</c:v>
                </c:pt>
                <c:pt idx="764">
                  <c:v>-37.104583740234375</c:v>
                </c:pt>
                <c:pt idx="765">
                  <c:v>-37.116752624511719</c:v>
                </c:pt>
                <c:pt idx="766">
                  <c:v>-37.195747375488281</c:v>
                </c:pt>
                <c:pt idx="767">
                  <c:v>-37.252731323242188</c:v>
                </c:pt>
                <c:pt idx="768">
                  <c:v>-37.246601104736328</c:v>
                </c:pt>
                <c:pt idx="769">
                  <c:v>-37.230632781982422</c:v>
                </c:pt>
                <c:pt idx="770">
                  <c:v>-37.272079467773438</c:v>
                </c:pt>
                <c:pt idx="771">
                  <c:v>-37.476993560791016</c:v>
                </c:pt>
                <c:pt idx="772">
                  <c:v>-37.585643768310547</c:v>
                </c:pt>
                <c:pt idx="773">
                  <c:v>-37.478130340576172</c:v>
                </c:pt>
                <c:pt idx="774">
                  <c:v>-37.591381072998047</c:v>
                </c:pt>
                <c:pt idx="775">
                  <c:v>-37.701713562011719</c:v>
                </c:pt>
                <c:pt idx="776">
                  <c:v>-37.536026000976563</c:v>
                </c:pt>
                <c:pt idx="777">
                  <c:v>-37.72900390625</c:v>
                </c:pt>
                <c:pt idx="778">
                  <c:v>-37.857212066650391</c:v>
                </c:pt>
                <c:pt idx="779">
                  <c:v>-37.768661499023438</c:v>
                </c:pt>
                <c:pt idx="780">
                  <c:v>-37.887626647949219</c:v>
                </c:pt>
                <c:pt idx="781">
                  <c:v>-37.869094848632813</c:v>
                </c:pt>
                <c:pt idx="782">
                  <c:v>-37.807418823242188</c:v>
                </c:pt>
                <c:pt idx="783">
                  <c:v>-37.782230377197266</c:v>
                </c:pt>
                <c:pt idx="784">
                  <c:v>-37.681720733642578</c:v>
                </c:pt>
                <c:pt idx="785">
                  <c:v>-37.778785705566406</c:v>
                </c:pt>
                <c:pt idx="786">
                  <c:v>-37.969539642333984</c:v>
                </c:pt>
                <c:pt idx="787">
                  <c:v>-37.967510223388672</c:v>
                </c:pt>
                <c:pt idx="788">
                  <c:v>-37.966075897216797</c:v>
                </c:pt>
                <c:pt idx="789">
                  <c:v>-37.96240234375</c:v>
                </c:pt>
                <c:pt idx="790">
                  <c:v>-37.970607757568359</c:v>
                </c:pt>
                <c:pt idx="791">
                  <c:v>-38.017261505126953</c:v>
                </c:pt>
                <c:pt idx="792">
                  <c:v>-38.049106597900391</c:v>
                </c:pt>
                <c:pt idx="793">
                  <c:v>-38.085216522216797</c:v>
                </c:pt>
                <c:pt idx="794">
                  <c:v>-38.118011474609375</c:v>
                </c:pt>
                <c:pt idx="795">
                  <c:v>-38.12567138671875</c:v>
                </c:pt>
                <c:pt idx="796">
                  <c:v>-38.243007659912109</c:v>
                </c:pt>
                <c:pt idx="797">
                  <c:v>-38.317192077636719</c:v>
                </c:pt>
                <c:pt idx="798">
                  <c:v>-38.329692840576172</c:v>
                </c:pt>
                <c:pt idx="799">
                  <c:v>-38.373981475830078</c:v>
                </c:pt>
                <c:pt idx="800">
                  <c:v>-38.220882415771484</c:v>
                </c:pt>
                <c:pt idx="801">
                  <c:v>-38.153106689453125</c:v>
                </c:pt>
                <c:pt idx="802">
                  <c:v>-38.291244506835938</c:v>
                </c:pt>
                <c:pt idx="803">
                  <c:v>-38.325092315673828</c:v>
                </c:pt>
                <c:pt idx="804">
                  <c:v>-38.214344024658203</c:v>
                </c:pt>
                <c:pt idx="805">
                  <c:v>-38.075447082519531</c:v>
                </c:pt>
                <c:pt idx="806">
                  <c:v>-37.984260559082031</c:v>
                </c:pt>
                <c:pt idx="807">
                  <c:v>-38.005859375</c:v>
                </c:pt>
                <c:pt idx="808">
                  <c:v>-38.057849884033203</c:v>
                </c:pt>
                <c:pt idx="809">
                  <c:v>-37.923679351806641</c:v>
                </c:pt>
                <c:pt idx="810">
                  <c:v>-37.844745635986328</c:v>
                </c:pt>
                <c:pt idx="811">
                  <c:v>-37.744789123535156</c:v>
                </c:pt>
                <c:pt idx="812">
                  <c:v>-37.990444183349609</c:v>
                </c:pt>
                <c:pt idx="813">
                  <c:v>-38.108810424804688</c:v>
                </c:pt>
                <c:pt idx="814">
                  <c:v>-38.030330657958984</c:v>
                </c:pt>
                <c:pt idx="815">
                  <c:v>-37.97296142578125</c:v>
                </c:pt>
                <c:pt idx="816">
                  <c:v>-37.955535888671875</c:v>
                </c:pt>
                <c:pt idx="817">
                  <c:v>-37.874855041503906</c:v>
                </c:pt>
                <c:pt idx="818">
                  <c:v>-37.845867156982422</c:v>
                </c:pt>
                <c:pt idx="819">
                  <c:v>-37.869956970214844</c:v>
                </c:pt>
                <c:pt idx="820">
                  <c:v>-37.889190673828125</c:v>
                </c:pt>
                <c:pt idx="821">
                  <c:v>-37.915668487548828</c:v>
                </c:pt>
                <c:pt idx="822">
                  <c:v>-38.001827239990234</c:v>
                </c:pt>
                <c:pt idx="823">
                  <c:v>-38.094944000244141</c:v>
                </c:pt>
                <c:pt idx="824">
                  <c:v>-38.088642120361328</c:v>
                </c:pt>
                <c:pt idx="825">
                  <c:v>-38.852729797363281</c:v>
                </c:pt>
                <c:pt idx="826">
                  <c:v>-39.834896087646484</c:v>
                </c:pt>
                <c:pt idx="827">
                  <c:v>-40.264759063720703</c:v>
                </c:pt>
                <c:pt idx="828">
                  <c:v>-41.750747680664063</c:v>
                </c:pt>
                <c:pt idx="829">
                  <c:v>-41.880107879638672</c:v>
                </c:pt>
                <c:pt idx="830">
                  <c:v>-42.693111419677734</c:v>
                </c:pt>
                <c:pt idx="831">
                  <c:v>-43.176376342773438</c:v>
                </c:pt>
                <c:pt idx="832">
                  <c:v>-43.237453460693359</c:v>
                </c:pt>
                <c:pt idx="833">
                  <c:v>-43.277572631835938</c:v>
                </c:pt>
                <c:pt idx="834">
                  <c:v>-43.326377868652344</c:v>
                </c:pt>
                <c:pt idx="835">
                  <c:v>-43.443645477294922</c:v>
                </c:pt>
                <c:pt idx="836">
                  <c:v>-43.560077667236328</c:v>
                </c:pt>
                <c:pt idx="837">
                  <c:v>-43.423976898193359</c:v>
                </c:pt>
                <c:pt idx="838">
                  <c:v>-43.199493408203125</c:v>
                </c:pt>
                <c:pt idx="839">
                  <c:v>-43.211769104003906</c:v>
                </c:pt>
                <c:pt idx="840">
                  <c:v>-43.295047760009766</c:v>
                </c:pt>
                <c:pt idx="841">
                  <c:v>-43.298488616943359</c:v>
                </c:pt>
                <c:pt idx="842">
                  <c:v>-43.281215667724609</c:v>
                </c:pt>
                <c:pt idx="843">
                  <c:v>-43.409927368164063</c:v>
                </c:pt>
                <c:pt idx="844">
                  <c:v>-43.208335876464844</c:v>
                </c:pt>
                <c:pt idx="845">
                  <c:v>-43.026432037353516</c:v>
                </c:pt>
                <c:pt idx="846">
                  <c:v>-43.049190521240234</c:v>
                </c:pt>
                <c:pt idx="847">
                  <c:v>-43.041481018066406</c:v>
                </c:pt>
                <c:pt idx="848">
                  <c:v>-43.046932220458984</c:v>
                </c:pt>
                <c:pt idx="849">
                  <c:v>-43.092411041259766</c:v>
                </c:pt>
                <c:pt idx="850">
                  <c:v>-43.122364044189453</c:v>
                </c:pt>
                <c:pt idx="851">
                  <c:v>-43.175174713134766</c:v>
                </c:pt>
                <c:pt idx="852">
                  <c:v>-43.009777069091797</c:v>
                </c:pt>
                <c:pt idx="853">
                  <c:v>-43.173744201660156</c:v>
                </c:pt>
                <c:pt idx="854">
                  <c:v>-43.183399200439453</c:v>
                </c:pt>
                <c:pt idx="855">
                  <c:v>-43.168632507324219</c:v>
                </c:pt>
                <c:pt idx="856">
                  <c:v>-42.969078063964844</c:v>
                </c:pt>
                <c:pt idx="857">
                  <c:v>-43.111316680908203</c:v>
                </c:pt>
                <c:pt idx="858">
                  <c:v>-43.19232177734375</c:v>
                </c:pt>
                <c:pt idx="859">
                  <c:v>-43.085758209228516</c:v>
                </c:pt>
                <c:pt idx="860">
                  <c:v>-43.094520568847656</c:v>
                </c:pt>
                <c:pt idx="861">
                  <c:v>-43.229747772216797</c:v>
                </c:pt>
                <c:pt idx="862">
                  <c:v>-43.27764892578125</c:v>
                </c:pt>
                <c:pt idx="863">
                  <c:v>-43.299205780029297</c:v>
                </c:pt>
                <c:pt idx="864">
                  <c:v>-43.232913970947266</c:v>
                </c:pt>
                <c:pt idx="865">
                  <c:v>-43.256797790527344</c:v>
                </c:pt>
                <c:pt idx="866">
                  <c:v>-43.299365997314453</c:v>
                </c:pt>
                <c:pt idx="867">
                  <c:v>-43.313819885253906</c:v>
                </c:pt>
                <c:pt idx="868">
                  <c:v>-43.345417022705078</c:v>
                </c:pt>
                <c:pt idx="869">
                  <c:v>-43.395626068115234</c:v>
                </c:pt>
                <c:pt idx="870">
                  <c:v>-43.525539398193359</c:v>
                </c:pt>
                <c:pt idx="871">
                  <c:v>-43.577350616455078</c:v>
                </c:pt>
                <c:pt idx="872">
                  <c:v>-43.644969940185547</c:v>
                </c:pt>
                <c:pt idx="873">
                  <c:v>-43.787998199462891</c:v>
                </c:pt>
                <c:pt idx="874">
                  <c:v>-43.918285369873047</c:v>
                </c:pt>
                <c:pt idx="875">
                  <c:v>-44.058681488037109</c:v>
                </c:pt>
                <c:pt idx="876">
                  <c:v>-43.764644622802734</c:v>
                </c:pt>
                <c:pt idx="877">
                  <c:v>-43.658096313476563</c:v>
                </c:pt>
                <c:pt idx="878">
                  <c:v>-43.718708038330078</c:v>
                </c:pt>
                <c:pt idx="879">
                  <c:v>-43.731967926025391</c:v>
                </c:pt>
                <c:pt idx="880">
                  <c:v>-43.664649963378906</c:v>
                </c:pt>
                <c:pt idx="881">
                  <c:v>-43.589519500732422</c:v>
                </c:pt>
                <c:pt idx="882">
                  <c:v>-43.526294708251953</c:v>
                </c:pt>
                <c:pt idx="883">
                  <c:v>-43.567466735839844</c:v>
                </c:pt>
                <c:pt idx="884">
                  <c:v>-43.355537414550781</c:v>
                </c:pt>
                <c:pt idx="885">
                  <c:v>-43.18359375</c:v>
                </c:pt>
                <c:pt idx="886">
                  <c:v>-43.264698028564453</c:v>
                </c:pt>
                <c:pt idx="887">
                  <c:v>-43.378543853759766</c:v>
                </c:pt>
                <c:pt idx="888">
                  <c:v>-43.330158233642578</c:v>
                </c:pt>
                <c:pt idx="889">
                  <c:v>-43.318603515625</c:v>
                </c:pt>
                <c:pt idx="890">
                  <c:v>-43.061500549316406</c:v>
                </c:pt>
                <c:pt idx="891">
                  <c:v>-42.904823303222656</c:v>
                </c:pt>
                <c:pt idx="892">
                  <c:v>-42.667331695556641</c:v>
                </c:pt>
                <c:pt idx="893">
                  <c:v>-42.484260559082031</c:v>
                </c:pt>
                <c:pt idx="894">
                  <c:v>-42.257652282714844</c:v>
                </c:pt>
                <c:pt idx="895">
                  <c:v>-42.051296234130859</c:v>
                </c:pt>
                <c:pt idx="896">
                  <c:v>-42.162471771240234</c:v>
                </c:pt>
                <c:pt idx="897">
                  <c:v>-42.134788513183594</c:v>
                </c:pt>
                <c:pt idx="898">
                  <c:v>-41.621894836425781</c:v>
                </c:pt>
                <c:pt idx="899">
                  <c:v>-40.924636840820313</c:v>
                </c:pt>
                <c:pt idx="900">
                  <c:v>-40.321147918701172</c:v>
                </c:pt>
                <c:pt idx="901">
                  <c:v>-39.63055419921875</c:v>
                </c:pt>
                <c:pt idx="902">
                  <c:v>-38.859767913818359</c:v>
                </c:pt>
                <c:pt idx="903">
                  <c:v>-37.990287780761719</c:v>
                </c:pt>
                <c:pt idx="904">
                  <c:v>-37.34686279296875</c:v>
                </c:pt>
                <c:pt idx="905">
                  <c:v>-37.254974365234375</c:v>
                </c:pt>
                <c:pt idx="906">
                  <c:v>-37.203090667724609</c:v>
                </c:pt>
                <c:pt idx="907">
                  <c:v>-36.833835601806641</c:v>
                </c:pt>
                <c:pt idx="908">
                  <c:v>-36.648807525634766</c:v>
                </c:pt>
                <c:pt idx="909">
                  <c:v>-36.773910522460938</c:v>
                </c:pt>
                <c:pt idx="910">
                  <c:v>-36.729213714599609</c:v>
                </c:pt>
                <c:pt idx="911">
                  <c:v>-36.866645812988281</c:v>
                </c:pt>
                <c:pt idx="912">
                  <c:v>-37.057907104492188</c:v>
                </c:pt>
                <c:pt idx="913">
                  <c:v>-37.015640258789063</c:v>
                </c:pt>
                <c:pt idx="914">
                  <c:v>-37.111774444580078</c:v>
                </c:pt>
                <c:pt idx="915">
                  <c:v>-36.960693359375</c:v>
                </c:pt>
                <c:pt idx="916">
                  <c:v>-37.050682067871094</c:v>
                </c:pt>
                <c:pt idx="917">
                  <c:v>-37.291072845458984</c:v>
                </c:pt>
                <c:pt idx="918">
                  <c:v>-37.296726226806641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FB-49EA-8E7B-7A939A678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-2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Y position (mm)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48650112"/>
        <c:crosses val="autoZero"/>
        <c:crossBetween val="midCat"/>
        <c:majorUnit val="10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X position (mm)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Commanded path</c:v>
          </c:tx>
          <c:spPr>
            <a:ln w="25400"/>
          </c:spPr>
          <c:marker>
            <c:symbol val="none"/>
          </c:marker>
          <c:xVal>
            <c:numRef>
              <c:f>'Commanded Path'!$J$2:$J$361</c:f>
              <c:numCache>
                <c:formatCode>0.000</c:formatCode>
                <c:ptCount val="360"/>
                <c:pt idx="0">
                  <c:v>54.66974200905706</c:v>
                </c:pt>
                <c:pt idx="1">
                  <c:v>54.599466463093044</c:v>
                </c:pt>
                <c:pt idx="2">
                  <c:v>53.560973697296554</c:v>
                </c:pt>
                <c:pt idx="3">
                  <c:v>53.489933161739437</c:v>
                </c:pt>
                <c:pt idx="4">
                  <c:v>53.119633131866252</c:v>
                </c:pt>
                <c:pt idx="5">
                  <c:v>53.046541782642869</c:v>
                </c:pt>
                <c:pt idx="6">
                  <c:v>52.007652158021621</c:v>
                </c:pt>
                <c:pt idx="7">
                  <c:v>51.63669967929323</c:v>
                </c:pt>
                <c:pt idx="8">
                  <c:v>51.563037665930516</c:v>
                </c:pt>
                <c:pt idx="9">
                  <c:v>51.191881679189116</c:v>
                </c:pt>
                <c:pt idx="10">
                  <c:v>50.151974570620439</c:v>
                </c:pt>
                <c:pt idx="11">
                  <c:v>49.780666849985494</c:v>
                </c:pt>
                <c:pt idx="12">
                  <c:v>49.706751956098316</c:v>
                </c:pt>
                <c:pt idx="13">
                  <c:v>49.335445464160927</c:v>
                </c:pt>
                <c:pt idx="14">
                  <c:v>48.964170303552677</c:v>
                </c:pt>
                <c:pt idx="15">
                  <c:v>48.592946950332987</c:v>
                </c:pt>
                <c:pt idx="16">
                  <c:v>48.221795877704125</c:v>
                </c:pt>
                <c:pt idx="17">
                  <c:v>47.182389994375271</c:v>
                </c:pt>
                <c:pt idx="18">
                  <c:v>46.811578557224848</c:v>
                </c:pt>
                <c:pt idx="19">
                  <c:v>46.440921242323498</c:v>
                </c:pt>
                <c:pt idx="20">
                  <c:v>46.070438491656063</c:v>
                </c:pt>
                <c:pt idx="21">
                  <c:v>45.700150737580188</c:v>
                </c:pt>
                <c:pt idx="22">
                  <c:v>45.330078401699119</c:v>
                </c:pt>
                <c:pt idx="23">
                  <c:v>44.960241893735748</c:v>
                </c:pt>
                <c:pt idx="24">
                  <c:v>44.59066161040699</c:v>
                </c:pt>
                <c:pt idx="25">
                  <c:v>43.922312633205053</c:v>
                </c:pt>
                <c:pt idx="26">
                  <c:v>43.553305931648019</c:v>
                </c:pt>
                <c:pt idx="27">
                  <c:v>43.184616555594801</c:v>
                </c:pt>
                <c:pt idx="28">
                  <c:v>42.816264838497176</c:v>
                </c:pt>
                <c:pt idx="29">
                  <c:v>42.448271095184765</c:v>
                </c:pt>
                <c:pt idx="30">
                  <c:v>41.779983962686558</c:v>
                </c:pt>
                <c:pt idx="31">
                  <c:v>41.412767031344565</c:v>
                </c:pt>
                <c:pt idx="32">
                  <c:v>41.045968895345993</c:v>
                </c:pt>
                <c:pt idx="33">
                  <c:v>40.377328351048348</c:v>
                </c:pt>
                <c:pt idx="34">
                  <c:v>40.011428468970308</c:v>
                </c:pt>
                <c:pt idx="35">
                  <c:v>39.646007995930105</c:v>
                </c:pt>
                <c:pt idx="36">
                  <c:v>38.977212548585079</c:v>
                </c:pt>
                <c:pt idx="37">
                  <c:v>38.612811325578505</c:v>
                </c:pt>
                <c:pt idx="38">
                  <c:v>38.916685862090851</c:v>
                </c:pt>
                <c:pt idx="39">
                  <c:v>38.248949887355494</c:v>
                </c:pt>
                <c:pt idx="40">
                  <c:v>37.88564830110397</c:v>
                </c:pt>
                <c:pt idx="41">
                  <c:v>37.21747572177479</c:v>
                </c:pt>
                <c:pt idx="42">
                  <c:v>36.855353916420498</c:v>
                </c:pt>
                <c:pt idx="43">
                  <c:v>36.186841594525418</c:v>
                </c:pt>
                <c:pt idx="44">
                  <c:v>35.825979453951327</c:v>
                </c:pt>
                <c:pt idx="45">
                  <c:v>35.157224068448087</c:v>
                </c:pt>
                <c:pt idx="46">
                  <c:v>34.797701198655901</c:v>
                </c:pt>
                <c:pt idx="47">
                  <c:v>34.797701198655901</c:v>
                </c:pt>
                <c:pt idx="48">
                  <c:v>34.438877724863744</c:v>
                </c:pt>
                <c:pt idx="49">
                  <c:v>33.770694938454767</c:v>
                </c:pt>
                <c:pt idx="50">
                  <c:v>33.413329585022339</c:v>
                </c:pt>
                <c:pt idx="51">
                  <c:v>32.745135928266592</c:v>
                </c:pt>
                <c:pt idx="52">
                  <c:v>32.076229317447357</c:v>
                </c:pt>
                <c:pt idx="53">
                  <c:v>32.389307529806047</c:v>
                </c:pt>
                <c:pt idx="54">
                  <c:v>31.721198854176102</c:v>
                </c:pt>
                <c:pt idx="55">
                  <c:v>31.366985906248228</c:v>
                </c:pt>
                <c:pt idx="56">
                  <c:v>30.699057797741723</c:v>
                </c:pt>
                <c:pt idx="57">
                  <c:v>30.030529577672034</c:v>
                </c:pt>
                <c:pt idx="58">
                  <c:v>30.030529577672034</c:v>
                </c:pt>
                <c:pt idx="59">
                  <c:v>29.678886200449984</c:v>
                </c:pt>
                <c:pt idx="60">
                  <c:v>29.010690112904513</c:v>
                </c:pt>
                <c:pt idx="61">
                  <c:v>28.341987028339293</c:v>
                </c:pt>
                <c:pt idx="62">
                  <c:v>27.993087755593571</c:v>
                </c:pt>
                <c:pt idx="63">
                  <c:v>27.993087755593571</c:v>
                </c:pt>
                <c:pt idx="64">
                  <c:v>27.324867807255188</c:v>
                </c:pt>
                <c:pt idx="65">
                  <c:v>26.656233836061247</c:v>
                </c:pt>
                <c:pt idx="66">
                  <c:v>25.987222717597252</c:v>
                </c:pt>
                <c:pt idx="67">
                  <c:v>26.310251839560525</c:v>
                </c:pt>
                <c:pt idx="68">
                  <c:v>25.642251381325664</c:v>
                </c:pt>
                <c:pt idx="69">
                  <c:v>24.973929697593135</c:v>
                </c:pt>
                <c:pt idx="70">
                  <c:v>24.973929697593135</c:v>
                </c:pt>
                <c:pt idx="71">
                  <c:v>24.305323646725594</c:v>
                </c:pt>
                <c:pt idx="72">
                  <c:v>23.636470102768758</c:v>
                </c:pt>
                <c:pt idx="73">
                  <c:v>23.295731088177391</c:v>
                </c:pt>
                <c:pt idx="74">
                  <c:v>23.295731088177391</c:v>
                </c:pt>
                <c:pt idx="75">
                  <c:v>22.627772147666729</c:v>
                </c:pt>
                <c:pt idx="76">
                  <c:v>21.959658232090721</c:v>
                </c:pt>
                <c:pt idx="77">
                  <c:v>21.959658232090721</c:v>
                </c:pt>
                <c:pt idx="78">
                  <c:v>21.291426188353515</c:v>
                </c:pt>
                <c:pt idx="79">
                  <c:v>20.62311286987407</c:v>
                </c:pt>
                <c:pt idx="80">
                  <c:v>20.62311286987407</c:v>
                </c:pt>
                <c:pt idx="81">
                  <c:v>19.95475513455375</c:v>
                </c:pt>
                <c:pt idx="82">
                  <c:v>19.286389842743478</c:v>
                </c:pt>
                <c:pt idx="83">
                  <c:v>19.286389842743478</c:v>
                </c:pt>
                <c:pt idx="84">
                  <c:v>18.61805385521091</c:v>
                </c:pt>
                <c:pt idx="85">
                  <c:v>18.61805385521091</c:v>
                </c:pt>
                <c:pt idx="86">
                  <c:v>17.949784031107644</c:v>
                </c:pt>
                <c:pt idx="87">
                  <c:v>17.281617225936227</c:v>
                </c:pt>
                <c:pt idx="88">
                  <c:v>17.281617225936227</c:v>
                </c:pt>
                <c:pt idx="89">
                  <c:v>16.613590289517667</c:v>
                </c:pt>
                <c:pt idx="90">
                  <c:v>16.613590289517667</c:v>
                </c:pt>
                <c:pt idx="91">
                  <c:v>15.604357786662025</c:v>
                </c:pt>
                <c:pt idx="92">
                  <c:v>14.935645802890196</c:v>
                </c:pt>
                <c:pt idx="93">
                  <c:v>14.935645802890196</c:v>
                </c:pt>
                <c:pt idx="94">
                  <c:v>14.267203069675844</c:v>
                </c:pt>
                <c:pt idx="95">
                  <c:v>14.267203069675844</c:v>
                </c:pt>
                <c:pt idx="96">
                  <c:v>13.599066452057709</c:v>
                </c:pt>
                <c:pt idx="97">
                  <c:v>13.253496521533606</c:v>
                </c:pt>
                <c:pt idx="98">
                  <c:v>12.584703458628507</c:v>
                </c:pt>
                <c:pt idx="99">
                  <c:v>11.916309302235049</c:v>
                </c:pt>
                <c:pt idx="100">
                  <c:v>11.916309302235049</c:v>
                </c:pt>
                <c:pt idx="101">
                  <c:v>11.24835091471283</c:v>
                </c:pt>
                <c:pt idx="102">
                  <c:v>10.898898244337037</c:v>
                </c:pt>
                <c:pt idx="103">
                  <c:v>10.230489829196852</c:v>
                </c:pt>
                <c:pt idx="104">
                  <c:v>10.230489829196852</c:v>
                </c:pt>
                <c:pt idx="105">
                  <c:v>9.2104476021883759</c:v>
                </c:pt>
                <c:pt idx="106">
                  <c:v>9.2104476021883759</c:v>
                </c:pt>
                <c:pt idx="107">
                  <c:v>9.2104476021883759</c:v>
                </c:pt>
                <c:pt idx="108">
                  <c:v>8.1883968731941508</c:v>
                </c:pt>
                <c:pt idx="109">
                  <c:v>8.1883968731941508</c:v>
                </c:pt>
                <c:pt idx="110">
                  <c:v>7.5200145807140863</c:v>
                </c:pt>
                <c:pt idx="111">
                  <c:v>7.1645109646160972</c:v>
                </c:pt>
                <c:pt idx="112">
                  <c:v>6.4960205372482331</c:v>
                </c:pt>
                <c:pt idx="113">
                  <c:v>6.4960205372482331</c:v>
                </c:pt>
                <c:pt idx="114">
                  <c:v>5.4704610995731588</c:v>
                </c:pt>
                <c:pt idx="115">
                  <c:v>5.4704610995731588</c:v>
                </c:pt>
                <c:pt idx="116">
                  <c:v>5.1119301004801319</c:v>
                </c:pt>
                <c:pt idx="117">
                  <c:v>4.4435111007719659</c:v>
                </c:pt>
                <c:pt idx="118">
                  <c:v>4.0835848851951866</c:v>
                </c:pt>
                <c:pt idx="119">
                  <c:v>3.4153459319270993</c:v>
                </c:pt>
                <c:pt idx="120">
                  <c:v>3.0541038994036569</c:v>
                </c:pt>
                <c:pt idx="121">
                  <c:v>3.0541038994036569</c:v>
                </c:pt>
                <c:pt idx="122">
                  <c:v>2.0236633465855789</c:v>
                </c:pt>
                <c:pt idx="123">
                  <c:v>2.0236633465855789</c:v>
                </c:pt>
                <c:pt idx="124">
                  <c:v>1.6605970929313827</c:v>
                </c:pt>
                <c:pt idx="125">
                  <c:v>0.62825755846657216</c:v>
                </c:pt>
                <c:pt idx="126">
                  <c:v>0.62825755846657216</c:v>
                </c:pt>
                <c:pt idx="127">
                  <c:v>0.26354728705327801</c:v>
                </c:pt>
                <c:pt idx="128">
                  <c:v>0.26354728705327801</c:v>
                </c:pt>
                <c:pt idx="129">
                  <c:v>-0.77031319177622848</c:v>
                </c:pt>
                <c:pt idx="130">
                  <c:v>-1.1364864615894703</c:v>
                </c:pt>
                <c:pt idx="131">
                  <c:v>-1.1364864615894703</c:v>
                </c:pt>
                <c:pt idx="132">
                  <c:v>-2.1714883927703994</c:v>
                </c:pt>
                <c:pt idx="133">
                  <c:v>-2.5389429154835383</c:v>
                </c:pt>
                <c:pt idx="134">
                  <c:v>-2.9067840220883454</c:v>
                </c:pt>
                <c:pt idx="135">
                  <c:v>-2.9067840220883454</c:v>
                </c:pt>
                <c:pt idx="136">
                  <c:v>-3.2749914259157116</c:v>
                </c:pt>
                <c:pt idx="137">
                  <c:v>-4.3121379860145055</c:v>
                </c:pt>
                <c:pt idx="138">
                  <c:v>-4.6813223650797582</c:v>
                </c:pt>
                <c:pt idx="139">
                  <c:v>-5.0507917038800869</c:v>
                </c:pt>
                <c:pt idx="140">
                  <c:v>-5.4205256259482759</c:v>
                </c:pt>
                <c:pt idx="141">
                  <c:v>-5.4205256259482759</c:v>
                </c:pt>
                <c:pt idx="142">
                  <c:v>-5.7905037402251196</c:v>
                </c:pt>
                <c:pt idx="143">
                  <c:v>-6.8291889238292427</c:v>
                </c:pt>
                <c:pt idx="144">
                  <c:v>-7.1997771393309478</c:v>
                </c:pt>
                <c:pt idx="145">
                  <c:v>-7.5705278593876955</c:v>
                </c:pt>
                <c:pt idx="146">
                  <c:v>-7.9414206368632847</c:v>
                </c:pt>
                <c:pt idx="147">
                  <c:v>-8.3124350167869565</c:v>
                </c:pt>
                <c:pt idx="148">
                  <c:v>-8.6835505374814446</c:v>
                </c:pt>
                <c:pt idx="149">
                  <c:v>-9.0547467316916084</c:v>
                </c:pt>
                <c:pt idx="150">
                  <c:v>-9.4260031277130381</c:v>
                </c:pt>
                <c:pt idx="151">
                  <c:v>-10.168614622900442</c:v>
                </c:pt>
                <c:pt idx="152">
                  <c:v>-10.53992876657377</c:v>
                </c:pt>
                <c:pt idx="153">
                  <c:v>-10.911221203331735</c:v>
                </c:pt>
                <c:pt idx="154">
                  <c:v>-11.282471456162092</c:v>
                </c:pt>
                <c:pt idx="155">
                  <c:v>-11.653659050379126</c:v>
                </c:pt>
                <c:pt idx="156">
                  <c:v>-12.395764382637431</c:v>
                </c:pt>
                <c:pt idx="157">
                  <c:v>-12.766641193101243</c:v>
                </c:pt>
                <c:pt idx="158">
                  <c:v>-13.137373492053932</c:v>
                </c:pt>
                <c:pt idx="159">
                  <c:v>-13.87832278004251</c:v>
                </c:pt>
                <c:pt idx="160">
                  <c:v>-13.580244771170072</c:v>
                </c:pt>
                <c:pt idx="161">
                  <c:v>-14.320370784700827</c:v>
                </c:pt>
                <c:pt idx="162">
                  <c:v>-14.690074033147567</c:v>
                </c:pt>
                <c:pt idx="163">
                  <c:v>-15.428659067690788</c:v>
                </c:pt>
                <c:pt idx="164">
                  <c:v>-15.726737076563232</c:v>
                </c:pt>
                <c:pt idx="165">
                  <c:v>-16.023162547776856</c:v>
                </c:pt>
                <c:pt idx="166">
                  <c:v>-16.686760185945481</c:v>
                </c:pt>
                <c:pt idx="167">
                  <c:v>-16.979831629726064</c:v>
                </c:pt>
                <c:pt idx="168">
                  <c:v>-16.902360716043511</c:v>
                </c:pt>
                <c:pt idx="169">
                  <c:v>-17.47993289734319</c:v>
                </c:pt>
                <c:pt idx="170">
                  <c:v>-17.396954270856462</c:v>
                </c:pt>
                <c:pt idx="171">
                  <c:v>-17.594547714269446</c:v>
                </c:pt>
                <c:pt idx="172">
                  <c:v>-17.784689099411146</c:v>
                </c:pt>
                <c:pt idx="173">
                  <c:v>-17.597099188997319</c:v>
                </c:pt>
                <c:pt idx="174">
                  <c:v>-17.129639099555554</c:v>
                </c:pt>
                <c:pt idx="175">
                  <c:v>-16.929375266531558</c:v>
                </c:pt>
                <c:pt idx="176">
                  <c:v>-16.455096156585299</c:v>
                </c:pt>
                <c:pt idx="177">
                  <c:v>-16.349817444734612</c:v>
                </c:pt>
                <c:pt idx="178">
                  <c:v>-15.871251632524157</c:v>
                </c:pt>
                <c:pt idx="179">
                  <c:v>-15.761967802748977</c:v>
                </c:pt>
                <c:pt idx="180">
                  <c:v>-15.279425606842743</c:v>
                </c:pt>
                <c:pt idx="181">
                  <c:v>-14.908169210821313</c:v>
                </c:pt>
                <c:pt idx="182">
                  <c:v>-13.905788196635491</c:v>
                </c:pt>
                <c:pt idx="183">
                  <c:v>-13.534773816711819</c:v>
                </c:pt>
                <c:pt idx="184">
                  <c:v>-13.163881039236252</c:v>
                </c:pt>
                <c:pt idx="185">
                  <c:v>-12.793130319179483</c:v>
                </c:pt>
                <c:pt idx="186">
                  <c:v>-12.422542103677806</c:v>
                </c:pt>
                <c:pt idx="187">
                  <c:v>-12.052136830905155</c:v>
                </c:pt>
                <c:pt idx="188">
                  <c:v>-11.681934928946124</c:v>
                </c:pt>
                <c:pt idx="189">
                  <c:v>-11.311956814669248</c:v>
                </c:pt>
                <c:pt idx="190">
                  <c:v>-10.94222289260107</c:v>
                </c:pt>
                <c:pt idx="191">
                  <c:v>-10.572753553800762</c:v>
                </c:pt>
                <c:pt idx="192">
                  <c:v>-9.9415388608373405</c:v>
                </c:pt>
                <c:pt idx="193">
                  <c:v>-9.5726598022587055</c:v>
                </c:pt>
                <c:pt idx="194">
                  <c:v>-9.2041064080795501</c:v>
                </c:pt>
                <c:pt idx="195">
                  <c:v>-8.8358990042521839</c:v>
                </c:pt>
                <c:pt idx="196">
                  <c:v>-8.4680578976473555</c:v>
                </c:pt>
                <c:pt idx="197">
                  <c:v>-7.4695788240838077</c:v>
                </c:pt>
                <c:pt idx="198">
                  <c:v>-7.4695788240838077</c:v>
                </c:pt>
                <c:pt idx="199">
                  <c:v>-7.102958242762675</c:v>
                </c:pt>
                <c:pt idx="200">
                  <c:v>-6.7367849729494296</c:v>
                </c:pt>
                <c:pt idx="201">
                  <c:v>-6.3710792093310324</c:v>
                </c:pt>
                <c:pt idx="202">
                  <c:v>-5.7399522384447792</c:v>
                </c:pt>
                <c:pt idx="203">
                  <c:v>-5.3752419670314566</c:v>
                </c:pt>
                <c:pt idx="204">
                  <c:v>-5.0110596267263965</c:v>
                </c:pt>
                <c:pt idx="205">
                  <c:v>-4.0165328264492572</c:v>
                </c:pt>
                <c:pt idx="206">
                  <c:v>-4.0165328264492572</c:v>
                </c:pt>
                <c:pt idx="207">
                  <c:v>-3.6540546667847806</c:v>
                </c:pt>
                <c:pt idx="208">
                  <c:v>-3.2921845920093311</c:v>
                </c:pt>
                <c:pt idx="209">
                  <c:v>-2.6612137680133188</c:v>
                </c:pt>
                <c:pt idx="210">
                  <c:v>-2.3006197004680224</c:v>
                </c:pt>
                <c:pt idx="211">
                  <c:v>-2.3006197004680224</c:v>
                </c:pt>
                <c:pt idx="212">
                  <c:v>-1.309838486520988</c:v>
                </c:pt>
                <c:pt idx="213">
                  <c:v>-0.95130748742796101</c:v>
                </c:pt>
                <c:pt idx="214">
                  <c:v>-0.3200145773562646</c:v>
                </c:pt>
                <c:pt idx="215">
                  <c:v>3.7042113499964557E-2</c:v>
                </c:pt>
                <c:pt idx="216">
                  <c:v>3.7042113499964557E-2</c:v>
                </c:pt>
                <c:pt idx="217">
                  <c:v>1.024182536955351</c:v>
                </c:pt>
                <c:pt idx="218">
                  <c:v>1.024182536955351</c:v>
                </c:pt>
                <c:pt idx="219">
                  <c:v>1.3788801846168397</c:v>
                </c:pt>
                <c:pt idx="220">
                  <c:v>2.0099415760878721</c:v>
                </c:pt>
                <c:pt idx="221">
                  <c:v>2.3629686470074063</c:v>
                </c:pt>
                <c:pt idx="222">
                  <c:v>2.9941476336102646</c:v>
                </c:pt>
                <c:pt idx="223">
                  <c:v>3.3454262501985284</c:v>
                </c:pt>
                <c:pt idx="224">
                  <c:v>3.9766297571232876</c:v>
                </c:pt>
                <c:pt idx="225">
                  <c:v>3.9766297571232876</c:v>
                </c:pt>
                <c:pt idx="226">
                  <c:v>4.326082427499081</c:v>
                </c:pt>
                <c:pt idx="227">
                  <c:v>4.9572176742820169</c:v>
                </c:pt>
                <c:pt idx="228">
                  <c:v>5.3047673093668806</c:v>
                </c:pt>
                <c:pt idx="229">
                  <c:v>5.9357418277951375</c:v>
                </c:pt>
                <c:pt idx="230">
                  <c:v>5.9357418277951375</c:v>
                </c:pt>
                <c:pt idx="231">
                  <c:v>6.9120334102505758</c:v>
                </c:pt>
                <c:pt idx="232">
                  <c:v>6.9120334102505758</c:v>
                </c:pt>
                <c:pt idx="233">
                  <c:v>7.5434668200270494</c:v>
                </c:pt>
                <c:pt idx="234">
                  <c:v>7.885924398759105</c:v>
                </c:pt>
                <c:pt idx="235">
                  <c:v>8.5169594409947926</c:v>
                </c:pt>
                <c:pt idx="236">
                  <c:v>8.5169594409947926</c:v>
                </c:pt>
                <c:pt idx="237">
                  <c:v>9.4877929808172397</c:v>
                </c:pt>
                <c:pt idx="238">
                  <c:v>9.4877929808172397</c:v>
                </c:pt>
                <c:pt idx="239">
                  <c:v>10.118908075304599</c:v>
                </c:pt>
                <c:pt idx="240">
                  <c:v>10.750558066475282</c:v>
                </c:pt>
                <c:pt idx="241">
                  <c:v>11.086282647220024</c:v>
                </c:pt>
                <c:pt idx="242">
                  <c:v>11.717245358832837</c:v>
                </c:pt>
                <c:pt idx="243">
                  <c:v>11.717245358832837</c:v>
                </c:pt>
                <c:pt idx="244">
                  <c:v>12.348654817819014</c:v>
                </c:pt>
                <c:pt idx="245">
                  <c:v>12.348654817819014</c:v>
                </c:pt>
                <c:pt idx="246">
                  <c:v>13.311340988285544</c:v>
                </c:pt>
                <c:pt idx="247">
                  <c:v>13.942278714356888</c:v>
                </c:pt>
                <c:pt idx="248">
                  <c:v>13.942278714356888</c:v>
                </c:pt>
                <c:pt idx="249">
                  <c:v>14.573540475807715</c:v>
                </c:pt>
                <c:pt idx="250">
                  <c:v>14.573540475807715</c:v>
                </c:pt>
                <c:pt idx="251">
                  <c:v>15.205091458153415</c:v>
                </c:pt>
                <c:pt idx="252">
                  <c:v>15.836896830958711</c:v>
                </c:pt>
                <c:pt idx="253">
                  <c:v>16.161276864035713</c:v>
                </c:pt>
                <c:pt idx="254">
                  <c:v>16.791950871721777</c:v>
                </c:pt>
                <c:pt idx="255">
                  <c:v>17.422791753569225</c:v>
                </c:pt>
                <c:pt idx="256">
                  <c:v>17.422791753569225</c:v>
                </c:pt>
                <c:pt idx="257">
                  <c:v>18.053764718305235</c:v>
                </c:pt>
                <c:pt idx="258">
                  <c:v>18.684834967372559</c:v>
                </c:pt>
                <c:pt idx="259">
                  <c:v>18.684834967372559</c:v>
                </c:pt>
                <c:pt idx="260">
                  <c:v>19.315967696848681</c:v>
                </c:pt>
                <c:pt idx="261">
                  <c:v>19.947128099365226</c:v>
                </c:pt>
                <c:pt idx="262">
                  <c:v>19.947128099365226</c:v>
                </c:pt>
                <c:pt idx="263">
                  <c:v>20.578281366027614</c:v>
                </c:pt>
                <c:pt idx="264">
                  <c:v>21.209392688334848</c:v>
                </c:pt>
                <c:pt idx="265">
                  <c:v>21.209392688334848</c:v>
                </c:pt>
                <c:pt idx="266">
                  <c:v>21.84042726009914</c:v>
                </c:pt>
                <c:pt idx="267">
                  <c:v>22.471350279365605</c:v>
                </c:pt>
                <c:pt idx="268">
                  <c:v>22.471350279365605</c:v>
                </c:pt>
                <c:pt idx="269">
                  <c:v>23.102126950331481</c:v>
                </c:pt>
                <c:pt idx="270">
                  <c:v>23.732722485265302</c:v>
                </c:pt>
                <c:pt idx="271">
                  <c:v>24.057651225064305</c:v>
                </c:pt>
                <c:pt idx="272">
                  <c:v>24.057651225064305</c:v>
                </c:pt>
                <c:pt idx="273">
                  <c:v>24.689356511465082</c:v>
                </c:pt>
                <c:pt idx="274">
                  <c:v>25.320793125121678</c:v>
                </c:pt>
                <c:pt idx="275">
                  <c:v>25.951926241906328</c:v>
                </c:pt>
                <c:pt idx="276">
                  <c:v>25.951926241906328</c:v>
                </c:pt>
                <c:pt idx="277">
                  <c:v>26.582721054429257</c:v>
                </c:pt>
                <c:pt idx="278">
                  <c:v>26.914097472864814</c:v>
                </c:pt>
                <c:pt idx="279">
                  <c:v>27.545754180746311</c:v>
                </c:pt>
                <c:pt idx="280">
                  <c:v>27.545754180746311</c:v>
                </c:pt>
                <c:pt idx="281">
                  <c:v>28.176984683749307</c:v>
                </c:pt>
                <c:pt idx="282">
                  <c:v>28.807754169113185</c:v>
                </c:pt>
                <c:pt idx="283">
                  <c:v>29.143960211204227</c:v>
                </c:pt>
                <c:pt idx="284">
                  <c:v>29.77539510650276</c:v>
                </c:pt>
                <c:pt idx="285">
                  <c:v>29.77539510650276</c:v>
                </c:pt>
                <c:pt idx="286">
                  <c:v>30.406280830818506</c:v>
                </c:pt>
                <c:pt idx="287">
                  <c:v>30.745914636569523</c:v>
                </c:pt>
                <c:pt idx="288">
                  <c:v>31.37732160499694</c:v>
                </c:pt>
                <c:pt idx="289">
                  <c:v>32.008091055184082</c:v>
                </c:pt>
                <c:pt idx="290">
                  <c:v>31.719147036456938</c:v>
                </c:pt>
                <c:pt idx="291">
                  <c:v>32.350984051624444</c:v>
                </c:pt>
                <c:pt idx="292">
                  <c:v>32.982129850453248</c:v>
                </c:pt>
                <c:pt idx="293">
                  <c:v>33.327101186724839</c:v>
                </c:pt>
                <c:pt idx="294">
                  <c:v>33.958531621354865</c:v>
                </c:pt>
                <c:pt idx="295">
                  <c:v>34.589182182383098</c:v>
                </c:pt>
                <c:pt idx="296">
                  <c:v>34.937128201279435</c:v>
                </c:pt>
                <c:pt idx="297">
                  <c:v>34.937128201279435</c:v>
                </c:pt>
                <c:pt idx="298">
                  <c:v>35.286027474025182</c:v>
                </c:pt>
                <c:pt idx="299">
                  <c:v>35.91775064635884</c:v>
                </c:pt>
                <c:pt idx="300">
                  <c:v>36.548585892924891</c:v>
                </c:pt>
                <c:pt idx="301">
                  <c:v>36.900229270146923</c:v>
                </c:pt>
                <c:pt idx="302">
                  <c:v>37.531017780963296</c:v>
                </c:pt>
                <c:pt idx="303">
                  <c:v>37.884393678480109</c:v>
                </c:pt>
                <c:pt idx="304">
                  <c:v>38.515042341239194</c:v>
                </c:pt>
                <c:pt idx="305">
                  <c:v>38.238606626407986</c:v>
                </c:pt>
                <c:pt idx="306">
                  <c:v>38.870072804510436</c:v>
                </c:pt>
                <c:pt idx="307">
                  <c:v>39.225901202970974</c:v>
                </c:pt>
                <c:pt idx="308">
                  <c:v>39.857094943903974</c:v>
                </c:pt>
                <c:pt idx="309">
                  <c:v>40.214460297336409</c:v>
                </c:pt>
                <c:pt idx="310">
                  <c:v>40.572564585787489</c:v>
                </c:pt>
                <c:pt idx="311">
                  <c:v>41.204111263988182</c:v>
                </c:pt>
                <c:pt idx="312">
                  <c:v>41.563634133780376</c:v>
                </c:pt>
                <c:pt idx="313">
                  <c:v>42.194680908175698</c:v>
                </c:pt>
                <c:pt idx="314">
                  <c:v>42.555543048749797</c:v>
                </c:pt>
                <c:pt idx="315">
                  <c:v>42.917044990244136</c:v>
                </c:pt>
                <c:pt idx="316">
                  <c:v>43.548117326986386</c:v>
                </c:pt>
                <c:pt idx="317">
                  <c:v>43.910839024954598</c:v>
                </c:pt>
                <c:pt idx="318">
                  <c:v>44.274140611206121</c:v>
                </c:pt>
                <c:pt idx="319">
                  <c:v>44.905043942897144</c:v>
                </c:pt>
                <c:pt idx="320">
                  <c:v>45.269445165903733</c:v>
                </c:pt>
                <c:pt idx="321">
                  <c:v>45.634366076736413</c:v>
                </c:pt>
                <c:pt idx="322">
                  <c:v>46.264905077795746</c:v>
                </c:pt>
                <c:pt idx="323">
                  <c:v>46.630804959873807</c:v>
                </c:pt>
                <c:pt idx="324">
                  <c:v>46.997164071380233</c:v>
                </c:pt>
                <c:pt idx="325">
                  <c:v>47.363962207378805</c:v>
                </c:pt>
                <c:pt idx="326">
                  <c:v>47.994359679836904</c:v>
                </c:pt>
                <c:pt idx="327">
                  <c:v>48.36197515427682</c:v>
                </c:pt>
                <c:pt idx="328">
                  <c:v>48.729968897589217</c:v>
                </c:pt>
                <c:pt idx="329">
                  <c:v>49.098320614686848</c:v>
                </c:pt>
                <c:pt idx="330">
                  <c:v>49.467009990740067</c:v>
                </c:pt>
                <c:pt idx="331">
                  <c:v>49.836016692297086</c:v>
                </c:pt>
                <c:pt idx="332">
                  <c:v>50.205320368405374</c:v>
                </c:pt>
                <c:pt idx="333">
                  <c:v>50.574900651734133</c:v>
                </c:pt>
                <c:pt idx="334">
                  <c:v>51.205965199337619</c:v>
                </c:pt>
                <c:pt idx="335">
                  <c:v>51.576037535218703</c:v>
                </c:pt>
                <c:pt idx="336">
                  <c:v>51.946325289294592</c:v>
                </c:pt>
                <c:pt idx="337">
                  <c:v>52.316808039961998</c:v>
                </c:pt>
                <c:pt idx="338">
                  <c:v>52.687465354863363</c:v>
                </c:pt>
                <c:pt idx="339">
                  <c:v>53.058276792013793</c:v>
                </c:pt>
                <c:pt idx="340">
                  <c:v>53.429221900928553</c:v>
                </c:pt>
                <c:pt idx="341">
                  <c:v>54.171431296379581</c:v>
                </c:pt>
                <c:pt idx="342">
                  <c:v>54.542654649599271</c:v>
                </c:pt>
                <c:pt idx="343">
                  <c:v>54.91392981020752</c:v>
                </c:pt>
                <c:pt idx="344">
                  <c:v>55.024008262504779</c:v>
                </c:pt>
                <c:pt idx="345">
                  <c:v>55.503452787502709</c:v>
                </c:pt>
                <c:pt idx="346">
                  <c:v>56.245957444479465</c:v>
                </c:pt>
                <c:pt idx="347">
                  <c:v>56.084953009733688</c:v>
                </c:pt>
                <c:pt idx="348">
                  <c:v>56.558019422028799</c:v>
                </c:pt>
                <c:pt idx="349">
                  <c:v>57.028662258541829</c:v>
                </c:pt>
                <c:pt idx="350">
                  <c:v>57.222145853377889</c:v>
                </c:pt>
                <c:pt idx="351">
                  <c:v>57.685647208158308</c:v>
                </c:pt>
                <c:pt idx="352">
                  <c:v>57.214997155854213</c:v>
                </c:pt>
                <c:pt idx="353">
                  <c:v>57.015192579358732</c:v>
                </c:pt>
                <c:pt idx="354">
                  <c:v>57.097013525281035</c:v>
                </c:pt>
                <c:pt idx="355">
                  <c:v>56.808069506553878</c:v>
                </c:pt>
                <c:pt idx="356">
                  <c:v>56.225025694293997</c:v>
                </c:pt>
                <c:pt idx="357">
                  <c:v>55.930958055995511</c:v>
                </c:pt>
                <c:pt idx="358">
                  <c:v>55.635214855838221</c:v>
                </c:pt>
                <c:pt idx="359">
                  <c:v>54.968787310150752</c:v>
                </c:pt>
              </c:numCache>
            </c:numRef>
          </c:xVal>
          <c:yVal>
            <c:numRef>
              <c:f>'Commanded Path'!$K$2:$K$361</c:f>
              <c:numCache>
                <c:formatCode>0.000</c:formatCode>
                <c:ptCount val="360"/>
                <c:pt idx="0">
                  <c:v>-37.904734225596002</c:v>
                </c:pt>
                <c:pt idx="1">
                  <c:v>-38.086390656816221</c:v>
                </c:pt>
                <c:pt idx="2">
                  <c:v>-37.797606225293336</c:v>
                </c:pt>
                <c:pt idx="3">
                  <c:v>-37.987499652167116</c:v>
                </c:pt>
                <c:pt idx="4">
                  <c:v>-37.960032111811671</c:v>
                </c:pt>
                <c:pt idx="5">
                  <c:v>-38.157640183156445</c:v>
                </c:pt>
                <c:pt idx="6">
                  <c:v>-37.894139081673714</c:v>
                </c:pt>
                <c:pt idx="7">
                  <c:v>-37.877681973102654</c:v>
                </c:pt>
                <c:pt idx="8">
                  <c:v>-38.086305017893977</c:v>
                </c:pt>
                <c:pt idx="9">
                  <c:v>-38.075359178350709</c:v>
                </c:pt>
                <c:pt idx="10">
                  <c:v>-37.839412902273835</c:v>
                </c:pt>
                <c:pt idx="11">
                  <c:v>-37.83673811364929</c:v>
                </c:pt>
                <c:pt idx="12">
                  <c:v>-38.059145736466832</c:v>
                </c:pt>
                <c:pt idx="13">
                  <c:v>-38.061985972801281</c:v>
                </c:pt>
                <c:pt idx="14">
                  <c:v>-38.067583562693187</c:v>
                </c:pt>
                <c:pt idx="15">
                  <c:v>-38.075938197431967</c:v>
                </c:pt>
                <c:pt idx="16">
                  <c:v>-38.087049416254203</c:v>
                </c:pt>
                <c:pt idx="17">
                  <c:v>-37.895214106311244</c:v>
                </c:pt>
                <c:pt idx="18">
                  <c:v>-37.914590792707486</c:v>
                </c:pt>
                <c:pt idx="19">
                  <c:v>-37.936720700240016</c:v>
                </c:pt>
                <c:pt idx="20">
                  <c:v>-37.961602608430482</c:v>
                </c:pt>
                <c:pt idx="21">
                  <c:v>-37.989235145025958</c:v>
                </c:pt>
                <c:pt idx="22">
                  <c:v>-38.019616786074607</c:v>
                </c:pt>
                <c:pt idx="23">
                  <c:v>-38.052745856009693</c:v>
                </c:pt>
                <c:pt idx="24">
                  <c:v>-38.088620527742179</c:v>
                </c:pt>
                <c:pt idx="25">
                  <c:v>-37.907128655365284</c:v>
                </c:pt>
                <c:pt idx="26">
                  <c:v>-37.948488443847566</c:v>
                </c:pt>
                <c:pt idx="27">
                  <c:v>-37.992587444774671</c:v>
                </c:pt>
                <c:pt idx="28">
                  <c:v>-38.03942322605883</c:v>
                </c:pt>
                <c:pt idx="29">
                  <c:v>-38.088993204677109</c:v>
                </c:pt>
                <c:pt idx="30">
                  <c:v>-37.923411347918091</c:v>
                </c:pt>
                <c:pt idx="31">
                  <c:v>-37.97844136911597</c:v>
                </c:pt>
                <c:pt idx="32">
                  <c:v>-38.036196934434443</c:v>
                </c:pt>
                <c:pt idx="33">
                  <c:v>-37.881030444623292</c:v>
                </c:pt>
                <c:pt idx="34">
                  <c:v>-37.944227392275536</c:v>
                </c:pt>
                <c:pt idx="35">
                  <c:v>-38.010139878045266</c:v>
                </c:pt>
                <c:pt idx="36">
                  <c:v>-37.865370630650006</c:v>
                </c:pt>
                <c:pt idx="37">
                  <c:v>-37.93670313774598</c:v>
                </c:pt>
                <c:pt idx="38">
                  <c:v>-38.150096773913262</c:v>
                </c:pt>
                <c:pt idx="39">
                  <c:v>-38.010739829133087</c:v>
                </c:pt>
                <c:pt idx="40">
                  <c:v>-38.087476621641116</c:v>
                </c:pt>
                <c:pt idx="41">
                  <c:v>-37.955778193640981</c:v>
                </c:pt>
                <c:pt idx="42">
                  <c:v>-38.03790234346431</c:v>
                </c:pt>
                <c:pt idx="43">
                  <c:v>-37.913856553452973</c:v>
                </c:pt>
                <c:pt idx="44">
                  <c:v>-38.001349944046581</c:v>
                </c:pt>
                <c:pt idx="45">
                  <c:v>-37.884949601327094</c:v>
                </c:pt>
                <c:pt idx="46">
                  <c:v>-37.977792931694253</c:v>
                </c:pt>
                <c:pt idx="47">
                  <c:v>-37.977792931694253</c:v>
                </c:pt>
                <c:pt idx="48">
                  <c:v>-38.073303625090361</c:v>
                </c:pt>
                <c:pt idx="49">
                  <c:v>-37.967202326105877</c:v>
                </c:pt>
                <c:pt idx="50">
                  <c:v>-38.068031796318579</c:v>
                </c:pt>
                <c:pt idx="51">
                  <c:v>-37.969546666650302</c:v>
                </c:pt>
                <c:pt idx="52">
                  <c:v>-37.876026456552623</c:v>
                </c:pt>
                <c:pt idx="53">
                  <c:v>-38.075672670750563</c:v>
                </c:pt>
                <c:pt idx="54">
                  <c:v>-37.98479202117062</c:v>
                </c:pt>
                <c:pt idx="55">
                  <c:v>-38.09619114781681</c:v>
                </c:pt>
                <c:pt idx="56">
                  <c:v>-38.012901995312575</c:v>
                </c:pt>
                <c:pt idx="57">
                  <c:v>-37.934575371305215</c:v>
                </c:pt>
                <c:pt idx="58">
                  <c:v>-37.934575371305215</c:v>
                </c:pt>
                <c:pt idx="59">
                  <c:v>-38.053837742374839</c:v>
                </c:pt>
                <c:pt idx="60">
                  <c:v>-37.983086085699298</c:v>
                </c:pt>
                <c:pt idx="61">
                  <c:v>-37.917298601886841</c:v>
                </c:pt>
                <c:pt idx="62">
                  <c:v>-38.044365023001035</c:v>
                </c:pt>
                <c:pt idx="63">
                  <c:v>-38.044365023001035</c:v>
                </c:pt>
                <c:pt idx="64">
                  <c:v>-37.986132865614181</c:v>
                </c:pt>
                <c:pt idx="65">
                  <c:v>-37.932864713058578</c:v>
                </c:pt>
                <c:pt idx="66">
                  <c:v>-37.884563503106463</c:v>
                </c:pt>
                <c:pt idx="67">
                  <c:v>-38.067672116396295</c:v>
                </c:pt>
                <c:pt idx="68">
                  <c:v>-38.021936553768796</c:v>
                </c:pt>
                <c:pt idx="69">
                  <c:v>-37.981163021376545</c:v>
                </c:pt>
                <c:pt idx="70">
                  <c:v>-37.981163021376545</c:v>
                </c:pt>
                <c:pt idx="71">
                  <c:v>-37.94535376790563</c:v>
                </c:pt>
                <c:pt idx="72">
                  <c:v>-37.914510768258907</c:v>
                </c:pt>
                <c:pt idx="73">
                  <c:v>-38.062069237458687</c:v>
                </c:pt>
                <c:pt idx="74">
                  <c:v>-38.062069237458687</c:v>
                </c:pt>
                <c:pt idx="75">
                  <c:v>-38.038720552422035</c:v>
                </c:pt>
                <c:pt idx="76">
                  <c:v>-38.020332971972493</c:v>
                </c:pt>
                <c:pt idx="77">
                  <c:v>-38.020332971972493</c:v>
                </c:pt>
                <c:pt idx="78">
                  <c:v>-38.006907510196754</c:v>
                </c:pt>
                <c:pt idx="79">
                  <c:v>-37.998444907517523</c:v>
                </c:pt>
                <c:pt idx="80">
                  <c:v>-37.998444907517523</c:v>
                </c:pt>
                <c:pt idx="81">
                  <c:v>-37.994945630652666</c:v>
                </c:pt>
                <c:pt idx="82">
                  <c:v>-37.99640987258951</c:v>
                </c:pt>
                <c:pt idx="83">
                  <c:v>-37.99640987258951</c:v>
                </c:pt>
                <c:pt idx="84">
                  <c:v>-38.002837552574135</c:v>
                </c:pt>
                <c:pt idx="85">
                  <c:v>-38.002837552574135</c:v>
                </c:pt>
                <c:pt idx="86">
                  <c:v>-38.014228316116061</c:v>
                </c:pt>
                <c:pt idx="87">
                  <c:v>-38.030581535007371</c:v>
                </c:pt>
                <c:pt idx="88">
                  <c:v>-38.030581535007371</c:v>
                </c:pt>
                <c:pt idx="89">
                  <c:v>-38.051896307357765</c:v>
                </c:pt>
                <c:pt idx="90">
                  <c:v>-38.051896307357765</c:v>
                </c:pt>
                <c:pt idx="91">
                  <c:v>-37.93210736676383</c:v>
                </c:pt>
                <c:pt idx="92">
                  <c:v>-37.965880679463822</c:v>
                </c:pt>
                <c:pt idx="93">
                  <c:v>-37.965880679463822</c:v>
                </c:pt>
                <c:pt idx="94">
                  <c:v>-38.004619113915936</c:v>
                </c:pt>
                <c:pt idx="95">
                  <c:v>-38.004619113915936</c:v>
                </c:pt>
                <c:pt idx="96">
                  <c:v>-38.048320533671045</c:v>
                </c:pt>
                <c:pt idx="97">
                  <c:v>-37.912460307648701</c:v>
                </c:pt>
                <c:pt idx="98">
                  <c:v>-37.963692353491936</c:v>
                </c:pt>
                <c:pt idx="99">
                  <c:v>-38.019889641774853</c:v>
                </c:pt>
                <c:pt idx="100">
                  <c:v>-38.019889641774853</c:v>
                </c:pt>
                <c:pt idx="101">
                  <c:v>-38.081049073181504</c:v>
                </c:pt>
                <c:pt idx="102">
                  <c:v>-37.955512588188071</c:v>
                </c:pt>
                <c:pt idx="103">
                  <c:v>-38.024229390377883</c:v>
                </c:pt>
                <c:pt idx="104">
                  <c:v>-38.024229390377883</c:v>
                </c:pt>
                <c:pt idx="105">
                  <c:v>-37.980187609897456</c:v>
                </c:pt>
                <c:pt idx="106">
                  <c:v>-37.980187609897456</c:v>
                </c:pt>
                <c:pt idx="107">
                  <c:v>-37.980187609897456</c:v>
                </c:pt>
                <c:pt idx="108">
                  <c:v>-37.948965546266095</c:v>
                </c:pt>
                <c:pt idx="109">
                  <c:v>-37.948965546266095</c:v>
                </c:pt>
                <c:pt idx="110">
                  <c:v>-38.037811514206027</c:v>
                </c:pt>
                <c:pt idx="111">
                  <c:v>-37.930602574100561</c:v>
                </c:pt>
                <c:pt idx="112">
                  <c:v>-38.02705272812787</c:v>
                </c:pt>
                <c:pt idx="113">
                  <c:v>-38.02705272812787</c:v>
                </c:pt>
                <c:pt idx="114">
                  <c:v>-38.029201938768082</c:v>
                </c:pt>
                <c:pt idx="115">
                  <c:v>-38.029201938768082</c:v>
                </c:pt>
                <c:pt idx="116">
                  <c:v>-37.932599140741132</c:v>
                </c:pt>
                <c:pt idx="117">
                  <c:v>-38.044292312563613</c:v>
                </c:pt>
                <c:pt idx="118">
                  <c:v>-37.953025137534127</c:v>
                </c:pt>
                <c:pt idx="119">
                  <c:v>-38.07235454195704</c:v>
                </c:pt>
                <c:pt idx="120">
                  <c:v>-37.986443123416706</c:v>
                </c:pt>
                <c:pt idx="121">
                  <c:v>-37.986443123416706</c:v>
                </c:pt>
                <c:pt idx="122">
                  <c:v>-38.03288012671301</c:v>
                </c:pt>
                <c:pt idx="123">
                  <c:v>-38.03288012671301</c:v>
                </c:pt>
                <c:pt idx="124">
                  <c:v>-37.955037507571646</c:v>
                </c:pt>
                <c:pt idx="125">
                  <c:v>-38.01991897384525</c:v>
                </c:pt>
                <c:pt idx="126">
                  <c:v>-38.01991897384525</c:v>
                </c:pt>
                <c:pt idx="127">
                  <c:v>-37.950183790308472</c:v>
                </c:pt>
                <c:pt idx="128">
                  <c:v>-37.950183790308472</c:v>
                </c:pt>
                <c:pt idx="129">
                  <c:v>-38.033571254275088</c:v>
                </c:pt>
                <c:pt idx="130">
                  <c:v>-37.97197811852476</c:v>
                </c:pt>
                <c:pt idx="131">
                  <c:v>-37.97197811852476</c:v>
                </c:pt>
                <c:pt idx="132">
                  <c:v>-38.073924924829655</c:v>
                </c:pt>
                <c:pt idx="133">
                  <c:v>-38.020504407844527</c:v>
                </c:pt>
                <c:pt idx="134">
                  <c:v>-37.969814189961653</c:v>
                </c:pt>
                <c:pt idx="135">
                  <c:v>-37.969814189961653</c:v>
                </c:pt>
                <c:pt idx="136">
                  <c:v>-37.921857066778529</c:v>
                </c:pt>
                <c:pt idx="137">
                  <c:v>-38.053351145678761</c:v>
                </c:pt>
                <c:pt idx="138">
                  <c:v>-38.013608572139987</c:v>
                </c:pt>
                <c:pt idx="139">
                  <c:v>-37.976608766954968</c:v>
                </c:pt>
                <c:pt idx="140">
                  <c:v>-37.942353770686353</c:v>
                </c:pt>
                <c:pt idx="141">
                  <c:v>-37.942353770686353</c:v>
                </c:pt>
                <c:pt idx="142">
                  <c:v>-37.910845472518773</c:v>
                </c:pt>
                <c:pt idx="143">
                  <c:v>-38.077494103476312</c:v>
                </c:pt>
                <c:pt idx="144">
                  <c:v>-38.054235719427709</c:v>
                </c:pt>
                <c:pt idx="145">
                  <c:v>-38.0337300744809</c:v>
                </c:pt>
                <c:pt idx="146">
                  <c:v>-38.015978299535163</c:v>
                </c:pt>
                <c:pt idx="147">
                  <c:v>-38.00098137361212</c:v>
                </c:pt>
                <c:pt idx="148">
                  <c:v>-37.988740123801648</c:v>
                </c:pt>
                <c:pt idx="149">
                  <c:v>-37.979255225216434</c:v>
                </c:pt>
                <c:pt idx="150">
                  <c:v>-37.97252720095463</c:v>
                </c:pt>
                <c:pt idx="151">
                  <c:v>-37.967343107556474</c:v>
                </c:pt>
                <c:pt idx="152">
                  <c:v>-37.968887324326175</c:v>
                </c:pt>
                <c:pt idx="153">
                  <c:v>-37.973188987215551</c:v>
                </c:pt>
                <c:pt idx="154">
                  <c:v>-37.980247858985166</c:v>
                </c:pt>
                <c:pt idx="155">
                  <c:v>-37.990063550333815</c:v>
                </c:pt>
                <c:pt idx="156">
                  <c:v>-38.017963074391346</c:v>
                </c:pt>
                <c:pt idx="157">
                  <c:v>-38.036045368423885</c:v>
                </c:pt>
                <c:pt idx="158">
                  <c:v>-38.05688140476758</c:v>
                </c:pt>
                <c:pt idx="159">
                  <c:v>-38.106809956098942</c:v>
                </c:pt>
                <c:pt idx="160">
                  <c:v>-37.88539162234153</c:v>
                </c:pt>
                <c:pt idx="161">
                  <c:v>-37.946319380415417</c:v>
                </c:pt>
                <c:pt idx="162">
                  <c:v>-37.980903856487927</c:v>
                </c:pt>
                <c:pt idx="163">
                  <c:v>-38.058304466030805</c:v>
                </c:pt>
                <c:pt idx="164">
                  <c:v>-38.279722799788232</c:v>
                </c:pt>
                <c:pt idx="165">
                  <c:v>-38.503348643359729</c:v>
                </c:pt>
                <c:pt idx="166">
                  <c:v>-38.771981528416774</c:v>
                </c:pt>
                <c:pt idx="167">
                  <c:v>-38.999985271231793</c:v>
                </c:pt>
                <c:pt idx="168">
                  <c:v>-39.187347297254433</c:v>
                </c:pt>
                <c:pt idx="169">
                  <c:v>-39.654154626885727</c:v>
                </c:pt>
                <c:pt idx="170">
                  <c:v>-39.85069075956676</c:v>
                </c:pt>
                <c:pt idx="171">
                  <c:v>-40.292919913672478</c:v>
                </c:pt>
                <c:pt idx="172">
                  <c:v>-40.746262372551371</c:v>
                </c:pt>
                <c:pt idx="173">
                  <c:v>-41.181522645732912</c:v>
                </c:pt>
                <c:pt idx="174">
                  <c:v>-41.382751885790753</c:v>
                </c:pt>
                <c:pt idx="175">
                  <c:v>-41.852207432926292</c:v>
                </c:pt>
                <c:pt idx="176">
                  <c:v>-42.081495957851104</c:v>
                </c:pt>
                <c:pt idx="177">
                  <c:v>-42.330850180219272</c:v>
                </c:pt>
                <c:pt idx="178">
                  <c:v>-42.580627130627178</c:v>
                </c:pt>
                <c:pt idx="179">
                  <c:v>-42.842173568377419</c:v>
                </c:pt>
                <c:pt idx="180">
                  <c:v>-43.112386976132868</c:v>
                </c:pt>
                <c:pt idx="181">
                  <c:v>-43.119115000394686</c:v>
                </c:pt>
                <c:pt idx="182">
                  <c:v>-42.875811834433051</c:v>
                </c:pt>
                <c:pt idx="183">
                  <c:v>-42.890808760356123</c:v>
                </c:pt>
                <c:pt idx="184">
                  <c:v>-42.908560535301831</c:v>
                </c:pt>
                <c:pt idx="185">
                  <c:v>-42.92906618024864</c:v>
                </c:pt>
                <c:pt idx="186">
                  <c:v>-42.952324564297257</c:v>
                </c:pt>
                <c:pt idx="187">
                  <c:v>-42.978334404733118</c:v>
                </c:pt>
                <c:pt idx="188">
                  <c:v>-43.007094267097131</c:v>
                </c:pt>
                <c:pt idx="189">
                  <c:v>-43.038602565264711</c:v>
                </c:pt>
                <c:pt idx="190">
                  <c:v>-43.07285756153334</c:v>
                </c:pt>
                <c:pt idx="191">
                  <c:v>-43.10985736671833</c:v>
                </c:pt>
                <c:pt idx="192">
                  <c:v>-42.886509285737176</c:v>
                </c:pt>
                <c:pt idx="193">
                  <c:v>-42.928992435801717</c:v>
                </c:pt>
                <c:pt idx="194">
                  <c:v>-42.974213819419461</c:v>
                </c:pt>
                <c:pt idx="195">
                  <c:v>-43.022170942602571</c:v>
                </c:pt>
                <c:pt idx="196">
                  <c:v>-43.072861160485459</c:v>
                </c:pt>
                <c:pt idx="197">
                  <c:v>-42.921292062315814</c:v>
                </c:pt>
                <c:pt idx="198">
                  <c:v>-42.921292062315814</c:v>
                </c:pt>
                <c:pt idx="199">
                  <c:v>-42.980164188564515</c:v>
                </c:pt>
                <c:pt idx="200">
                  <c:v>-43.041757324314844</c:v>
                </c:pt>
                <c:pt idx="201">
                  <c:v>-43.106068072666488</c:v>
                </c:pt>
                <c:pt idx="202">
                  <c:v>-42.913922973124315</c:v>
                </c:pt>
                <c:pt idx="203">
                  <c:v>-42.983658156661079</c:v>
                </c:pt>
                <c:pt idx="204">
                  <c:v>-43.056099863620631</c:v>
                </c:pt>
                <c:pt idx="205">
                  <c:v>-42.95189866895609</c:v>
                </c:pt>
                <c:pt idx="206">
                  <c:v>-42.95189866895609</c:v>
                </c:pt>
                <c:pt idx="207">
                  <c:v>-43.032435378992773</c:v>
                </c:pt>
                <c:pt idx="208">
                  <c:v>-43.115661738274412</c:v>
                </c:pt>
                <c:pt idx="209">
                  <c:v>-42.946381156650105</c:v>
                </c:pt>
                <c:pt idx="210">
                  <c:v>-43.034972896380182</c:v>
                </c:pt>
                <c:pt idx="211">
                  <c:v>-43.034972896380182</c:v>
                </c:pt>
                <c:pt idx="212">
                  <c:v>-42.966995770949069</c:v>
                </c:pt>
                <c:pt idx="213">
                  <c:v>-43.063598568976033</c:v>
                </c:pt>
                <c:pt idx="214">
                  <c:v>-42.911703469048916</c:v>
                </c:pt>
                <c:pt idx="215">
                  <c:v>-43.013620579546057</c:v>
                </c:pt>
                <c:pt idx="216">
                  <c:v>-43.013620579546057</c:v>
                </c:pt>
                <c:pt idx="217">
                  <c:v>-42.976275574470151</c:v>
                </c:pt>
                <c:pt idx="218">
                  <c:v>-42.976275574470151</c:v>
                </c:pt>
                <c:pt idx="219">
                  <c:v>-43.086121633301104</c:v>
                </c:pt>
                <c:pt idx="220">
                  <c:v>-42.951530575443257</c:v>
                </c:pt>
                <c:pt idx="221">
                  <c:v>-43.066632552382146</c:v>
                </c:pt>
                <c:pt idx="222">
                  <c:v>-42.939350164053167</c:v>
                </c:pt>
                <c:pt idx="223">
                  <c:v>-43.059682667663367</c:v>
                </c:pt>
                <c:pt idx="224">
                  <c:v>-42.939696491847897</c:v>
                </c:pt>
                <c:pt idx="225">
                  <c:v>-42.939696491847897</c:v>
                </c:pt>
                <c:pt idx="226">
                  <c:v>-43.065232976841344</c:v>
                </c:pt>
                <c:pt idx="227">
                  <c:v>-42.952529290920936</c:v>
                </c:pt>
                <c:pt idx="228">
                  <c:v>-43.083242064013916</c:v>
                </c:pt>
                <c:pt idx="229">
                  <c:v>-42.977805885010667</c:v>
                </c:pt>
                <c:pt idx="230">
                  <c:v>-42.977805885010667</c:v>
                </c:pt>
                <c:pt idx="231">
                  <c:v>-43.015481201112294</c:v>
                </c:pt>
                <c:pt idx="232">
                  <c:v>-43.015481201112294</c:v>
                </c:pt>
                <c:pt idx="233">
                  <c:v>-42.921982924287775</c:v>
                </c:pt>
                <c:pt idx="234">
                  <c:v>-43.065507781599194</c:v>
                </c:pt>
                <c:pt idx="235">
                  <c:v>-42.979240527928766</c:v>
                </c:pt>
                <c:pt idx="236">
                  <c:v>-42.979240527928766</c:v>
                </c:pt>
                <c:pt idx="237">
                  <c:v>-43.048780157892082</c:v>
                </c:pt>
                <c:pt idx="238">
                  <c:v>-43.048780157892082</c:v>
                </c:pt>
                <c:pt idx="239">
                  <c:v>-42.97440931557081</c:v>
                </c:pt>
                <c:pt idx="240">
                  <c:v>-42.904727371486189</c:v>
                </c:pt>
                <c:pt idx="241">
                  <c:v>-43.063364012212915</c:v>
                </c:pt>
                <c:pt idx="242">
                  <c:v>-43.000863624989449</c:v>
                </c:pt>
                <c:pt idx="243">
                  <c:v>-43.000863624989449</c:v>
                </c:pt>
                <c:pt idx="244">
                  <c:v>-42.943050677030769</c:v>
                </c:pt>
                <c:pt idx="245">
                  <c:v>-42.943050677030769</c:v>
                </c:pt>
                <c:pt idx="246">
                  <c:v>-43.058466396364707</c:v>
                </c:pt>
                <c:pt idx="247">
                  <c:v>-43.01249008582505</c:v>
                </c:pt>
                <c:pt idx="248">
                  <c:v>-43.01249008582505</c:v>
                </c:pt>
                <c:pt idx="249">
                  <c:v>-42.971200573343523</c:v>
                </c:pt>
                <c:pt idx="250">
                  <c:v>-42.971200573343523</c:v>
                </c:pt>
                <c:pt idx="251">
                  <c:v>-42.934600136062812</c:v>
                </c:pt>
                <c:pt idx="252">
                  <c:v>-42.902690792520104</c:v>
                </c:pt>
                <c:pt idx="253">
                  <c:v>-43.083395446688854</c:v>
                </c:pt>
                <c:pt idx="254">
                  <c:v>-43.058582915825696</c:v>
                </c:pt>
                <c:pt idx="255">
                  <c:v>-43.038454640972006</c:v>
                </c:pt>
                <c:pt idx="256">
                  <c:v>-43.038454640972006</c:v>
                </c:pt>
                <c:pt idx="257">
                  <c:v>-43.02301173221484</c:v>
                </c:pt>
                <c:pt idx="258">
                  <c:v>-43.012255041240351</c:v>
                </c:pt>
                <c:pt idx="259">
                  <c:v>-43.012255041240351</c:v>
                </c:pt>
                <c:pt idx="260">
                  <c:v>-43.006185161286851</c:v>
                </c:pt>
                <c:pt idx="261">
                  <c:v>-43.004802427112054</c:v>
                </c:pt>
                <c:pt idx="262">
                  <c:v>-43.004802427112054</c:v>
                </c:pt>
                <c:pt idx="263">
                  <c:v>-43.008106914974633</c:v>
                </c:pt>
                <c:pt idx="264">
                  <c:v>-43.016098442629968</c:v>
                </c:pt>
                <c:pt idx="265">
                  <c:v>-43.016098442629968</c:v>
                </c:pt>
                <c:pt idx="266">
                  <c:v>-43.028776569340266</c:v>
                </c:pt>
                <c:pt idx="267">
                  <c:v>-43.046140595898862</c:v>
                </c:pt>
                <c:pt idx="268">
                  <c:v>-43.046140595898862</c:v>
                </c:pt>
                <c:pt idx="269">
                  <c:v>-43.0681895646687</c:v>
                </c:pt>
                <c:pt idx="270">
                  <c:v>-43.094922259635268</c:v>
                </c:pt>
                <c:pt idx="271">
                  <c:v>-42.915206116927052</c:v>
                </c:pt>
                <c:pt idx="272">
                  <c:v>-42.915206116927052</c:v>
                </c:pt>
                <c:pt idx="273">
                  <c:v>-42.949039036462125</c:v>
                </c:pt>
                <c:pt idx="274">
                  <c:v>-42.987562253420748</c:v>
                </c:pt>
                <c:pt idx="275">
                  <c:v>-43.030773643223171</c:v>
                </c:pt>
                <c:pt idx="276">
                  <c:v>-43.030773643223171</c:v>
                </c:pt>
                <c:pt idx="277">
                  <c:v>-43.078670822733997</c:v>
                </c:pt>
                <c:pt idx="278">
                  <c:v>-42.91114098299758</c:v>
                </c:pt>
                <c:pt idx="279">
                  <c:v>-42.966186829682186</c:v>
                </c:pt>
                <c:pt idx="280">
                  <c:v>-42.966186829682186</c:v>
                </c:pt>
                <c:pt idx="281">
                  <c:v>-43.025922028078696</c:v>
                </c:pt>
                <c:pt idx="282">
                  <c:v>-43.090343283753242</c:v>
                </c:pt>
                <c:pt idx="283">
                  <c:v>-42.932729594123302</c:v>
                </c:pt>
                <c:pt idx="284">
                  <c:v>-43.004334466001382</c:v>
                </c:pt>
                <c:pt idx="285">
                  <c:v>-43.004334466001382</c:v>
                </c:pt>
                <c:pt idx="286">
                  <c:v>-43.080626585725199</c:v>
                </c:pt>
                <c:pt idx="287">
                  <c:v>-42.9305417567505</c:v>
                </c:pt>
                <c:pt idx="288">
                  <c:v>-43.01404327653637</c:v>
                </c:pt>
                <c:pt idx="289">
                  <c:v>-43.102231508720905</c:v>
                </c:pt>
                <c:pt idx="290">
                  <c:v>-42.869019305054223</c:v>
                </c:pt>
                <c:pt idx="291">
                  <c:v>-42.959750033119903</c:v>
                </c:pt>
                <c:pt idx="292">
                  <c:v>-43.055170467890974</c:v>
                </c:pt>
                <c:pt idx="293">
                  <c:v>-42.917797417228641</c:v>
                </c:pt>
                <c:pt idx="294">
                  <c:v>-43.02046794353241</c:v>
                </c:pt>
                <c:pt idx="295">
                  <c:v>-43.12782482791043</c:v>
                </c:pt>
                <c:pt idx="296">
                  <c:v>-42.998170881454996</c:v>
                </c:pt>
                <c:pt idx="297">
                  <c:v>-42.998170881454996</c:v>
                </c:pt>
                <c:pt idx="298">
                  <c:v>-42.871104460340803</c:v>
                </c:pt>
                <c:pt idx="299">
                  <c:v>-42.988323840468979</c:v>
                </c:pt>
                <c:pt idx="300">
                  <c:v>-43.110231351438955</c:v>
                </c:pt>
                <c:pt idx="301">
                  <c:v>-42.990968980369331</c:v>
                </c:pt>
                <c:pt idx="302">
                  <c:v>-43.120172595372225</c:v>
                </c:pt>
                <c:pt idx="303">
                  <c:v>-43.006146050429976</c:v>
                </c:pt>
                <c:pt idx="304">
                  <c:v>-43.142657943028667</c:v>
                </c:pt>
                <c:pt idx="305">
                  <c:v>-42.894746923783771</c:v>
                </c:pt>
                <c:pt idx="306">
                  <c:v>-43.033892378410656</c:v>
                </c:pt>
                <c:pt idx="307">
                  <c:v>-42.927766374310409</c:v>
                </c:pt>
                <c:pt idx="308">
                  <c:v>-43.074242860079337</c:v>
                </c:pt>
                <c:pt idx="309">
                  <c:v>-42.973413389866636</c:v>
                </c:pt>
                <c:pt idx="310">
                  <c:v>-42.875240600916612</c:v>
                </c:pt>
                <c:pt idx="311">
                  <c:v>-43.031719255855762</c:v>
                </c:pt>
                <c:pt idx="312">
                  <c:v>-42.938875925488617</c:v>
                </c:pt>
                <c:pt idx="313">
                  <c:v>-43.102712801382239</c:v>
                </c:pt>
                <c:pt idx="314">
                  <c:v>-43.015219410788646</c:v>
                </c:pt>
                <c:pt idx="315">
                  <c:v>-42.930408301887098</c:v>
                </c:pt>
                <c:pt idx="316">
                  <c:v>-43.104296240769457</c:v>
                </c:pt>
                <c:pt idx="317">
                  <c:v>-43.024863579223094</c:v>
                </c:pt>
                <c:pt idx="318">
                  <c:v>-42.948126786715079</c:v>
                </c:pt>
                <c:pt idx="319">
                  <c:v>-43.132092430647418</c:v>
                </c:pt>
                <c:pt idx="320">
                  <c:v>-43.060759923551458</c:v>
                </c:pt>
                <c:pt idx="321">
                  <c:v>-42.992135534779436</c:v>
                </c:pt>
                <c:pt idx="322">
                  <c:v>-43.186201401951323</c:v>
                </c:pt>
                <c:pt idx="323">
                  <c:v>-43.123004454299092</c:v>
                </c:pt>
                <c:pt idx="324">
                  <c:v>-43.062526530115889</c:v>
                </c:pt>
                <c:pt idx="325">
                  <c:v>-43.004770964797416</c:v>
                </c:pt>
                <c:pt idx="326">
                  <c:v>-43.211680976193065</c:v>
                </c:pt>
                <c:pt idx="327">
                  <c:v>-43.159379534056214</c:v>
                </c:pt>
                <c:pt idx="328">
                  <c:v>-43.109809555437906</c:v>
                </c:pt>
                <c:pt idx="329">
                  <c:v>-43.062973774153761</c:v>
                </c:pt>
                <c:pt idx="330">
                  <c:v>-43.018874773226671</c:v>
                </c:pt>
                <c:pt idx="331">
                  <c:v>-42.977514984744374</c:v>
                </c:pt>
                <c:pt idx="332">
                  <c:v>-42.938896689725311</c:v>
                </c:pt>
                <c:pt idx="333">
                  <c:v>-42.903022017992839</c:v>
                </c:pt>
                <c:pt idx="334">
                  <c:v>-43.133780214145062</c:v>
                </c:pt>
                <c:pt idx="335">
                  <c:v>-43.103398573096442</c:v>
                </c:pt>
                <c:pt idx="336">
                  <c:v>-43.075766036500966</c:v>
                </c:pt>
                <c:pt idx="337">
                  <c:v>-43.050884128310486</c:v>
                </c:pt>
                <c:pt idx="338">
                  <c:v>-43.028754220777969</c:v>
                </c:pt>
                <c:pt idx="339">
                  <c:v>-43.009377534381713</c:v>
                </c:pt>
                <c:pt idx="340">
                  <c:v>-42.99275513775828</c:v>
                </c:pt>
                <c:pt idx="341">
                  <c:v>-42.96777672882105</c:v>
                </c:pt>
                <c:pt idx="342">
                  <c:v>-42.959422094082271</c:v>
                </c:pt>
                <c:pt idx="343">
                  <c:v>-42.953824504190365</c:v>
                </c:pt>
                <c:pt idx="344">
                  <c:v>-42.687097001768592</c:v>
                </c:pt>
                <c:pt idx="345">
                  <c:v>-42.42774903166341</c:v>
                </c:pt>
                <c:pt idx="346">
                  <c:v>-42.441370411058898</c:v>
                </c:pt>
                <c:pt idx="347">
                  <c:v>-41.93433556234109</c:v>
                </c:pt>
                <c:pt idx="348">
                  <c:v>-41.708482434096567</c:v>
                </c:pt>
                <c:pt idx="349">
                  <c:v>-41.495650916034322</c:v>
                </c:pt>
                <c:pt idx="350">
                  <c:v>-41.045888856955798</c:v>
                </c:pt>
                <c:pt idx="351">
                  <c:v>-40.861158852449634</c:v>
                </c:pt>
                <c:pt idx="352">
                  <c:v>-40.165548283535173</c:v>
                </c:pt>
                <c:pt idx="353">
                  <c:v>-39.726932884391687</c:v>
                </c:pt>
                <c:pt idx="354">
                  <c:v>-39.532776689537457</c:v>
                </c:pt>
                <c:pt idx="355">
                  <c:v>-39.299564485870746</c:v>
                </c:pt>
                <c:pt idx="356">
                  <c:v>-38.839609465684731</c:v>
                </c:pt>
                <c:pt idx="357">
                  <c:v>-38.61289201597512</c:v>
                </c:pt>
                <c:pt idx="358">
                  <c:v>-38.388364651366672</c:v>
                </c:pt>
                <c:pt idx="359">
                  <c:v>-38.124844392991989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3-40B2-9F1C-150A27EB826E}"/>
            </c:ext>
          </c:extLst>
        </c:ser>
        <c:ser>
          <c:idx val="1"/>
          <c:order val="1"/>
          <c:tx>
            <c:v>Measured path</c:v>
          </c:tx>
          <c:spPr>
            <a:ln w="12700" cmpd="sng"/>
          </c:spPr>
          <c:marker>
            <c:symbol val="none"/>
          </c:marker>
          <c:xVal>
            <c:numRef>
              <c:f>'Scaled Data'!$F$2:$F$920</c:f>
              <c:numCache>
                <c:formatCode>0.000</c:formatCode>
                <c:ptCount val="919"/>
                <c:pt idx="0">
                  <c:v>50.015600881676633</c:v>
                </c:pt>
                <c:pt idx="1">
                  <c:v>49.996501011537759</c:v>
                </c:pt>
                <c:pt idx="2">
                  <c:v>50.310605259353203</c:v>
                </c:pt>
                <c:pt idx="3">
                  <c:v>50.354626604522153</c:v>
                </c:pt>
                <c:pt idx="4">
                  <c:v>50.353730351896736</c:v>
                </c:pt>
                <c:pt idx="5">
                  <c:v>50.745433120942216</c:v>
                </c:pt>
                <c:pt idx="6">
                  <c:v>51.742138709533549</c:v>
                </c:pt>
                <c:pt idx="7">
                  <c:v>49.630305107750665</c:v>
                </c:pt>
                <c:pt idx="8">
                  <c:v>47.914098408129931</c:v>
                </c:pt>
                <c:pt idx="9">
                  <c:v>46.943493149373261</c:v>
                </c:pt>
                <c:pt idx="10">
                  <c:v>46.34083996508862</c:v>
                </c:pt>
                <c:pt idx="11">
                  <c:v>45.422544369698983</c:v>
                </c:pt>
                <c:pt idx="12">
                  <c:v>44.297178083272975</c:v>
                </c:pt>
                <c:pt idx="13">
                  <c:v>43.803423630150036</c:v>
                </c:pt>
                <c:pt idx="14">
                  <c:v>43.176232502364215</c:v>
                </c:pt>
                <c:pt idx="15">
                  <c:v>41.262462656449685</c:v>
                </c:pt>
                <c:pt idx="16">
                  <c:v>40.337416906151518</c:v>
                </c:pt>
                <c:pt idx="17">
                  <c:v>39.818563342343019</c:v>
                </c:pt>
                <c:pt idx="18">
                  <c:v>38.972533161344806</c:v>
                </c:pt>
                <c:pt idx="19">
                  <c:v>37.530850255757748</c:v>
                </c:pt>
                <c:pt idx="20">
                  <c:v>36.596078953321658</c:v>
                </c:pt>
                <c:pt idx="21">
                  <c:v>36.027826528591731</c:v>
                </c:pt>
                <c:pt idx="22">
                  <c:v>34.96888790297001</c:v>
                </c:pt>
                <c:pt idx="23">
                  <c:v>33.346065074873749</c:v>
                </c:pt>
                <c:pt idx="24">
                  <c:v>32.655534724384736</c:v>
                </c:pt>
                <c:pt idx="25">
                  <c:v>31.971887755545861</c:v>
                </c:pt>
                <c:pt idx="26">
                  <c:v>30.736690150766851</c:v>
                </c:pt>
                <c:pt idx="27">
                  <c:v>29.775364336422399</c:v>
                </c:pt>
                <c:pt idx="28">
                  <c:v>28.885129118838769</c:v>
                </c:pt>
                <c:pt idx="29">
                  <c:v>28.421310310839431</c:v>
                </c:pt>
                <c:pt idx="30">
                  <c:v>27.061971624505716</c:v>
                </c:pt>
                <c:pt idx="31">
                  <c:v>26.142775739316669</c:v>
                </c:pt>
                <c:pt idx="32">
                  <c:v>24.994744758120085</c:v>
                </c:pt>
                <c:pt idx="33">
                  <c:v>24.060268169385139</c:v>
                </c:pt>
                <c:pt idx="34">
                  <c:v>23.006650539080059</c:v>
                </c:pt>
                <c:pt idx="35">
                  <c:v>22.041463167815756</c:v>
                </c:pt>
                <c:pt idx="36">
                  <c:v>21.694526602540073</c:v>
                </c:pt>
                <c:pt idx="37">
                  <c:v>20.389766471354832</c:v>
                </c:pt>
                <c:pt idx="38">
                  <c:v>19.164145043276186</c:v>
                </c:pt>
                <c:pt idx="39">
                  <c:v>17.565539203349033</c:v>
                </c:pt>
                <c:pt idx="40">
                  <c:v>17.202476146576895</c:v>
                </c:pt>
                <c:pt idx="41">
                  <c:v>16.294116036372579</c:v>
                </c:pt>
                <c:pt idx="42">
                  <c:v>14.855912165469977</c:v>
                </c:pt>
                <c:pt idx="43">
                  <c:v>14.35440633828941</c:v>
                </c:pt>
                <c:pt idx="44">
                  <c:v>13.809955072807789</c:v>
                </c:pt>
                <c:pt idx="45">
                  <c:v>13.774510703777086</c:v>
                </c:pt>
                <c:pt idx="46">
                  <c:v>12.034006272507479</c:v>
                </c:pt>
                <c:pt idx="47">
                  <c:v>11.645159804058755</c:v>
                </c:pt>
                <c:pt idx="48">
                  <c:v>10.931212835143828</c:v>
                </c:pt>
                <c:pt idx="49">
                  <c:v>10.124921567006423</c:v>
                </c:pt>
                <c:pt idx="50">
                  <c:v>8.3644977192783045</c:v>
                </c:pt>
                <c:pt idx="51">
                  <c:v>7.3087212101829557</c:v>
                </c:pt>
                <c:pt idx="52">
                  <c:v>6.4703747805780658</c:v>
                </c:pt>
                <c:pt idx="53">
                  <c:v>5.7152996063035904</c:v>
                </c:pt>
                <c:pt idx="54">
                  <c:v>4.5287615549593916</c:v>
                </c:pt>
                <c:pt idx="55">
                  <c:v>3.4173275559671801</c:v>
                </c:pt>
                <c:pt idx="56">
                  <c:v>2.3616113521582811</c:v>
                </c:pt>
                <c:pt idx="57">
                  <c:v>1.5373322029924168</c:v>
                </c:pt>
                <c:pt idx="58">
                  <c:v>0.98773101744190939</c:v>
                </c:pt>
                <c:pt idx="59">
                  <c:v>0.21973638175797205</c:v>
                </c:pt>
                <c:pt idx="60">
                  <c:v>-2.0131892259249256</c:v>
                </c:pt>
                <c:pt idx="61">
                  <c:v>-3.3143128726401621</c:v>
                </c:pt>
                <c:pt idx="62">
                  <c:v>-4.1597717935190239</c:v>
                </c:pt>
                <c:pt idx="63">
                  <c:v>-5.1608398009281444</c:v>
                </c:pt>
                <c:pt idx="64">
                  <c:v>-5.7859848384719967</c:v>
                </c:pt>
                <c:pt idx="65">
                  <c:v>-6.5167965970764996</c:v>
                </c:pt>
                <c:pt idx="66">
                  <c:v>-7.2602391591502951</c:v>
                </c:pt>
                <c:pt idx="67">
                  <c:v>-8.1045505133229696</c:v>
                </c:pt>
                <c:pt idx="68">
                  <c:v>-9.4287910182954882</c:v>
                </c:pt>
                <c:pt idx="69">
                  <c:v>-10.251788617043427</c:v>
                </c:pt>
                <c:pt idx="70">
                  <c:v>-11.543636856520433</c:v>
                </c:pt>
                <c:pt idx="71">
                  <c:v>-13.093735041684084</c:v>
                </c:pt>
                <c:pt idx="72">
                  <c:v>-14.178807303825884</c:v>
                </c:pt>
                <c:pt idx="73">
                  <c:v>-14.821729280057298</c:v>
                </c:pt>
                <c:pt idx="74">
                  <c:v>-14.870733507221367</c:v>
                </c:pt>
                <c:pt idx="75">
                  <c:v>-18.937288029269595</c:v>
                </c:pt>
                <c:pt idx="76">
                  <c:v>-17.835333314802028</c:v>
                </c:pt>
                <c:pt idx="77">
                  <c:v>-18.372610522106349</c:v>
                </c:pt>
                <c:pt idx="78">
                  <c:v>-17.528370827771973</c:v>
                </c:pt>
                <c:pt idx="79">
                  <c:v>-16.729901584236991</c:v>
                </c:pt>
                <c:pt idx="80">
                  <c:v>-17.883415047709754</c:v>
                </c:pt>
                <c:pt idx="81">
                  <c:v>-16.688985835158583</c:v>
                </c:pt>
                <c:pt idx="82">
                  <c:v>-15.606411574422076</c:v>
                </c:pt>
                <c:pt idx="83">
                  <c:v>-14.399220854893734</c:v>
                </c:pt>
                <c:pt idx="84">
                  <c:v>-13.336947523557633</c:v>
                </c:pt>
                <c:pt idx="85">
                  <c:v>-12.707456215891952</c:v>
                </c:pt>
                <c:pt idx="86">
                  <c:v>-11.856618769967113</c:v>
                </c:pt>
                <c:pt idx="87">
                  <c:v>-10.279300948480522</c:v>
                </c:pt>
                <c:pt idx="88">
                  <c:v>-9.1694641564474466</c:v>
                </c:pt>
                <c:pt idx="89">
                  <c:v>-7.7014830995002903</c:v>
                </c:pt>
                <c:pt idx="90">
                  <c:v>-6.9638041079416091</c:v>
                </c:pt>
                <c:pt idx="91">
                  <c:v>-6.0841003633533326</c:v>
                </c:pt>
                <c:pt idx="92">
                  <c:v>-4.5129092057174347</c:v>
                </c:pt>
                <c:pt idx="93">
                  <c:v>-3.1410672653801157</c:v>
                </c:pt>
                <c:pt idx="94">
                  <c:v>-1.6415238345154286</c:v>
                </c:pt>
                <c:pt idx="95">
                  <c:v>-0.56836609286421336</c:v>
                </c:pt>
                <c:pt idx="96">
                  <c:v>0.9334030194040821</c:v>
                </c:pt>
                <c:pt idx="97">
                  <c:v>2.0404594601760557</c:v>
                </c:pt>
                <c:pt idx="98">
                  <c:v>3.0872446781526044</c:v>
                </c:pt>
                <c:pt idx="99">
                  <c:v>4.2487850528077011</c:v>
                </c:pt>
                <c:pt idx="100">
                  <c:v>5.3443988808798242</c:v>
                </c:pt>
                <c:pt idx="101">
                  <c:v>5.9397725358167239</c:v>
                </c:pt>
                <c:pt idx="102">
                  <c:v>7.0363406508903417</c:v>
                </c:pt>
                <c:pt idx="103">
                  <c:v>8.0020846475182914</c:v>
                </c:pt>
                <c:pt idx="104">
                  <c:v>9.0205748269507549</c:v>
                </c:pt>
                <c:pt idx="105">
                  <c:v>10.150012603344004</c:v>
                </c:pt>
                <c:pt idx="106">
                  <c:v>11.119193748976283</c:v>
                </c:pt>
                <c:pt idx="107">
                  <c:v>12.113033953329392</c:v>
                </c:pt>
                <c:pt idx="108">
                  <c:v>13.213392974778067</c:v>
                </c:pt>
                <c:pt idx="109">
                  <c:v>14.399025185208632</c:v>
                </c:pt>
                <c:pt idx="110">
                  <c:v>15.560528216004336</c:v>
                </c:pt>
                <c:pt idx="111">
                  <c:v>16.84870060856495</c:v>
                </c:pt>
                <c:pt idx="112">
                  <c:v>17.394633516900296</c:v>
                </c:pt>
                <c:pt idx="113">
                  <c:v>17.969303029684703</c:v>
                </c:pt>
                <c:pt idx="114">
                  <c:v>19.149693978984892</c:v>
                </c:pt>
                <c:pt idx="115">
                  <c:v>20.425523721369633</c:v>
                </c:pt>
                <c:pt idx="116">
                  <c:v>21.650162097582118</c:v>
                </c:pt>
                <c:pt idx="117">
                  <c:v>22.670477079657314</c:v>
                </c:pt>
                <c:pt idx="118">
                  <c:v>23.373264290374951</c:v>
                </c:pt>
                <c:pt idx="119">
                  <c:v>24.713878563750711</c:v>
                </c:pt>
                <c:pt idx="120">
                  <c:v>25.672731609027299</c:v>
                </c:pt>
                <c:pt idx="121">
                  <c:v>26.807811336069264</c:v>
                </c:pt>
                <c:pt idx="122">
                  <c:v>27.737144565143051</c:v>
                </c:pt>
                <c:pt idx="123">
                  <c:v>29.16428153285009</c:v>
                </c:pt>
                <c:pt idx="124">
                  <c:v>30.070830970520632</c:v>
                </c:pt>
                <c:pt idx="125">
                  <c:v>31.335984406293186</c:v>
                </c:pt>
                <c:pt idx="126">
                  <c:v>31.929907201828023</c:v>
                </c:pt>
                <c:pt idx="127">
                  <c:v>32.987237013615392</c:v>
                </c:pt>
                <c:pt idx="128">
                  <c:v>33.744049686645099</c:v>
                </c:pt>
                <c:pt idx="129">
                  <c:v>35.131485085350725</c:v>
                </c:pt>
                <c:pt idx="130">
                  <c:v>36.083378042671399</c:v>
                </c:pt>
                <c:pt idx="131">
                  <c:v>36.979743708956335</c:v>
                </c:pt>
                <c:pt idx="132">
                  <c:v>37.980232129574759</c:v>
                </c:pt>
                <c:pt idx="133">
                  <c:v>39.269709538627104</c:v>
                </c:pt>
                <c:pt idx="134">
                  <c:v>40.052105783220981</c:v>
                </c:pt>
                <c:pt idx="135">
                  <c:v>40.666624221857376</c:v>
                </c:pt>
                <c:pt idx="136">
                  <c:v>41.863291038091589</c:v>
                </c:pt>
                <c:pt idx="137">
                  <c:v>43.026861101969331</c:v>
                </c:pt>
                <c:pt idx="138">
                  <c:v>43.972964751790713</c:v>
                </c:pt>
                <c:pt idx="139">
                  <c:v>45.419064325721024</c:v>
                </c:pt>
                <c:pt idx="140">
                  <c:v>45.978132179627458</c:v>
                </c:pt>
                <c:pt idx="141">
                  <c:v>46.598161360757942</c:v>
                </c:pt>
                <c:pt idx="142">
                  <c:v>47.64529125246375</c:v>
                </c:pt>
                <c:pt idx="143">
                  <c:v>48.73507388735645</c:v>
                </c:pt>
                <c:pt idx="144">
                  <c:v>48.995568501780625</c:v>
                </c:pt>
                <c:pt idx="145">
                  <c:v>50.101774360457924</c:v>
                </c:pt>
                <c:pt idx="146">
                  <c:v>50.797811416267038</c:v>
                </c:pt>
                <c:pt idx="147">
                  <c:v>52.331412699220806</c:v>
                </c:pt>
                <c:pt idx="148">
                  <c:v>52.797500399001599</c:v>
                </c:pt>
                <c:pt idx="149">
                  <c:v>53.134467163113058</c:v>
                </c:pt>
                <c:pt idx="150">
                  <c:v>53.904990079007199</c:v>
                </c:pt>
                <c:pt idx="151">
                  <c:v>54.062678057818083</c:v>
                </c:pt>
                <c:pt idx="152">
                  <c:v>55.069722848993578</c:v>
                </c:pt>
                <c:pt idx="153">
                  <c:v>53.484712192472188</c:v>
                </c:pt>
                <c:pt idx="154">
                  <c:v>52.782748565248177</c:v>
                </c:pt>
                <c:pt idx="155">
                  <c:v>52.615702417132297</c:v>
                </c:pt>
                <c:pt idx="156">
                  <c:v>52.828041620223452</c:v>
                </c:pt>
                <c:pt idx="157">
                  <c:v>50.382172242644643</c:v>
                </c:pt>
                <c:pt idx="158">
                  <c:v>49.0527792943695</c:v>
                </c:pt>
                <c:pt idx="159">
                  <c:v>47.901821362031363</c:v>
                </c:pt>
                <c:pt idx="160">
                  <c:v>46.994648180979624</c:v>
                </c:pt>
                <c:pt idx="161">
                  <c:v>46.237710355556274</c:v>
                </c:pt>
                <c:pt idx="162">
                  <c:v>45.540914311037341</c:v>
                </c:pt>
                <c:pt idx="163">
                  <c:v>45.029763675198609</c:v>
                </c:pt>
                <c:pt idx="164">
                  <c:v>44.014204484081688</c:v>
                </c:pt>
                <c:pt idx="165">
                  <c:v>42.402645371412916</c:v>
                </c:pt>
                <c:pt idx="166">
                  <c:v>40.972024322553935</c:v>
                </c:pt>
                <c:pt idx="167">
                  <c:v>40.442363243978626</c:v>
                </c:pt>
                <c:pt idx="168">
                  <c:v>39.589385086546471</c:v>
                </c:pt>
                <c:pt idx="169">
                  <c:v>38.53288087683972</c:v>
                </c:pt>
                <c:pt idx="170">
                  <c:v>37.676979805439998</c:v>
                </c:pt>
                <c:pt idx="171">
                  <c:v>36.666874836381325</c:v>
                </c:pt>
                <c:pt idx="172">
                  <c:v>35.943643376586699</c:v>
                </c:pt>
                <c:pt idx="173">
                  <c:v>34.444672972104982</c:v>
                </c:pt>
                <c:pt idx="174">
                  <c:v>33.824106846834042</c:v>
                </c:pt>
                <c:pt idx="175">
                  <c:v>32.760586028735545</c:v>
                </c:pt>
                <c:pt idx="176">
                  <c:v>31.382771215644151</c:v>
                </c:pt>
                <c:pt idx="177">
                  <c:v>30.945547291293053</c:v>
                </c:pt>
                <c:pt idx="178">
                  <c:v>30.125019938379236</c:v>
                </c:pt>
                <c:pt idx="179">
                  <c:v>29.449465484800001</c:v>
                </c:pt>
                <c:pt idx="180">
                  <c:v>28.222802465832359</c:v>
                </c:pt>
                <c:pt idx="181">
                  <c:v>27.231008099397847</c:v>
                </c:pt>
                <c:pt idx="182">
                  <c:v>25.749391487305044</c:v>
                </c:pt>
                <c:pt idx="183">
                  <c:v>25.146976496285717</c:v>
                </c:pt>
                <c:pt idx="184">
                  <c:v>23.715939618505931</c:v>
                </c:pt>
                <c:pt idx="185">
                  <c:v>22.560028073684087</c:v>
                </c:pt>
                <c:pt idx="186">
                  <c:v>22.409873461535462</c:v>
                </c:pt>
                <c:pt idx="187">
                  <c:v>21.070821574493191</c:v>
                </c:pt>
                <c:pt idx="188">
                  <c:v>20.046461344081671</c:v>
                </c:pt>
                <c:pt idx="189">
                  <c:v>18.481277249017058</c:v>
                </c:pt>
                <c:pt idx="190">
                  <c:v>18.082539704296881</c:v>
                </c:pt>
                <c:pt idx="191">
                  <c:v>17.994161928517954</c:v>
                </c:pt>
                <c:pt idx="192">
                  <c:v>16.530676264806825</c:v>
                </c:pt>
                <c:pt idx="193">
                  <c:v>15.004336848564598</c:v>
                </c:pt>
                <c:pt idx="194">
                  <c:v>14.495619619347345</c:v>
                </c:pt>
                <c:pt idx="195">
                  <c:v>14.34400859668242</c:v>
                </c:pt>
                <c:pt idx="196">
                  <c:v>12.971121154443805</c:v>
                </c:pt>
                <c:pt idx="197">
                  <c:v>11.920486995716114</c:v>
                </c:pt>
                <c:pt idx="198">
                  <c:v>11.394705641343609</c:v>
                </c:pt>
                <c:pt idx="199">
                  <c:v>10.26306054007223</c:v>
                </c:pt>
                <c:pt idx="200">
                  <c:v>9.3060423903733458</c:v>
                </c:pt>
                <c:pt idx="201">
                  <c:v>8.3916446864694532</c:v>
                </c:pt>
                <c:pt idx="202">
                  <c:v>6.9174216538895621</c:v>
                </c:pt>
                <c:pt idx="203">
                  <c:v>6.2279263338818129</c:v>
                </c:pt>
                <c:pt idx="204">
                  <c:v>4.6932698345768422</c:v>
                </c:pt>
                <c:pt idx="205">
                  <c:v>4.1927117339900395</c:v>
                </c:pt>
                <c:pt idx="206">
                  <c:v>3.5369222749642582</c:v>
                </c:pt>
                <c:pt idx="207">
                  <c:v>2.2938292194809122</c:v>
                </c:pt>
                <c:pt idx="208">
                  <c:v>0.34203096085975915</c:v>
                </c:pt>
                <c:pt idx="209">
                  <c:v>-0.39104842790932537</c:v>
                </c:pt>
                <c:pt idx="210">
                  <c:v>-0.99009397143968059</c:v>
                </c:pt>
                <c:pt idx="211">
                  <c:v>-1.6444985378555614</c:v>
                </c:pt>
                <c:pt idx="212">
                  <c:v>-2.4735355596475372</c:v>
                </c:pt>
                <c:pt idx="213">
                  <c:v>-3.373408773158225</c:v>
                </c:pt>
                <c:pt idx="214">
                  <c:v>-4.0855655077326958</c:v>
                </c:pt>
                <c:pt idx="215">
                  <c:v>-6.33731948560375</c:v>
                </c:pt>
                <c:pt idx="216">
                  <c:v>-8.1852495841760593</c:v>
                </c:pt>
                <c:pt idx="217">
                  <c:v>-9.0870513052363044</c:v>
                </c:pt>
                <c:pt idx="218">
                  <c:v>-10.363039002053338</c:v>
                </c:pt>
                <c:pt idx="219">
                  <c:v>-11.143078546331513</c:v>
                </c:pt>
                <c:pt idx="220">
                  <c:v>-12.400230303259157</c:v>
                </c:pt>
                <c:pt idx="221">
                  <c:v>-13.611630785963847</c:v>
                </c:pt>
                <c:pt idx="222">
                  <c:v>-14.70454223069752</c:v>
                </c:pt>
                <c:pt idx="223">
                  <c:v>-15.526011254444121</c:v>
                </c:pt>
                <c:pt idx="224">
                  <c:v>-15.577627533178649</c:v>
                </c:pt>
                <c:pt idx="225">
                  <c:v>-15.349972301269197</c:v>
                </c:pt>
                <c:pt idx="226">
                  <c:v>-18.722409443739771</c:v>
                </c:pt>
                <c:pt idx="227">
                  <c:v>-16.760465009915777</c:v>
                </c:pt>
                <c:pt idx="228">
                  <c:v>-16.988672325368135</c:v>
                </c:pt>
                <c:pt idx="229">
                  <c:v>-17.144013696798289</c:v>
                </c:pt>
                <c:pt idx="230">
                  <c:v>-15.86737752890938</c:v>
                </c:pt>
                <c:pt idx="231">
                  <c:v>-15.812246890217999</c:v>
                </c:pt>
                <c:pt idx="232">
                  <c:v>-14.684135325479922</c:v>
                </c:pt>
                <c:pt idx="233">
                  <c:v>-13.532743396938031</c:v>
                </c:pt>
                <c:pt idx="234">
                  <c:v>-12.643526556492965</c:v>
                </c:pt>
                <c:pt idx="235">
                  <c:v>-11.753498244076237</c:v>
                </c:pt>
                <c:pt idx="236">
                  <c:v>-10.934143690206032</c:v>
                </c:pt>
                <c:pt idx="237">
                  <c:v>-9.8582025063323826</c:v>
                </c:pt>
                <c:pt idx="238">
                  <c:v>-9.3186074565119945</c:v>
                </c:pt>
                <c:pt idx="239">
                  <c:v>-7.6131007819006271</c:v>
                </c:pt>
                <c:pt idx="240">
                  <c:v>-6.3272396714483428</c:v>
                </c:pt>
                <c:pt idx="241">
                  <c:v>-4.8227681127607518</c:v>
                </c:pt>
                <c:pt idx="242">
                  <c:v>-3.5616841483684567</c:v>
                </c:pt>
                <c:pt idx="243">
                  <c:v>-2.5476208563759037</c:v>
                </c:pt>
                <c:pt idx="244">
                  <c:v>-1.1543637088759056</c:v>
                </c:pt>
                <c:pt idx="245">
                  <c:v>0.19963630176348346</c:v>
                </c:pt>
                <c:pt idx="246">
                  <c:v>1.5947746284388771</c:v>
                </c:pt>
                <c:pt idx="247">
                  <c:v>2.6743901452886725</c:v>
                </c:pt>
                <c:pt idx="248">
                  <c:v>3.5121526986054974</c:v>
                </c:pt>
                <c:pt idx="249">
                  <c:v>4.8421724181423347</c:v>
                </c:pt>
                <c:pt idx="250">
                  <c:v>5.9927644815877805</c:v>
                </c:pt>
                <c:pt idx="251">
                  <c:v>6.237187611011084</c:v>
                </c:pt>
                <c:pt idx="252">
                  <c:v>7.2938477565631334</c:v>
                </c:pt>
                <c:pt idx="253">
                  <c:v>8.6184309166779105</c:v>
                </c:pt>
                <c:pt idx="254">
                  <c:v>9.9499161303725181</c:v>
                </c:pt>
                <c:pt idx="255">
                  <c:v>10.599063428893968</c:v>
                </c:pt>
                <c:pt idx="256">
                  <c:v>11.173818731625627</c:v>
                </c:pt>
                <c:pt idx="257">
                  <c:v>12.638329837529799</c:v>
                </c:pt>
                <c:pt idx="258">
                  <c:v>13.704092296485326</c:v>
                </c:pt>
                <c:pt idx="259">
                  <c:v>15.325801873854296</c:v>
                </c:pt>
                <c:pt idx="260">
                  <c:v>16.413095590983183</c:v>
                </c:pt>
                <c:pt idx="261">
                  <c:v>17.278157010162467</c:v>
                </c:pt>
                <c:pt idx="262">
                  <c:v>18.208725614476688</c:v>
                </c:pt>
                <c:pt idx="263">
                  <c:v>18.769345761781643</c:v>
                </c:pt>
                <c:pt idx="264">
                  <c:v>19.202685924755951</c:v>
                </c:pt>
                <c:pt idx="265">
                  <c:v>20.437187117021971</c:v>
                </c:pt>
                <c:pt idx="266">
                  <c:v>21.456131478528121</c:v>
                </c:pt>
                <c:pt idx="267">
                  <c:v>22.514313134027031</c:v>
                </c:pt>
                <c:pt idx="268">
                  <c:v>23.672134262145363</c:v>
                </c:pt>
                <c:pt idx="269">
                  <c:v>24.920495072713379</c:v>
                </c:pt>
                <c:pt idx="270">
                  <c:v>25.94642172663238</c:v>
                </c:pt>
                <c:pt idx="271">
                  <c:v>26.761216292482747</c:v>
                </c:pt>
                <c:pt idx="272">
                  <c:v>27.82363698066942</c:v>
                </c:pt>
                <c:pt idx="273">
                  <c:v>29.140502578058722</c:v>
                </c:pt>
                <c:pt idx="274">
                  <c:v>30.018519288566615</c:v>
                </c:pt>
                <c:pt idx="275">
                  <c:v>31.679555987049582</c:v>
                </c:pt>
                <c:pt idx="276">
                  <c:v>32.864062835230889</c:v>
                </c:pt>
                <c:pt idx="277">
                  <c:v>33.609781354140623</c:v>
                </c:pt>
                <c:pt idx="278">
                  <c:v>34.542118240661736</c:v>
                </c:pt>
                <c:pt idx="279">
                  <c:v>35.564738449084281</c:v>
                </c:pt>
                <c:pt idx="280">
                  <c:v>36.238349003388123</c:v>
                </c:pt>
                <c:pt idx="281">
                  <c:v>36.998532716698108</c:v>
                </c:pt>
                <c:pt idx="282">
                  <c:v>37.929634227978795</c:v>
                </c:pt>
                <c:pt idx="283">
                  <c:v>39.577471386106851</c:v>
                </c:pt>
                <c:pt idx="284">
                  <c:v>40.636987327608907</c:v>
                </c:pt>
                <c:pt idx="285">
                  <c:v>41.288926331943301</c:v>
                </c:pt>
                <c:pt idx="286">
                  <c:v>42.266055663865146</c:v>
                </c:pt>
                <c:pt idx="287">
                  <c:v>43.584955996944572</c:v>
                </c:pt>
                <c:pt idx="288">
                  <c:v>44.472492363716988</c:v>
                </c:pt>
                <c:pt idx="289">
                  <c:v>46.008810664764908</c:v>
                </c:pt>
                <c:pt idx="290">
                  <c:v>46.549977689207012</c:v>
                </c:pt>
                <c:pt idx="291">
                  <c:v>47.137245203422054</c:v>
                </c:pt>
                <c:pt idx="292">
                  <c:v>48.066574395321858</c:v>
                </c:pt>
                <c:pt idx="293">
                  <c:v>49.126756470531987</c:v>
                </c:pt>
                <c:pt idx="294">
                  <c:v>48.957397021720794</c:v>
                </c:pt>
                <c:pt idx="295">
                  <c:v>49.993561948874245</c:v>
                </c:pt>
                <c:pt idx="296">
                  <c:v>51.061354097052416</c:v>
                </c:pt>
                <c:pt idx="297">
                  <c:v>52.375211999820394</c:v>
                </c:pt>
                <c:pt idx="298">
                  <c:v>53.254185520563531</c:v>
                </c:pt>
                <c:pt idx="299">
                  <c:v>54.38900686847024</c:v>
                </c:pt>
                <c:pt idx="300">
                  <c:v>53.203926741582585</c:v>
                </c:pt>
                <c:pt idx="301">
                  <c:v>55.741225998475507</c:v>
                </c:pt>
                <c:pt idx="302">
                  <c:v>54.267382964897266</c:v>
                </c:pt>
                <c:pt idx="303">
                  <c:v>54.64345783343385</c:v>
                </c:pt>
                <c:pt idx="304">
                  <c:v>53.56296877306233</c:v>
                </c:pt>
                <c:pt idx="305">
                  <c:v>53.462507735536278</c:v>
                </c:pt>
                <c:pt idx="306">
                  <c:v>53.235142170860492</c:v>
                </c:pt>
                <c:pt idx="307">
                  <c:v>50.632186353395063</c:v>
                </c:pt>
                <c:pt idx="308">
                  <c:v>49.251803897647079</c:v>
                </c:pt>
                <c:pt idx="309">
                  <c:v>48.216163803112117</c:v>
                </c:pt>
                <c:pt idx="310">
                  <c:v>47.160507399942922</c:v>
                </c:pt>
                <c:pt idx="311">
                  <c:v>46.460287831881871</c:v>
                </c:pt>
                <c:pt idx="312">
                  <c:v>45.568786960252893</c:v>
                </c:pt>
                <c:pt idx="313">
                  <c:v>44.68999511233924</c:v>
                </c:pt>
                <c:pt idx="314">
                  <c:v>44.072812138870532</c:v>
                </c:pt>
                <c:pt idx="315">
                  <c:v>43.261396687648414</c:v>
                </c:pt>
                <c:pt idx="316">
                  <c:v>41.402330549276002</c:v>
                </c:pt>
                <c:pt idx="317">
                  <c:v>40.554661275638516</c:v>
                </c:pt>
                <c:pt idx="318">
                  <c:v>40.007757426958975</c:v>
                </c:pt>
                <c:pt idx="319">
                  <c:v>38.979255056035406</c:v>
                </c:pt>
                <c:pt idx="320">
                  <c:v>37.643031209371976</c:v>
                </c:pt>
                <c:pt idx="321">
                  <c:v>36.965944648264163</c:v>
                </c:pt>
                <c:pt idx="322">
                  <c:v>36.143523860749809</c:v>
                </c:pt>
                <c:pt idx="323">
                  <c:v>34.775660681539698</c:v>
                </c:pt>
                <c:pt idx="324">
                  <c:v>33.964669133586355</c:v>
                </c:pt>
                <c:pt idx="325">
                  <c:v>33.10211479945383</c:v>
                </c:pt>
                <c:pt idx="326">
                  <c:v>31.94970348447989</c:v>
                </c:pt>
                <c:pt idx="327">
                  <c:v>31.617514715783642</c:v>
                </c:pt>
                <c:pt idx="328">
                  <c:v>30.334066826082889</c:v>
                </c:pt>
                <c:pt idx="329">
                  <c:v>29.681160918578289</c:v>
                </c:pt>
                <c:pt idx="330">
                  <c:v>28.80230043870683</c:v>
                </c:pt>
                <c:pt idx="331">
                  <c:v>27.488979480079298</c:v>
                </c:pt>
                <c:pt idx="332">
                  <c:v>26.233414332529073</c:v>
                </c:pt>
                <c:pt idx="333">
                  <c:v>25.190987748519692</c:v>
                </c:pt>
                <c:pt idx="334">
                  <c:v>23.685475103589859</c:v>
                </c:pt>
                <c:pt idx="335">
                  <c:v>22.686954805290757</c:v>
                </c:pt>
                <c:pt idx="336">
                  <c:v>22.143975089727888</c:v>
                </c:pt>
                <c:pt idx="337">
                  <c:v>21.316998351367683</c:v>
                </c:pt>
                <c:pt idx="338">
                  <c:v>20.391229946925609</c:v>
                </c:pt>
                <c:pt idx="339">
                  <c:v>18.715065957508305</c:v>
                </c:pt>
                <c:pt idx="340">
                  <c:v>18.118416050944337</c:v>
                </c:pt>
                <c:pt idx="341">
                  <c:v>18.111768843972524</c:v>
                </c:pt>
                <c:pt idx="342">
                  <c:v>16.730710161581491</c:v>
                </c:pt>
                <c:pt idx="343">
                  <c:v>15.331958564186527</c:v>
                </c:pt>
                <c:pt idx="344">
                  <c:v>14.511994397044084</c:v>
                </c:pt>
                <c:pt idx="345">
                  <c:v>14.268068344668094</c:v>
                </c:pt>
                <c:pt idx="346">
                  <c:v>12.940732336540012</c:v>
                </c:pt>
                <c:pt idx="347">
                  <c:v>12.059902725055737</c:v>
                </c:pt>
                <c:pt idx="348">
                  <c:v>11.642136970034981</c:v>
                </c:pt>
                <c:pt idx="349">
                  <c:v>10.632583075225725</c:v>
                </c:pt>
                <c:pt idx="350">
                  <c:v>9.4981674633048403</c:v>
                </c:pt>
                <c:pt idx="351">
                  <c:v>9.06665109367977</c:v>
                </c:pt>
                <c:pt idx="352">
                  <c:v>7.16032579659975</c:v>
                </c:pt>
                <c:pt idx="353">
                  <c:v>5.2912091135833386</c:v>
                </c:pt>
                <c:pt idx="354">
                  <c:v>4.4635682601020505</c:v>
                </c:pt>
                <c:pt idx="355">
                  <c:v>3.9731157106548309</c:v>
                </c:pt>
                <c:pt idx="356">
                  <c:v>3.3941536726273149</c:v>
                </c:pt>
                <c:pt idx="357">
                  <c:v>2.6713347615496161</c:v>
                </c:pt>
                <c:pt idx="358">
                  <c:v>2.0971358318582283</c:v>
                </c:pt>
                <c:pt idx="359">
                  <c:v>1.5748345214636785</c:v>
                </c:pt>
                <c:pt idx="360">
                  <c:v>-1.5033683342686039</c:v>
                </c:pt>
                <c:pt idx="361">
                  <c:v>-2.6715797604543852</c:v>
                </c:pt>
                <c:pt idx="362">
                  <c:v>-3.4734491876193658</c:v>
                </c:pt>
                <c:pt idx="363">
                  <c:v>-4.5087347678134826</c:v>
                </c:pt>
                <c:pt idx="364">
                  <c:v>-5.2302660727122685</c:v>
                </c:pt>
                <c:pt idx="365">
                  <c:v>-6.0382950919282834</c:v>
                </c:pt>
                <c:pt idx="366">
                  <c:v>-6.7848790800117662</c:v>
                </c:pt>
                <c:pt idx="367">
                  <c:v>-7.6851774584081021</c:v>
                </c:pt>
                <c:pt idx="368">
                  <c:v>-8.7321165936429566</c:v>
                </c:pt>
                <c:pt idx="369">
                  <c:v>-9.7716495331961895</c:v>
                </c:pt>
                <c:pt idx="370">
                  <c:v>-10.881937984069207</c:v>
                </c:pt>
                <c:pt idx="371">
                  <c:v>-12.153976820078888</c:v>
                </c:pt>
                <c:pt idx="372">
                  <c:v>-13.272067109684386</c:v>
                </c:pt>
                <c:pt idx="373">
                  <c:v>-14.041624131701816</c:v>
                </c:pt>
                <c:pt idx="374">
                  <c:v>-14.084244577496804</c:v>
                </c:pt>
                <c:pt idx="375">
                  <c:v>-17.486480101175374</c:v>
                </c:pt>
                <c:pt idx="376">
                  <c:v>-16.863490662217927</c:v>
                </c:pt>
                <c:pt idx="377">
                  <c:v>-17.19027567353077</c:v>
                </c:pt>
                <c:pt idx="378">
                  <c:v>-16.988314026176667</c:v>
                </c:pt>
                <c:pt idx="379">
                  <c:v>-16.287893608709702</c:v>
                </c:pt>
                <c:pt idx="380">
                  <c:v>-15.807019759196585</c:v>
                </c:pt>
                <c:pt idx="381">
                  <c:v>-14.513315428978437</c:v>
                </c:pt>
                <c:pt idx="382">
                  <c:v>-13.368604014093769</c:v>
                </c:pt>
                <c:pt idx="383">
                  <c:v>-12.397658623428583</c:v>
                </c:pt>
                <c:pt idx="384">
                  <c:v>-11.183789408830012</c:v>
                </c:pt>
                <c:pt idx="385">
                  <c:v>-10.508087598400202</c:v>
                </c:pt>
                <c:pt idx="386">
                  <c:v>-9.6971707381656458</c:v>
                </c:pt>
                <c:pt idx="387">
                  <c:v>-8.9050544925480786</c:v>
                </c:pt>
                <c:pt idx="388">
                  <c:v>-8.1587445276490556</c:v>
                </c:pt>
                <c:pt idx="389">
                  <c:v>-7.3430143467268927</c:v>
                </c:pt>
                <c:pt idx="390">
                  <c:v>-6.7471158591715081</c:v>
                </c:pt>
                <c:pt idx="391">
                  <c:v>-5.3494739799765902</c:v>
                </c:pt>
                <c:pt idx="392">
                  <c:v>-3.8948418388219039</c:v>
                </c:pt>
                <c:pt idx="393">
                  <c:v>-2.3431772301507721</c:v>
                </c:pt>
                <c:pt idx="394">
                  <c:v>-0.89688112785232832</c:v>
                </c:pt>
                <c:pt idx="395">
                  <c:v>0.61680064402166579</c:v>
                </c:pt>
                <c:pt idx="396">
                  <c:v>1.574171163312716</c:v>
                </c:pt>
                <c:pt idx="397">
                  <c:v>3.0372932290415235</c:v>
                </c:pt>
                <c:pt idx="398">
                  <c:v>3.6982603637073588</c:v>
                </c:pt>
                <c:pt idx="399">
                  <c:v>4.2412325095690004</c:v>
                </c:pt>
                <c:pt idx="400">
                  <c:v>5.8552759981808453</c:v>
                </c:pt>
                <c:pt idx="401">
                  <c:v>6.8890867482523426</c:v>
                </c:pt>
                <c:pt idx="402">
                  <c:v>8.0195555179528668</c:v>
                </c:pt>
                <c:pt idx="403">
                  <c:v>9.2913672629257018</c:v>
                </c:pt>
                <c:pt idx="404">
                  <c:v>9.9810609091056293</c:v>
                </c:pt>
                <c:pt idx="405">
                  <c:v>10.878087662631156</c:v>
                </c:pt>
                <c:pt idx="406">
                  <c:v>11.702998377202825</c:v>
                </c:pt>
                <c:pt idx="407">
                  <c:v>12.840837512665827</c:v>
                </c:pt>
                <c:pt idx="408">
                  <c:v>14.053756982083634</c:v>
                </c:pt>
                <c:pt idx="409">
                  <c:v>15.128544543490115</c:v>
                </c:pt>
                <c:pt idx="410">
                  <c:v>16.270379471908086</c:v>
                </c:pt>
                <c:pt idx="411">
                  <c:v>17.554828580757945</c:v>
                </c:pt>
                <c:pt idx="412">
                  <c:v>18.700881346700243</c:v>
                </c:pt>
                <c:pt idx="413">
                  <c:v>19.417917763009754</c:v>
                </c:pt>
                <c:pt idx="414">
                  <c:v>20.349778263000246</c:v>
                </c:pt>
                <c:pt idx="415">
                  <c:v>21.178820015855489</c:v>
                </c:pt>
                <c:pt idx="416">
                  <c:v>22.123912353592793</c:v>
                </c:pt>
                <c:pt idx="417">
                  <c:v>23.429312376855187</c:v>
                </c:pt>
                <c:pt idx="418">
                  <c:v>24.374019164476604</c:v>
                </c:pt>
                <c:pt idx="419">
                  <c:v>25.62407155094574</c:v>
                </c:pt>
                <c:pt idx="420">
                  <c:v>26.494593247944266</c:v>
                </c:pt>
                <c:pt idx="421">
                  <c:v>27.552736550290284</c:v>
                </c:pt>
                <c:pt idx="422">
                  <c:v>28.492130416943034</c:v>
                </c:pt>
                <c:pt idx="423">
                  <c:v>29.923500361576856</c:v>
                </c:pt>
                <c:pt idx="424">
                  <c:v>30.53046524768105</c:v>
                </c:pt>
                <c:pt idx="425">
                  <c:v>31.986694091148127</c:v>
                </c:pt>
                <c:pt idx="426">
                  <c:v>32.741865652951574</c:v>
                </c:pt>
                <c:pt idx="427">
                  <c:v>33.76194647893545</c:v>
                </c:pt>
                <c:pt idx="428">
                  <c:v>34.85879416830776</c:v>
                </c:pt>
                <c:pt idx="429">
                  <c:v>36.110891383401992</c:v>
                </c:pt>
                <c:pt idx="430">
                  <c:v>36.867578904038062</c:v>
                </c:pt>
                <c:pt idx="431">
                  <c:v>37.623293465742947</c:v>
                </c:pt>
                <c:pt idx="432">
                  <c:v>38.66882463654936</c:v>
                </c:pt>
                <c:pt idx="433">
                  <c:v>39.646753328920894</c:v>
                </c:pt>
                <c:pt idx="434">
                  <c:v>40.639550933091513</c:v>
                </c:pt>
                <c:pt idx="435">
                  <c:v>41.212163505728853</c:v>
                </c:pt>
                <c:pt idx="436">
                  <c:v>42.347897254956933</c:v>
                </c:pt>
                <c:pt idx="437">
                  <c:v>43.689777182378037</c:v>
                </c:pt>
                <c:pt idx="438">
                  <c:v>44.585985398877426</c:v>
                </c:pt>
                <c:pt idx="439">
                  <c:v>45.842273200571569</c:v>
                </c:pt>
                <c:pt idx="440">
                  <c:v>46.808893768601735</c:v>
                </c:pt>
                <c:pt idx="441">
                  <c:v>47.353439907672083</c:v>
                </c:pt>
                <c:pt idx="442">
                  <c:v>48.153018364760364</c:v>
                </c:pt>
                <c:pt idx="443">
                  <c:v>48.804057079295362</c:v>
                </c:pt>
                <c:pt idx="444">
                  <c:v>49.457292016480011</c:v>
                </c:pt>
                <c:pt idx="445">
                  <c:v>50.002847449047444</c:v>
                </c:pt>
                <c:pt idx="446">
                  <c:v>51.566000845595916</c:v>
                </c:pt>
                <c:pt idx="447">
                  <c:v>53.022007644493634</c:v>
                </c:pt>
                <c:pt idx="448">
                  <c:v>53.081604406909626</c:v>
                </c:pt>
                <c:pt idx="449">
                  <c:v>54.078576448984194</c:v>
                </c:pt>
                <c:pt idx="450">
                  <c:v>54.720244882692235</c:v>
                </c:pt>
                <c:pt idx="451">
                  <c:v>55.10808407623086</c:v>
                </c:pt>
                <c:pt idx="452">
                  <c:v>55.129359983149456</c:v>
                </c:pt>
                <c:pt idx="453">
                  <c:v>54.394109856391516</c:v>
                </c:pt>
                <c:pt idx="454">
                  <c:v>53.372414160812298</c:v>
                </c:pt>
                <c:pt idx="455">
                  <c:v>53.27442387376712</c:v>
                </c:pt>
                <c:pt idx="456">
                  <c:v>53.294738933276484</c:v>
                </c:pt>
                <c:pt idx="457">
                  <c:v>51.02127303369609</c:v>
                </c:pt>
                <c:pt idx="458">
                  <c:v>49.89478441290133</c:v>
                </c:pt>
                <c:pt idx="459">
                  <c:v>48.579921253810255</c:v>
                </c:pt>
                <c:pt idx="460">
                  <c:v>47.168351629002281</c:v>
                </c:pt>
                <c:pt idx="461">
                  <c:v>46.695933640407759</c:v>
                </c:pt>
                <c:pt idx="462">
                  <c:v>45.811715830653768</c:v>
                </c:pt>
                <c:pt idx="463">
                  <c:v>45.047050854216721</c:v>
                </c:pt>
                <c:pt idx="464">
                  <c:v>44.373254589909408</c:v>
                </c:pt>
                <c:pt idx="465">
                  <c:v>43.430465459932456</c:v>
                </c:pt>
                <c:pt idx="466">
                  <c:v>41.598823844462885</c:v>
                </c:pt>
                <c:pt idx="467">
                  <c:v>40.902815048871688</c:v>
                </c:pt>
                <c:pt idx="468">
                  <c:v>40.13680569349652</c:v>
                </c:pt>
                <c:pt idx="469">
                  <c:v>39.176430633626325</c:v>
                </c:pt>
                <c:pt idx="470">
                  <c:v>37.748433747859764</c:v>
                </c:pt>
                <c:pt idx="471">
                  <c:v>37.343900839879318</c:v>
                </c:pt>
                <c:pt idx="472">
                  <c:v>36.44775318098975</c:v>
                </c:pt>
                <c:pt idx="473">
                  <c:v>34.965787353346954</c:v>
                </c:pt>
                <c:pt idx="474">
                  <c:v>34.391099673279605</c:v>
                </c:pt>
                <c:pt idx="475">
                  <c:v>33.798531349617861</c:v>
                </c:pt>
                <c:pt idx="476">
                  <c:v>32.111717295219293</c:v>
                </c:pt>
                <c:pt idx="477">
                  <c:v>31.836240728124359</c:v>
                </c:pt>
                <c:pt idx="478">
                  <c:v>30.906546171978619</c:v>
                </c:pt>
                <c:pt idx="479">
                  <c:v>30.039429831239261</c:v>
                </c:pt>
                <c:pt idx="480">
                  <c:v>28.807009802164238</c:v>
                </c:pt>
                <c:pt idx="481">
                  <c:v>27.615793170814293</c:v>
                </c:pt>
                <c:pt idx="482">
                  <c:v>26.595276330039678</c:v>
                </c:pt>
                <c:pt idx="483">
                  <c:v>25.569567683516045</c:v>
                </c:pt>
                <c:pt idx="484">
                  <c:v>24.130706762546843</c:v>
                </c:pt>
                <c:pt idx="485">
                  <c:v>23.07090216310462</c:v>
                </c:pt>
                <c:pt idx="486">
                  <c:v>22.527437986663148</c:v>
                </c:pt>
                <c:pt idx="487">
                  <c:v>21.670897023186274</c:v>
                </c:pt>
                <c:pt idx="488">
                  <c:v>20.54716982939954</c:v>
                </c:pt>
                <c:pt idx="489">
                  <c:v>19.360482907264522</c:v>
                </c:pt>
                <c:pt idx="490">
                  <c:v>18.714533050541842</c:v>
                </c:pt>
                <c:pt idx="491">
                  <c:v>17.932259939754616</c:v>
                </c:pt>
                <c:pt idx="492">
                  <c:v>16.653374056660699</c:v>
                </c:pt>
                <c:pt idx="493">
                  <c:v>15.49155007053292</c:v>
                </c:pt>
                <c:pt idx="494">
                  <c:v>15.145435070163867</c:v>
                </c:pt>
                <c:pt idx="495">
                  <c:v>14.430418250142026</c:v>
                </c:pt>
                <c:pt idx="496">
                  <c:v>13.164187898208082</c:v>
                </c:pt>
                <c:pt idx="497">
                  <c:v>12.303770238408894</c:v>
                </c:pt>
                <c:pt idx="498">
                  <c:v>11.940135921517404</c:v>
                </c:pt>
                <c:pt idx="499">
                  <c:v>10.791825366022124</c:v>
                </c:pt>
                <c:pt idx="500">
                  <c:v>9.9179669447222292</c:v>
                </c:pt>
                <c:pt idx="501">
                  <c:v>9.1876391423495782</c:v>
                </c:pt>
                <c:pt idx="502">
                  <c:v>7.3555423355128209</c:v>
                </c:pt>
                <c:pt idx="503">
                  <c:v>6.7123756056083597</c:v>
                </c:pt>
                <c:pt idx="504">
                  <c:v>5.2993909513174735</c:v>
                </c:pt>
                <c:pt idx="505">
                  <c:v>4.7452060593499468</c:v>
                </c:pt>
                <c:pt idx="506">
                  <c:v>3.7995495265477714</c:v>
                </c:pt>
                <c:pt idx="507">
                  <c:v>1.9696199251726334</c:v>
                </c:pt>
                <c:pt idx="508">
                  <c:v>1.2952039546581133</c:v>
                </c:pt>
                <c:pt idx="509">
                  <c:v>0.64497368421428902</c:v>
                </c:pt>
                <c:pt idx="510">
                  <c:v>-4.1019765843628875E-2</c:v>
                </c:pt>
                <c:pt idx="511">
                  <c:v>-0.71917346558208095</c:v>
                </c:pt>
                <c:pt idx="512">
                  <c:v>-3.5028340108169331</c:v>
                </c:pt>
                <c:pt idx="513">
                  <c:v>-5.0675510553157679</c:v>
                </c:pt>
                <c:pt idx="514">
                  <c:v>-5.7545054789446013</c:v>
                </c:pt>
                <c:pt idx="515">
                  <c:v>-6.4901229885354823</c:v>
                </c:pt>
                <c:pt idx="516">
                  <c:v>-7.4868114191373714</c:v>
                </c:pt>
                <c:pt idx="517">
                  <c:v>-8.3417112713879824</c:v>
                </c:pt>
                <c:pt idx="518">
                  <c:v>-9.4290599950124623</c:v>
                </c:pt>
                <c:pt idx="519">
                  <c:v>-10.306435804149704</c:v>
                </c:pt>
                <c:pt idx="520">
                  <c:v>-11.584242752495236</c:v>
                </c:pt>
                <c:pt idx="521">
                  <c:v>-12.798561102700006</c:v>
                </c:pt>
                <c:pt idx="522">
                  <c:v>-14.003022692612227</c:v>
                </c:pt>
                <c:pt idx="523">
                  <c:v>-14.692176366771214</c:v>
                </c:pt>
                <c:pt idx="524">
                  <c:v>-14.700244658986925</c:v>
                </c:pt>
                <c:pt idx="525">
                  <c:v>-15.989913833803719</c:v>
                </c:pt>
                <c:pt idx="526">
                  <c:v>-18.028101307691166</c:v>
                </c:pt>
                <c:pt idx="527">
                  <c:v>-16.401679338984295</c:v>
                </c:pt>
                <c:pt idx="528">
                  <c:v>-17.859036572581111</c:v>
                </c:pt>
                <c:pt idx="529">
                  <c:v>-16.075867286602644</c:v>
                </c:pt>
                <c:pt idx="530">
                  <c:v>-15.780805379196742</c:v>
                </c:pt>
                <c:pt idx="531">
                  <c:v>-15.338307896323364</c:v>
                </c:pt>
                <c:pt idx="532">
                  <c:v>-14.3279960220978</c:v>
                </c:pt>
                <c:pt idx="533">
                  <c:v>-13.418841597911275</c:v>
                </c:pt>
                <c:pt idx="534">
                  <c:v>-12.387937108464641</c:v>
                </c:pt>
                <c:pt idx="535">
                  <c:v>-11.658616581002082</c:v>
                </c:pt>
                <c:pt idx="536">
                  <c:v>-10.670236654468212</c:v>
                </c:pt>
                <c:pt idx="537">
                  <c:v>-9.3199775724342899</c:v>
                </c:pt>
                <c:pt idx="538">
                  <c:v>-8.2504837554200314</c:v>
                </c:pt>
                <c:pt idx="539">
                  <c:v>-7.0004707313972823</c:v>
                </c:pt>
                <c:pt idx="540">
                  <c:v>-6.1052369877693309</c:v>
                </c:pt>
                <c:pt idx="541">
                  <c:v>-4.475355917924567</c:v>
                </c:pt>
                <c:pt idx="542">
                  <c:v>-3.3189682388954758</c:v>
                </c:pt>
                <c:pt idx="543">
                  <c:v>-2.1217307933503449</c:v>
                </c:pt>
                <c:pt idx="544">
                  <c:v>-0.56929849081299011</c:v>
                </c:pt>
                <c:pt idx="545">
                  <c:v>0.59313775798245771</c:v>
                </c:pt>
                <c:pt idx="546">
                  <c:v>1.7554094919378826</c:v>
                </c:pt>
                <c:pt idx="547">
                  <c:v>2.9688671671130109</c:v>
                </c:pt>
                <c:pt idx="548">
                  <c:v>4.0859698630316146</c:v>
                </c:pt>
                <c:pt idx="549">
                  <c:v>5.103232236924871</c:v>
                </c:pt>
                <c:pt idx="550">
                  <c:v>6.1571430669908551</c:v>
                </c:pt>
                <c:pt idx="551">
                  <c:v>6.8330406803591011</c:v>
                </c:pt>
                <c:pt idx="552">
                  <c:v>8.0899678694836439</c:v>
                </c:pt>
                <c:pt idx="553">
                  <c:v>8.9075561597339465</c:v>
                </c:pt>
                <c:pt idx="554">
                  <c:v>10.214707307213786</c:v>
                </c:pt>
                <c:pt idx="555">
                  <c:v>11.243620460590666</c:v>
                </c:pt>
                <c:pt idx="556">
                  <c:v>11.980129176339478</c:v>
                </c:pt>
                <c:pt idx="557">
                  <c:v>13.200286289424897</c:v>
                </c:pt>
                <c:pt idx="558">
                  <c:v>14.316771802370029</c:v>
                </c:pt>
                <c:pt idx="559">
                  <c:v>15.692697218034874</c:v>
                </c:pt>
                <c:pt idx="560">
                  <c:v>16.784313739211782</c:v>
                </c:pt>
                <c:pt idx="561">
                  <c:v>17.983192926791613</c:v>
                </c:pt>
                <c:pt idx="562">
                  <c:v>18.92235869311402</c:v>
                </c:pt>
                <c:pt idx="563">
                  <c:v>19.535787094773564</c:v>
                </c:pt>
                <c:pt idx="564">
                  <c:v>20.049362053592297</c:v>
                </c:pt>
                <c:pt idx="565">
                  <c:v>21.273154641854227</c:v>
                </c:pt>
                <c:pt idx="566">
                  <c:v>22.530066186929563</c:v>
                </c:pt>
                <c:pt idx="567">
                  <c:v>23.751052939269588</c:v>
                </c:pt>
                <c:pt idx="568">
                  <c:v>24.976924672135514</c:v>
                </c:pt>
                <c:pt idx="569">
                  <c:v>26.258495275931683</c:v>
                </c:pt>
                <c:pt idx="570">
                  <c:v>26.647386153294278</c:v>
                </c:pt>
                <c:pt idx="571">
                  <c:v>27.724780719803736</c:v>
                </c:pt>
                <c:pt idx="572">
                  <c:v>28.627920764041118</c:v>
                </c:pt>
                <c:pt idx="573">
                  <c:v>30.008327442833028</c:v>
                </c:pt>
                <c:pt idx="574">
                  <c:v>30.893150828685279</c:v>
                </c:pt>
                <c:pt idx="575">
                  <c:v>32.262142398025134</c:v>
                </c:pt>
                <c:pt idx="576">
                  <c:v>33.175514659735988</c:v>
                </c:pt>
                <c:pt idx="577">
                  <c:v>33.853868893476147</c:v>
                </c:pt>
                <c:pt idx="578">
                  <c:v>34.617193528149059</c:v>
                </c:pt>
                <c:pt idx="579">
                  <c:v>35.895823050694716</c:v>
                </c:pt>
                <c:pt idx="580">
                  <c:v>36.991455550696536</c:v>
                </c:pt>
                <c:pt idx="581">
                  <c:v>37.915681754675063</c:v>
                </c:pt>
                <c:pt idx="582">
                  <c:v>38.740823597457563</c:v>
                </c:pt>
                <c:pt idx="583">
                  <c:v>39.775946933722018</c:v>
                </c:pt>
                <c:pt idx="584">
                  <c:v>40.730835474142047</c:v>
                </c:pt>
                <c:pt idx="585">
                  <c:v>41.5880082553481</c:v>
                </c:pt>
                <c:pt idx="586">
                  <c:v>42.572949518937392</c:v>
                </c:pt>
                <c:pt idx="587">
                  <c:v>43.838559155370632</c:v>
                </c:pt>
                <c:pt idx="588">
                  <c:v>44.706709012651004</c:v>
                </c:pt>
                <c:pt idx="589">
                  <c:v>46.039941313389065</c:v>
                </c:pt>
                <c:pt idx="590">
                  <c:v>46.869459452774933</c:v>
                </c:pt>
                <c:pt idx="591">
                  <c:v>47.498192781024301</c:v>
                </c:pt>
                <c:pt idx="592">
                  <c:v>48.300096650329877</c:v>
                </c:pt>
                <c:pt idx="593">
                  <c:v>48.897949634742368</c:v>
                </c:pt>
                <c:pt idx="594">
                  <c:v>49.436516719135966</c:v>
                </c:pt>
                <c:pt idx="595">
                  <c:v>50.303701691833126</c:v>
                </c:pt>
                <c:pt idx="596">
                  <c:v>51.777209639970337</c:v>
                </c:pt>
                <c:pt idx="597">
                  <c:v>53.229510313146747</c:v>
                </c:pt>
                <c:pt idx="598">
                  <c:v>53.436318587873863</c:v>
                </c:pt>
                <c:pt idx="599">
                  <c:v>53.852329181503187</c:v>
                </c:pt>
                <c:pt idx="600">
                  <c:v>54.862704641219068</c:v>
                </c:pt>
                <c:pt idx="601">
                  <c:v>54.896992359902107</c:v>
                </c:pt>
                <c:pt idx="602">
                  <c:v>56.020344096507927</c:v>
                </c:pt>
                <c:pt idx="603">
                  <c:v>54.584797695383159</c:v>
                </c:pt>
                <c:pt idx="604">
                  <c:v>53.568725783169711</c:v>
                </c:pt>
                <c:pt idx="605">
                  <c:v>53.446661827632006</c:v>
                </c:pt>
                <c:pt idx="606">
                  <c:v>52.920060926939868</c:v>
                </c:pt>
                <c:pt idx="607">
                  <c:v>50.779898475280746</c:v>
                </c:pt>
                <c:pt idx="608">
                  <c:v>49.105734905574664</c:v>
                </c:pt>
                <c:pt idx="609">
                  <c:v>48.427853021191147</c:v>
                </c:pt>
                <c:pt idx="610">
                  <c:v>47.36360551177475</c:v>
                </c:pt>
                <c:pt idx="611">
                  <c:v>46.466589860477683</c:v>
                </c:pt>
                <c:pt idx="612">
                  <c:v>45.673216539809495</c:v>
                </c:pt>
                <c:pt idx="613">
                  <c:v>44.771227090158789</c:v>
                </c:pt>
                <c:pt idx="614">
                  <c:v>44.082767809925798</c:v>
                </c:pt>
                <c:pt idx="615">
                  <c:v>42.845947261203477</c:v>
                </c:pt>
                <c:pt idx="616">
                  <c:v>41.322600400180114</c:v>
                </c:pt>
                <c:pt idx="617">
                  <c:v>41.009804196736894</c:v>
                </c:pt>
                <c:pt idx="618">
                  <c:v>39.895410949211225</c:v>
                </c:pt>
                <c:pt idx="619">
                  <c:v>39.058424037946907</c:v>
                </c:pt>
                <c:pt idx="620">
                  <c:v>37.624209904238299</c:v>
                </c:pt>
                <c:pt idx="621">
                  <c:v>37.155905795937905</c:v>
                </c:pt>
                <c:pt idx="622">
                  <c:v>36.430950462850248</c:v>
                </c:pt>
                <c:pt idx="623">
                  <c:v>34.981286064288227</c:v>
                </c:pt>
                <c:pt idx="624">
                  <c:v>34.10270414942196</c:v>
                </c:pt>
                <c:pt idx="625">
                  <c:v>33.265826241855336</c:v>
                </c:pt>
                <c:pt idx="626">
                  <c:v>31.941405073346839</c:v>
                </c:pt>
                <c:pt idx="627">
                  <c:v>31.345766478866956</c:v>
                </c:pt>
                <c:pt idx="628">
                  <c:v>30.290225135156426</c:v>
                </c:pt>
                <c:pt idx="629">
                  <c:v>29.631275578191264</c:v>
                </c:pt>
                <c:pt idx="630">
                  <c:v>28.493272937181736</c:v>
                </c:pt>
                <c:pt idx="631">
                  <c:v>27.447188673538911</c:v>
                </c:pt>
                <c:pt idx="632">
                  <c:v>26.555972422676113</c:v>
                </c:pt>
                <c:pt idx="633">
                  <c:v>25.266297192098335</c:v>
                </c:pt>
                <c:pt idx="634">
                  <c:v>23.70440541242122</c:v>
                </c:pt>
                <c:pt idx="635">
                  <c:v>22.922600613816641</c:v>
                </c:pt>
                <c:pt idx="636">
                  <c:v>22.610004250485851</c:v>
                </c:pt>
                <c:pt idx="637">
                  <c:v>21.364059688549858</c:v>
                </c:pt>
                <c:pt idx="638">
                  <c:v>20.341417275670377</c:v>
                </c:pt>
                <c:pt idx="639">
                  <c:v>19.033419330946483</c:v>
                </c:pt>
                <c:pt idx="640">
                  <c:v>18.316021587565015</c:v>
                </c:pt>
                <c:pt idx="641">
                  <c:v>18.289802161097686</c:v>
                </c:pt>
                <c:pt idx="642">
                  <c:v>16.840499089607622</c:v>
                </c:pt>
                <c:pt idx="643">
                  <c:v>15.537594039870029</c:v>
                </c:pt>
                <c:pt idx="644">
                  <c:v>14.990036169004373</c:v>
                </c:pt>
                <c:pt idx="645">
                  <c:v>14.951551807960445</c:v>
                </c:pt>
                <c:pt idx="646">
                  <c:v>13.216228080211385</c:v>
                </c:pt>
                <c:pt idx="647">
                  <c:v>12.390426159481791</c:v>
                </c:pt>
                <c:pt idx="648">
                  <c:v>11.97144521509054</c:v>
                </c:pt>
                <c:pt idx="649">
                  <c:v>10.87967326271508</c:v>
                </c:pt>
                <c:pt idx="650">
                  <c:v>9.3479522935463883</c:v>
                </c:pt>
                <c:pt idx="651">
                  <c:v>9.0424341055106652</c:v>
                </c:pt>
                <c:pt idx="652">
                  <c:v>8.7688943726366464</c:v>
                </c:pt>
                <c:pt idx="653">
                  <c:v>5.6177221202987173</c:v>
                </c:pt>
                <c:pt idx="654">
                  <c:v>4.5713996633905811</c:v>
                </c:pt>
                <c:pt idx="655">
                  <c:v>4.0283281021194774</c:v>
                </c:pt>
                <c:pt idx="656">
                  <c:v>3.6221505503855269</c:v>
                </c:pt>
                <c:pt idx="657">
                  <c:v>2.9523649661122668</c:v>
                </c:pt>
                <c:pt idx="658">
                  <c:v>2.0012352869987637</c:v>
                </c:pt>
                <c:pt idx="659">
                  <c:v>-0.56717443264836831</c:v>
                </c:pt>
                <c:pt idx="660">
                  <c:v>-1.5349109954225213</c:v>
                </c:pt>
                <c:pt idx="661">
                  <c:v>-2.1354875898773251</c:v>
                </c:pt>
                <c:pt idx="662">
                  <c:v>-3.0839493277929684</c:v>
                </c:pt>
                <c:pt idx="663">
                  <c:v>-3.9470717680026617</c:v>
                </c:pt>
                <c:pt idx="664">
                  <c:v>-4.5750801711977473</c:v>
                </c:pt>
                <c:pt idx="665">
                  <c:v>-5.2672269052223442</c:v>
                </c:pt>
                <c:pt idx="666">
                  <c:v>-6.2032126400588048</c:v>
                </c:pt>
                <c:pt idx="667">
                  <c:v>-7.3088719663074322</c:v>
                </c:pt>
                <c:pt idx="668">
                  <c:v>-8.4150329114241167</c:v>
                </c:pt>
                <c:pt idx="669">
                  <c:v>-9.1563741244369794</c:v>
                </c:pt>
                <c:pt idx="670">
                  <c:v>-10.398515668475948</c:v>
                </c:pt>
                <c:pt idx="671">
                  <c:v>-11.7035836341778</c:v>
                </c:pt>
                <c:pt idx="672">
                  <c:v>-12.695001534137894</c:v>
                </c:pt>
                <c:pt idx="673">
                  <c:v>-13.382967269850809</c:v>
                </c:pt>
                <c:pt idx="674">
                  <c:v>-13.713276734055484</c:v>
                </c:pt>
                <c:pt idx="675">
                  <c:v>-17.705424120911466</c:v>
                </c:pt>
                <c:pt idx="676">
                  <c:v>-16.49950511118945</c:v>
                </c:pt>
                <c:pt idx="677">
                  <c:v>-17.303186346343395</c:v>
                </c:pt>
                <c:pt idx="678">
                  <c:v>-16.144774781529264</c:v>
                </c:pt>
                <c:pt idx="679">
                  <c:v>-16.212704271057213</c:v>
                </c:pt>
                <c:pt idx="680">
                  <c:v>-15.946341624240979</c:v>
                </c:pt>
                <c:pt idx="681">
                  <c:v>-14.582514609725713</c:v>
                </c:pt>
                <c:pt idx="682">
                  <c:v>-13.597052550691927</c:v>
                </c:pt>
                <c:pt idx="683">
                  <c:v>-12.693964989716392</c:v>
                </c:pt>
                <c:pt idx="684">
                  <c:v>-11.670443482200948</c:v>
                </c:pt>
                <c:pt idx="685">
                  <c:v>-10.898537834215798</c:v>
                </c:pt>
                <c:pt idx="686">
                  <c:v>-9.9483384713832343</c:v>
                </c:pt>
                <c:pt idx="687">
                  <c:v>-8.9222039030038331</c:v>
                </c:pt>
                <c:pt idx="688">
                  <c:v>-8.4584173923963988</c:v>
                </c:pt>
                <c:pt idx="689">
                  <c:v>-7.7528470548605455</c:v>
                </c:pt>
                <c:pt idx="690">
                  <c:v>-6.9457624820344286</c:v>
                </c:pt>
                <c:pt idx="691">
                  <c:v>-5.0264410172391685</c:v>
                </c:pt>
                <c:pt idx="692">
                  <c:v>-3.1875129335290637</c:v>
                </c:pt>
                <c:pt idx="693">
                  <c:v>-1.9597890209342985</c:v>
                </c:pt>
                <c:pt idx="694">
                  <c:v>-0.79733037843938348</c:v>
                </c:pt>
                <c:pt idx="695">
                  <c:v>0.55757391383404098</c:v>
                </c:pt>
                <c:pt idx="696">
                  <c:v>1.9213948725883192</c:v>
                </c:pt>
                <c:pt idx="697">
                  <c:v>3.1396017783139918</c:v>
                </c:pt>
                <c:pt idx="698">
                  <c:v>3.9186042735239113</c:v>
                </c:pt>
                <c:pt idx="699">
                  <c:v>5.0761902362574194</c:v>
                </c:pt>
                <c:pt idx="700">
                  <c:v>6.1261017408411966</c:v>
                </c:pt>
                <c:pt idx="701">
                  <c:v>6.8444966661977862</c:v>
                </c:pt>
                <c:pt idx="702">
                  <c:v>7.8882000064809805</c:v>
                </c:pt>
                <c:pt idx="703">
                  <c:v>8.7804124300254038</c:v>
                </c:pt>
                <c:pt idx="704">
                  <c:v>9.8842585605065167</c:v>
                </c:pt>
                <c:pt idx="705">
                  <c:v>10.681900183373887</c:v>
                </c:pt>
                <c:pt idx="706">
                  <c:v>11.465293609942881</c:v>
                </c:pt>
                <c:pt idx="707">
                  <c:v>12.490468340206551</c:v>
                </c:pt>
                <c:pt idx="708">
                  <c:v>14.067141223148505</c:v>
                </c:pt>
                <c:pt idx="709">
                  <c:v>15.58105926432208</c:v>
                </c:pt>
                <c:pt idx="710">
                  <c:v>16.560230396988526</c:v>
                </c:pt>
                <c:pt idx="711">
                  <c:v>17.73015699131092</c:v>
                </c:pt>
                <c:pt idx="712">
                  <c:v>19.023891600333982</c:v>
                </c:pt>
                <c:pt idx="713">
                  <c:v>19.50233507110611</c:v>
                </c:pt>
                <c:pt idx="714">
                  <c:v>20.187520203234552</c:v>
                </c:pt>
                <c:pt idx="715">
                  <c:v>21.359065704326269</c:v>
                </c:pt>
                <c:pt idx="716">
                  <c:v>22.393244341877455</c:v>
                </c:pt>
                <c:pt idx="717">
                  <c:v>23.223178310184124</c:v>
                </c:pt>
                <c:pt idx="718">
                  <c:v>24.358258037226094</c:v>
                </c:pt>
                <c:pt idx="719">
                  <c:v>25.693690597787807</c:v>
                </c:pt>
                <c:pt idx="720">
                  <c:v>26.586578238681781</c:v>
                </c:pt>
                <c:pt idx="721">
                  <c:v>27.342391711149375</c:v>
                </c:pt>
                <c:pt idx="722">
                  <c:v>28.656039680869963</c:v>
                </c:pt>
                <c:pt idx="723">
                  <c:v>29.984732179458128</c:v>
                </c:pt>
                <c:pt idx="724">
                  <c:v>30.589294947039257</c:v>
                </c:pt>
                <c:pt idx="725">
                  <c:v>31.947470927264334</c:v>
                </c:pt>
                <c:pt idx="726">
                  <c:v>32.656059557003225</c:v>
                </c:pt>
                <c:pt idx="727">
                  <c:v>33.62739958142577</c:v>
                </c:pt>
                <c:pt idx="728">
                  <c:v>34.547548239676068</c:v>
                </c:pt>
                <c:pt idx="729">
                  <c:v>36.097391073584959</c:v>
                </c:pt>
                <c:pt idx="730">
                  <c:v>36.994043379223065</c:v>
                </c:pt>
                <c:pt idx="731">
                  <c:v>37.859597333628926</c:v>
                </c:pt>
                <c:pt idx="732">
                  <c:v>38.612667546371441</c:v>
                </c:pt>
                <c:pt idx="733">
                  <c:v>39.667153169084017</c:v>
                </c:pt>
                <c:pt idx="734">
                  <c:v>40.638929208297306</c:v>
                </c:pt>
                <c:pt idx="735">
                  <c:v>41.334946078236484</c:v>
                </c:pt>
                <c:pt idx="736">
                  <c:v>42.159502530790675</c:v>
                </c:pt>
                <c:pt idx="737">
                  <c:v>43.712663921717983</c:v>
                </c:pt>
                <c:pt idx="738">
                  <c:v>44.696111430931587</c:v>
                </c:pt>
                <c:pt idx="739">
                  <c:v>45.924470062974336</c:v>
                </c:pt>
                <c:pt idx="740">
                  <c:v>46.625848299970038</c:v>
                </c:pt>
                <c:pt idx="741">
                  <c:v>46.952891690418134</c:v>
                </c:pt>
                <c:pt idx="742">
                  <c:v>47.974312858166144</c:v>
                </c:pt>
                <c:pt idx="743">
                  <c:v>48.982274087836991</c:v>
                </c:pt>
                <c:pt idx="744">
                  <c:v>49.224387449092212</c:v>
                </c:pt>
                <c:pt idx="745">
                  <c:v>50.017518539321102</c:v>
                </c:pt>
                <c:pt idx="746">
                  <c:v>51.405268837597816</c:v>
                </c:pt>
                <c:pt idx="747">
                  <c:v>52.62640092820142</c:v>
                </c:pt>
                <c:pt idx="748">
                  <c:v>53.322090787047543</c:v>
                </c:pt>
                <c:pt idx="749">
                  <c:v>54.451401392460163</c:v>
                </c:pt>
                <c:pt idx="750">
                  <c:v>53.882664506851633</c:v>
                </c:pt>
                <c:pt idx="751">
                  <c:v>55.589299066945991</c:v>
                </c:pt>
                <c:pt idx="752">
                  <c:v>55.213704622114022</c:v>
                </c:pt>
                <c:pt idx="753">
                  <c:v>55.133877580842416</c:v>
                </c:pt>
                <c:pt idx="754">
                  <c:v>54.332139235670368</c:v>
                </c:pt>
                <c:pt idx="755">
                  <c:v>54.066408406583314</c:v>
                </c:pt>
                <c:pt idx="756">
                  <c:v>52.237144686592885</c:v>
                </c:pt>
                <c:pt idx="757">
                  <c:v>50.448115442570327</c:v>
                </c:pt>
                <c:pt idx="758">
                  <c:v>48.67629263408611</c:v>
                </c:pt>
                <c:pt idx="759">
                  <c:v>47.91072736784966</c:v>
                </c:pt>
                <c:pt idx="760">
                  <c:v>47.342067188546906</c:v>
                </c:pt>
                <c:pt idx="761">
                  <c:v>46.559731501562865</c:v>
                </c:pt>
                <c:pt idx="762">
                  <c:v>45.76753703569927</c:v>
                </c:pt>
                <c:pt idx="763">
                  <c:v>44.884461746183973</c:v>
                </c:pt>
                <c:pt idx="764">
                  <c:v>44.022831924894788</c:v>
                </c:pt>
                <c:pt idx="765">
                  <c:v>42.669817471613811</c:v>
                </c:pt>
                <c:pt idx="766">
                  <c:v>41.578428041473757</c:v>
                </c:pt>
                <c:pt idx="767">
                  <c:v>40.925330368204698</c:v>
                </c:pt>
                <c:pt idx="768">
                  <c:v>39.876952989736495</c:v>
                </c:pt>
                <c:pt idx="769">
                  <c:v>38.52885177719935</c:v>
                </c:pt>
                <c:pt idx="770">
                  <c:v>37.804627172603581</c:v>
                </c:pt>
                <c:pt idx="771">
                  <c:v>37.463292186236728</c:v>
                </c:pt>
                <c:pt idx="772">
                  <c:v>36.60022513100769</c:v>
                </c:pt>
                <c:pt idx="773">
                  <c:v>34.887510586886876</c:v>
                </c:pt>
                <c:pt idx="774">
                  <c:v>33.849088879473939</c:v>
                </c:pt>
                <c:pt idx="775">
                  <c:v>33.201913740445796</c:v>
                </c:pt>
                <c:pt idx="776">
                  <c:v>31.752873085264973</c:v>
                </c:pt>
                <c:pt idx="777">
                  <c:v>31.510751649661778</c:v>
                </c:pt>
                <c:pt idx="778">
                  <c:v>30.466576969315444</c:v>
                </c:pt>
                <c:pt idx="779">
                  <c:v>29.613677536776059</c:v>
                </c:pt>
                <c:pt idx="780">
                  <c:v>28.666124541492856</c:v>
                </c:pt>
                <c:pt idx="781">
                  <c:v>27.27012427817095</c:v>
                </c:pt>
                <c:pt idx="782">
                  <c:v>26.163565166769668</c:v>
                </c:pt>
                <c:pt idx="783">
                  <c:v>25.22087292896844</c:v>
                </c:pt>
                <c:pt idx="784">
                  <c:v>23.700475223543563</c:v>
                </c:pt>
                <c:pt idx="785">
                  <c:v>22.921003911504251</c:v>
                </c:pt>
                <c:pt idx="786">
                  <c:v>22.475168695036007</c:v>
                </c:pt>
                <c:pt idx="787">
                  <c:v>21.410127880930897</c:v>
                </c:pt>
                <c:pt idx="788">
                  <c:v>20.289937251557959</c:v>
                </c:pt>
                <c:pt idx="789">
                  <c:v>19.106625406877196</c:v>
                </c:pt>
                <c:pt idx="790">
                  <c:v>18.769765627876431</c:v>
                </c:pt>
                <c:pt idx="791">
                  <c:v>18.049446989114394</c:v>
                </c:pt>
                <c:pt idx="792">
                  <c:v>16.634104625214313</c:v>
                </c:pt>
                <c:pt idx="793">
                  <c:v>15.348022479486165</c:v>
                </c:pt>
                <c:pt idx="794">
                  <c:v>14.976219950322751</c:v>
                </c:pt>
                <c:pt idx="795">
                  <c:v>14.764881966380706</c:v>
                </c:pt>
                <c:pt idx="796">
                  <c:v>13.000448195588664</c:v>
                </c:pt>
                <c:pt idx="797">
                  <c:v>12.32634813393873</c:v>
                </c:pt>
                <c:pt idx="798">
                  <c:v>12.016029746030862</c:v>
                </c:pt>
                <c:pt idx="799">
                  <c:v>10.661180397172188</c:v>
                </c:pt>
                <c:pt idx="800">
                  <c:v>9.5060571105715699</c:v>
                </c:pt>
                <c:pt idx="801">
                  <c:v>8.8409871978400751</c:v>
                </c:pt>
                <c:pt idx="802">
                  <c:v>7.5858419163846378</c:v>
                </c:pt>
                <c:pt idx="803">
                  <c:v>6.601804979768735</c:v>
                </c:pt>
                <c:pt idx="804">
                  <c:v>5.0357856943352832</c:v>
                </c:pt>
                <c:pt idx="805">
                  <c:v>4.5185106655562279</c:v>
                </c:pt>
                <c:pt idx="806">
                  <c:v>4.0725942009614684</c:v>
                </c:pt>
                <c:pt idx="807">
                  <c:v>2.5684584846850349</c:v>
                </c:pt>
                <c:pt idx="808">
                  <c:v>0.95989621673249559</c:v>
                </c:pt>
                <c:pt idx="809">
                  <c:v>0.30599527200145005</c:v>
                </c:pt>
                <c:pt idx="810">
                  <c:v>-0.21159087149808187</c:v>
                </c:pt>
                <c:pt idx="811">
                  <c:v>-0.74673730252795067</c:v>
                </c:pt>
                <c:pt idx="812">
                  <c:v>-3.0486074020522196</c:v>
                </c:pt>
                <c:pt idx="813">
                  <c:v>-4.935055546838921</c:v>
                </c:pt>
                <c:pt idx="814">
                  <c:v>-5.7714913838538244</c:v>
                </c:pt>
                <c:pt idx="815">
                  <c:v>-6.3763372582608895</c:v>
                </c:pt>
                <c:pt idx="816">
                  <c:v>-7.2238955096136905</c:v>
                </c:pt>
                <c:pt idx="817">
                  <c:v>-8.2486947826964467</c:v>
                </c:pt>
                <c:pt idx="818">
                  <c:v>-9.356624010020024</c:v>
                </c:pt>
                <c:pt idx="819">
                  <c:v>-10.139651063049573</c:v>
                </c:pt>
                <c:pt idx="820">
                  <c:v>-11.558174720052474</c:v>
                </c:pt>
                <c:pt idx="821">
                  <c:v>-12.721156365821408</c:v>
                </c:pt>
                <c:pt idx="822">
                  <c:v>-13.942200647890772</c:v>
                </c:pt>
                <c:pt idx="823">
                  <c:v>-14.408203567017807</c:v>
                </c:pt>
                <c:pt idx="824">
                  <c:v>-14.406342429809179</c:v>
                </c:pt>
                <c:pt idx="825">
                  <c:v>-16.491298545764636</c:v>
                </c:pt>
                <c:pt idx="826">
                  <c:v>-17.561984338398958</c:v>
                </c:pt>
                <c:pt idx="827">
                  <c:v>-16.512390761266765</c:v>
                </c:pt>
                <c:pt idx="828">
                  <c:v>-17.945746995502851</c:v>
                </c:pt>
                <c:pt idx="829">
                  <c:v>-16.036197005699641</c:v>
                </c:pt>
                <c:pt idx="830">
                  <c:v>-15.935147550064784</c:v>
                </c:pt>
                <c:pt idx="831">
                  <c:v>-15.664050307453721</c:v>
                </c:pt>
                <c:pt idx="832">
                  <c:v>-14.693162446517867</c:v>
                </c:pt>
                <c:pt idx="833">
                  <c:v>-13.594677683093281</c:v>
                </c:pt>
                <c:pt idx="834">
                  <c:v>-12.587078789787881</c:v>
                </c:pt>
                <c:pt idx="835">
                  <c:v>-11.907485143633306</c:v>
                </c:pt>
                <c:pt idx="836">
                  <c:v>-11.100629680431027</c:v>
                </c:pt>
                <c:pt idx="837">
                  <c:v>-9.5230756842661144</c:v>
                </c:pt>
                <c:pt idx="838">
                  <c:v>-7.936167051323455</c:v>
                </c:pt>
                <c:pt idx="839">
                  <c:v>-6.8827129265649027</c:v>
                </c:pt>
                <c:pt idx="840">
                  <c:v>-6.2790322815002249</c:v>
                </c:pt>
                <c:pt idx="841">
                  <c:v>-4.7150661513632244</c:v>
                </c:pt>
                <c:pt idx="842">
                  <c:v>-3.1947876687326939</c:v>
                </c:pt>
                <c:pt idx="843">
                  <c:v>-2.4717126494301098</c:v>
                </c:pt>
                <c:pt idx="844">
                  <c:v>-1.0518306726226641</c:v>
                </c:pt>
                <c:pt idx="845">
                  <c:v>0.47894313767985608</c:v>
                </c:pt>
                <c:pt idx="846">
                  <c:v>1.9896914926258304</c:v>
                </c:pt>
                <c:pt idx="847">
                  <c:v>3.3500954882457243</c:v>
                </c:pt>
                <c:pt idx="848">
                  <c:v>4.0512592503732954</c:v>
                </c:pt>
                <c:pt idx="849">
                  <c:v>5.3749668483793496</c:v>
                </c:pt>
                <c:pt idx="850">
                  <c:v>6.2652636328663007</c:v>
                </c:pt>
                <c:pt idx="851">
                  <c:v>6.8103472207238482</c:v>
                </c:pt>
                <c:pt idx="852">
                  <c:v>8.1066010263156389</c:v>
                </c:pt>
                <c:pt idx="853">
                  <c:v>9.0894066248650951</c:v>
                </c:pt>
                <c:pt idx="854">
                  <c:v>10.379671282845171</c:v>
                </c:pt>
                <c:pt idx="855">
                  <c:v>11.167388522755685</c:v>
                </c:pt>
                <c:pt idx="856">
                  <c:v>12.197822681432676</c:v>
                </c:pt>
                <c:pt idx="857">
                  <c:v>13.234630528543773</c:v>
                </c:pt>
                <c:pt idx="858">
                  <c:v>14.039420977251011</c:v>
                </c:pt>
                <c:pt idx="859">
                  <c:v>15.364020790708491</c:v>
                </c:pt>
                <c:pt idx="860">
                  <c:v>16.690619005290202</c:v>
                </c:pt>
                <c:pt idx="861">
                  <c:v>18.105789789295777</c:v>
                </c:pt>
                <c:pt idx="862">
                  <c:v>18.874760411791399</c:v>
                </c:pt>
                <c:pt idx="863">
                  <c:v>19.867081629431389</c:v>
                </c:pt>
                <c:pt idx="864">
                  <c:v>20.279267000706753</c:v>
                </c:pt>
                <c:pt idx="865">
                  <c:v>21.369429129954362</c:v>
                </c:pt>
                <c:pt idx="866">
                  <c:v>22.369190859254878</c:v>
                </c:pt>
                <c:pt idx="867">
                  <c:v>23.628330924371785</c:v>
                </c:pt>
                <c:pt idx="868">
                  <c:v>24.697509841814952</c:v>
                </c:pt>
                <c:pt idx="869">
                  <c:v>25.839141902240009</c:v>
                </c:pt>
                <c:pt idx="870">
                  <c:v>26.953329253892274</c:v>
                </c:pt>
                <c:pt idx="871">
                  <c:v>27.501363511288552</c:v>
                </c:pt>
                <c:pt idx="872">
                  <c:v>28.791914808621804</c:v>
                </c:pt>
                <c:pt idx="873">
                  <c:v>30.137769333834438</c:v>
                </c:pt>
                <c:pt idx="874">
                  <c:v>30.802766577434141</c:v>
                </c:pt>
                <c:pt idx="875">
                  <c:v>32.793000498687988</c:v>
                </c:pt>
                <c:pt idx="876">
                  <c:v>33.24855521153318</c:v>
                </c:pt>
                <c:pt idx="877">
                  <c:v>33.826783493188316</c:v>
                </c:pt>
                <c:pt idx="878">
                  <c:v>34.682805679807693</c:v>
                </c:pt>
                <c:pt idx="879">
                  <c:v>36.246265901579278</c:v>
                </c:pt>
                <c:pt idx="880">
                  <c:v>36.950013959706141</c:v>
                </c:pt>
                <c:pt idx="881">
                  <c:v>37.79553545678182</c:v>
                </c:pt>
                <c:pt idx="882">
                  <c:v>38.821389441569039</c:v>
                </c:pt>
                <c:pt idx="883">
                  <c:v>39.959230595619033</c:v>
                </c:pt>
                <c:pt idx="884">
                  <c:v>40.790529128733766</c:v>
                </c:pt>
                <c:pt idx="885">
                  <c:v>41.457769022483994</c:v>
                </c:pt>
                <c:pt idx="886">
                  <c:v>42.610418530723251</c:v>
                </c:pt>
                <c:pt idx="887">
                  <c:v>44.001987995592941</c:v>
                </c:pt>
                <c:pt idx="888">
                  <c:v>45.046368571812685</c:v>
                </c:pt>
                <c:pt idx="889">
                  <c:v>46.408951127446045</c:v>
                </c:pt>
                <c:pt idx="890">
                  <c:v>46.800993019106542</c:v>
                </c:pt>
                <c:pt idx="891">
                  <c:v>47.502508520017848</c:v>
                </c:pt>
                <c:pt idx="892">
                  <c:v>48.289410250782716</c:v>
                </c:pt>
                <c:pt idx="893">
                  <c:v>49.018035375025775</c:v>
                </c:pt>
                <c:pt idx="894">
                  <c:v>49.570978835991895</c:v>
                </c:pt>
                <c:pt idx="895">
                  <c:v>50.406589070926174</c:v>
                </c:pt>
                <c:pt idx="896">
                  <c:v>51.836386536291542</c:v>
                </c:pt>
                <c:pt idx="897">
                  <c:v>53.160914689910726</c:v>
                </c:pt>
                <c:pt idx="898">
                  <c:v>53.484050095938102</c:v>
                </c:pt>
                <c:pt idx="899">
                  <c:v>53.936257991546952</c:v>
                </c:pt>
                <c:pt idx="900">
                  <c:v>54.861327964889043</c:v>
                </c:pt>
                <c:pt idx="901">
                  <c:v>55.37067398395498</c:v>
                </c:pt>
                <c:pt idx="902">
                  <c:v>55.701589024257906</c:v>
                </c:pt>
                <c:pt idx="903">
                  <c:v>54.723700703626257</c:v>
                </c:pt>
                <c:pt idx="904">
                  <c:v>53.75373331835975</c:v>
                </c:pt>
                <c:pt idx="905">
                  <c:v>53.614842421638613</c:v>
                </c:pt>
                <c:pt idx="906">
                  <c:v>53.032253992076065</c:v>
                </c:pt>
                <c:pt idx="907">
                  <c:v>50.967437318561473</c:v>
                </c:pt>
                <c:pt idx="908">
                  <c:v>49.344808274816657</c:v>
                </c:pt>
                <c:pt idx="909">
                  <c:v>48.613086638124528</c:v>
                </c:pt>
                <c:pt idx="910">
                  <c:v>47.371498186921968</c:v>
                </c:pt>
                <c:pt idx="911">
                  <c:v>46.632933540319584</c:v>
                </c:pt>
                <c:pt idx="912">
                  <c:v>46.0409344581902</c:v>
                </c:pt>
                <c:pt idx="913">
                  <c:v>44.948192574764036</c:v>
                </c:pt>
                <c:pt idx="914">
                  <c:v>44.075880391101677</c:v>
                </c:pt>
                <c:pt idx="915">
                  <c:v>42.426258802070762</c:v>
                </c:pt>
                <c:pt idx="916">
                  <c:v>41.48696990194172</c:v>
                </c:pt>
                <c:pt idx="917">
                  <c:v>40.885386568763991</c:v>
                </c:pt>
                <c:pt idx="918">
                  <c:v>40.368264952596491</c:v>
                </c:pt>
              </c:numCache>
            </c:numRef>
          </c:xVal>
          <c:yVal>
            <c:numRef>
              <c:f>'Scaled Data'!$G$2:$G$920</c:f>
              <c:numCache>
                <c:formatCode>0.000</c:formatCode>
                <c:ptCount val="919"/>
                <c:pt idx="0">
                  <c:v>-35.815183706304609</c:v>
                </c:pt>
                <c:pt idx="1">
                  <c:v>-35.81909169072533</c:v>
                </c:pt>
                <c:pt idx="2">
                  <c:v>-35.980433311995668</c:v>
                </c:pt>
                <c:pt idx="3">
                  <c:v>-35.994906580743894</c:v>
                </c:pt>
                <c:pt idx="4">
                  <c:v>-36.009844124500788</c:v>
                </c:pt>
                <c:pt idx="5">
                  <c:v>-36.29490897981804</c:v>
                </c:pt>
                <c:pt idx="6">
                  <c:v>-37.026489315420577</c:v>
                </c:pt>
                <c:pt idx="7">
                  <c:v>-36.660515456202837</c:v>
                </c:pt>
                <c:pt idx="8">
                  <c:v>-36.385894769993442</c:v>
                </c:pt>
                <c:pt idx="9">
                  <c:v>-36.461087135526419</c:v>
                </c:pt>
                <c:pt idx="10">
                  <c:v>-36.731654499051515</c:v>
                </c:pt>
                <c:pt idx="11">
                  <c:v>-36.744585567336195</c:v>
                </c:pt>
                <c:pt idx="12">
                  <c:v>-36.798667550084105</c:v>
                </c:pt>
                <c:pt idx="13">
                  <c:v>-37.076683499617701</c:v>
                </c:pt>
                <c:pt idx="14">
                  <c:v>-37.088274226138253</c:v>
                </c:pt>
                <c:pt idx="15">
                  <c:v>-36.886250002587332</c:v>
                </c:pt>
                <c:pt idx="16">
                  <c:v>-37.042856018769335</c:v>
                </c:pt>
                <c:pt idx="17">
                  <c:v>-37.165473067143445</c:v>
                </c:pt>
                <c:pt idx="18">
                  <c:v>-37.301408752505111</c:v>
                </c:pt>
                <c:pt idx="19">
                  <c:v>-37.273935783514403</c:v>
                </c:pt>
                <c:pt idx="20">
                  <c:v>-37.18779056495103</c:v>
                </c:pt>
                <c:pt idx="21">
                  <c:v>-37.323407313567614</c:v>
                </c:pt>
                <c:pt idx="22">
                  <c:v>-37.344307763305295</c:v>
                </c:pt>
                <c:pt idx="23">
                  <c:v>-37.127870828615968</c:v>
                </c:pt>
                <c:pt idx="24">
                  <c:v>-37.346738142046284</c:v>
                </c:pt>
                <c:pt idx="25">
                  <c:v>-37.518386668508874</c:v>
                </c:pt>
                <c:pt idx="26">
                  <c:v>-37.548011451235375</c:v>
                </c:pt>
                <c:pt idx="27">
                  <c:v>-37.586667392173801</c:v>
                </c:pt>
                <c:pt idx="28">
                  <c:v>-37.598383271087989</c:v>
                </c:pt>
                <c:pt idx="29">
                  <c:v>-37.734403737103413</c:v>
                </c:pt>
                <c:pt idx="30">
                  <c:v>-37.804097471664264</c:v>
                </c:pt>
                <c:pt idx="31">
                  <c:v>-37.715683361319442</c:v>
                </c:pt>
                <c:pt idx="32">
                  <c:v>-37.700293654075857</c:v>
                </c:pt>
                <c:pt idx="33">
                  <c:v>-37.664718076890537</c:v>
                </c:pt>
                <c:pt idx="34">
                  <c:v>-37.710713600139783</c:v>
                </c:pt>
                <c:pt idx="35">
                  <c:v>-37.775877625485712</c:v>
                </c:pt>
                <c:pt idx="36">
                  <c:v>-37.840807494740311</c:v>
                </c:pt>
                <c:pt idx="37">
                  <c:v>-37.795453882155208</c:v>
                </c:pt>
                <c:pt idx="38">
                  <c:v>-37.790952433158203</c:v>
                </c:pt>
                <c:pt idx="39">
                  <c:v>-37.817953052792276</c:v>
                </c:pt>
                <c:pt idx="40">
                  <c:v>-37.833173198728346</c:v>
                </c:pt>
                <c:pt idx="41">
                  <c:v>-37.845769181571995</c:v>
                </c:pt>
                <c:pt idx="42">
                  <c:v>-37.899257699743615</c:v>
                </c:pt>
                <c:pt idx="43">
                  <c:v>-37.953049005964367</c:v>
                </c:pt>
                <c:pt idx="44">
                  <c:v>-38.011248906180391</c:v>
                </c:pt>
                <c:pt idx="45">
                  <c:v>-38.008955791355007</c:v>
                </c:pt>
                <c:pt idx="46">
                  <c:v>-38.124435116117716</c:v>
                </c:pt>
                <c:pt idx="47">
                  <c:v>-38.152824523603776</c:v>
                </c:pt>
                <c:pt idx="48">
                  <c:v>-38.185033097682819</c:v>
                </c:pt>
                <c:pt idx="49">
                  <c:v>-38.232191327040709</c:v>
                </c:pt>
                <c:pt idx="50">
                  <c:v>-38.156748656720453</c:v>
                </c:pt>
                <c:pt idx="51">
                  <c:v>-38.153744999273123</c:v>
                </c:pt>
                <c:pt idx="52">
                  <c:v>-38.240427161976939</c:v>
                </c:pt>
                <c:pt idx="53">
                  <c:v>-38.276999921137389</c:v>
                </c:pt>
                <c:pt idx="54">
                  <c:v>-38.054963426126221</c:v>
                </c:pt>
                <c:pt idx="55">
                  <c:v>-37.917840811611981</c:v>
                </c:pt>
                <c:pt idx="56">
                  <c:v>-37.932237374054431</c:v>
                </c:pt>
                <c:pt idx="57">
                  <c:v>-37.817811751702685</c:v>
                </c:pt>
                <c:pt idx="58">
                  <c:v>-37.763124192856523</c:v>
                </c:pt>
                <c:pt idx="59">
                  <c:v>-37.625036693759064</c:v>
                </c:pt>
                <c:pt idx="60">
                  <c:v>-37.844444988503817</c:v>
                </c:pt>
                <c:pt idx="61">
                  <c:v>-38.048584691224633</c:v>
                </c:pt>
                <c:pt idx="62">
                  <c:v>-37.885357709701736</c:v>
                </c:pt>
                <c:pt idx="63">
                  <c:v>-37.759260617349668</c:v>
                </c:pt>
                <c:pt idx="64">
                  <c:v>-37.692845068067356</c:v>
                </c:pt>
                <c:pt idx="65">
                  <c:v>-37.678646327150339</c:v>
                </c:pt>
                <c:pt idx="66">
                  <c:v>-37.6121702202582</c:v>
                </c:pt>
                <c:pt idx="67">
                  <c:v>-37.542165623300242</c:v>
                </c:pt>
                <c:pt idx="68">
                  <c:v>-37.498911341189086</c:v>
                </c:pt>
                <c:pt idx="69">
                  <c:v>-37.502988886917315</c:v>
                </c:pt>
                <c:pt idx="70">
                  <c:v>-37.548156789498954</c:v>
                </c:pt>
                <c:pt idx="71">
                  <c:v>-37.598112780430768</c:v>
                </c:pt>
                <c:pt idx="72">
                  <c:v>-37.642836593873689</c:v>
                </c:pt>
                <c:pt idx="73">
                  <c:v>-37.699732486891477</c:v>
                </c:pt>
                <c:pt idx="74">
                  <c:v>-37.715166603048935</c:v>
                </c:pt>
                <c:pt idx="75">
                  <c:v>-39.36645958211102</c:v>
                </c:pt>
                <c:pt idx="76">
                  <c:v>-39.496323357794211</c:v>
                </c:pt>
                <c:pt idx="77">
                  <c:v>-40.517260064663617</c:v>
                </c:pt>
                <c:pt idx="78">
                  <c:v>-41.123688006627361</c:v>
                </c:pt>
                <c:pt idx="79">
                  <c:v>-41.76266768245916</c:v>
                </c:pt>
                <c:pt idx="80">
                  <c:v>-43.063969974123374</c:v>
                </c:pt>
                <c:pt idx="81">
                  <c:v>-43.239615302834437</c:v>
                </c:pt>
                <c:pt idx="82">
                  <c:v>-43.271710836041805</c:v>
                </c:pt>
                <c:pt idx="83">
                  <c:v>-43.267730182489288</c:v>
                </c:pt>
                <c:pt idx="84">
                  <c:v>-43.348748190087463</c:v>
                </c:pt>
                <c:pt idx="85">
                  <c:v>-43.370153286573682</c:v>
                </c:pt>
                <c:pt idx="86">
                  <c:v>-43.43977838917673</c:v>
                </c:pt>
                <c:pt idx="87">
                  <c:v>-43.435240605613828</c:v>
                </c:pt>
                <c:pt idx="88">
                  <c:v>-43.324194097890327</c:v>
                </c:pt>
                <c:pt idx="89">
                  <c:v>-43.242941934200836</c:v>
                </c:pt>
                <c:pt idx="90">
                  <c:v>-43.336006868980235</c:v>
                </c:pt>
                <c:pt idx="91">
                  <c:v>-43.430165877910476</c:v>
                </c:pt>
                <c:pt idx="92">
                  <c:v>-43.335393218534001</c:v>
                </c:pt>
                <c:pt idx="93">
                  <c:v>-43.434005230373394</c:v>
                </c:pt>
                <c:pt idx="94">
                  <c:v>-43.321275221096748</c:v>
                </c:pt>
                <c:pt idx="95">
                  <c:v>-43.143655714305389</c:v>
                </c:pt>
                <c:pt idx="96">
                  <c:v>-43.044393717453879</c:v>
                </c:pt>
                <c:pt idx="97">
                  <c:v>-43.10711525253685</c:v>
                </c:pt>
                <c:pt idx="98">
                  <c:v>-43.113304240260987</c:v>
                </c:pt>
                <c:pt idx="99">
                  <c:v>-43.196171273545822</c:v>
                </c:pt>
                <c:pt idx="100">
                  <c:v>-43.193268545448198</c:v>
                </c:pt>
                <c:pt idx="101">
                  <c:v>-43.257726065346162</c:v>
                </c:pt>
                <c:pt idx="102">
                  <c:v>-43.081951547067476</c:v>
                </c:pt>
                <c:pt idx="103">
                  <c:v>-43.177422637543934</c:v>
                </c:pt>
                <c:pt idx="104">
                  <c:v>-43.218557403311209</c:v>
                </c:pt>
                <c:pt idx="105">
                  <c:v>-43.238957243474331</c:v>
                </c:pt>
                <c:pt idx="106">
                  <c:v>-43.262732161091719</c:v>
                </c:pt>
                <c:pt idx="107">
                  <c:v>-43.242679517891588</c:v>
                </c:pt>
                <c:pt idx="108">
                  <c:v>-43.287730342427565</c:v>
                </c:pt>
                <c:pt idx="109">
                  <c:v>-43.199162819471191</c:v>
                </c:pt>
                <c:pt idx="110">
                  <c:v>-43.084765457337355</c:v>
                </c:pt>
                <c:pt idx="111">
                  <c:v>-43.07174153405095</c:v>
                </c:pt>
                <c:pt idx="112">
                  <c:v>-43.035701681856963</c:v>
                </c:pt>
                <c:pt idx="113">
                  <c:v>-43.005285613028747</c:v>
                </c:pt>
                <c:pt idx="114">
                  <c:v>-43.009770913329803</c:v>
                </c:pt>
                <c:pt idx="115">
                  <c:v>-43.177471083631794</c:v>
                </c:pt>
                <c:pt idx="116">
                  <c:v>-43.348764338783411</c:v>
                </c:pt>
                <c:pt idx="117">
                  <c:v>-43.355058293031249</c:v>
                </c:pt>
                <c:pt idx="118">
                  <c:v>-43.441974611826389</c:v>
                </c:pt>
                <c:pt idx="119">
                  <c:v>-43.474756464611779</c:v>
                </c:pt>
                <c:pt idx="120">
                  <c:v>-43.527393139071862</c:v>
                </c:pt>
                <c:pt idx="121">
                  <c:v>-43.69325235803516</c:v>
                </c:pt>
                <c:pt idx="122">
                  <c:v>-43.72459293970671</c:v>
                </c:pt>
                <c:pt idx="123">
                  <c:v>-43.935345533420438</c:v>
                </c:pt>
                <c:pt idx="124">
                  <c:v>-43.975022879377924</c:v>
                </c:pt>
                <c:pt idx="125">
                  <c:v>-43.973989362836903</c:v>
                </c:pt>
                <c:pt idx="126">
                  <c:v>-43.785404891493194</c:v>
                </c:pt>
                <c:pt idx="127">
                  <c:v>-43.820919911068692</c:v>
                </c:pt>
                <c:pt idx="128">
                  <c:v>-43.874456875328171</c:v>
                </c:pt>
                <c:pt idx="129">
                  <c:v>-43.881994279164417</c:v>
                </c:pt>
                <c:pt idx="130">
                  <c:v>-43.788549850030115</c:v>
                </c:pt>
                <c:pt idx="131">
                  <c:v>-43.794379529269293</c:v>
                </c:pt>
                <c:pt idx="132">
                  <c:v>-43.663167337473993</c:v>
                </c:pt>
                <c:pt idx="133">
                  <c:v>-43.690305221023664</c:v>
                </c:pt>
                <c:pt idx="134">
                  <c:v>-43.6176360892334</c:v>
                </c:pt>
                <c:pt idx="135">
                  <c:v>-43.481324946690819</c:v>
                </c:pt>
                <c:pt idx="136">
                  <c:v>-43.438708538069818</c:v>
                </c:pt>
                <c:pt idx="137">
                  <c:v>-43.473250598714124</c:v>
                </c:pt>
                <c:pt idx="138">
                  <c:v>-43.434421059294195</c:v>
                </c:pt>
                <c:pt idx="139">
                  <c:v>-43.467182726209636</c:v>
                </c:pt>
                <c:pt idx="140">
                  <c:v>-43.235101742315464</c:v>
                </c:pt>
                <c:pt idx="141">
                  <c:v>-42.908776968837287</c:v>
                </c:pt>
                <c:pt idx="142">
                  <c:v>-42.821743571996485</c:v>
                </c:pt>
                <c:pt idx="143">
                  <c:v>-42.786959280912875</c:v>
                </c:pt>
                <c:pt idx="144">
                  <c:v>-42.450767654207183</c:v>
                </c:pt>
                <c:pt idx="145">
                  <c:v>-42.4150063670184</c:v>
                </c:pt>
                <c:pt idx="146">
                  <c:v>-42.191661827635009</c:v>
                </c:pt>
                <c:pt idx="147">
                  <c:v>-42.338296024065798</c:v>
                </c:pt>
                <c:pt idx="148">
                  <c:v>-41.865236124807126</c:v>
                </c:pt>
                <c:pt idx="149">
                  <c:v>-41.056953520599968</c:v>
                </c:pt>
                <c:pt idx="150">
                  <c:v>-40.42002472915425</c:v>
                </c:pt>
                <c:pt idx="151">
                  <c:v>-39.459334769712967</c:v>
                </c:pt>
                <c:pt idx="152">
                  <c:v>-38.988075450053103</c:v>
                </c:pt>
                <c:pt idx="153">
                  <c:v>-37.796697331743623</c:v>
                </c:pt>
                <c:pt idx="154">
                  <c:v>-37.157612689388131</c:v>
                </c:pt>
                <c:pt idx="155">
                  <c:v>-36.997950532496944</c:v>
                </c:pt>
                <c:pt idx="156">
                  <c:v>-37.11397083857409</c:v>
                </c:pt>
                <c:pt idx="157">
                  <c:v>-36.471850241379357</c:v>
                </c:pt>
                <c:pt idx="158">
                  <c:v>-36.51487036739919</c:v>
                </c:pt>
                <c:pt idx="159">
                  <c:v>-36.503065670657264</c:v>
                </c:pt>
                <c:pt idx="160">
                  <c:v>-36.631754628709842</c:v>
                </c:pt>
                <c:pt idx="161">
                  <c:v>-36.699203694533175</c:v>
                </c:pt>
                <c:pt idx="162">
                  <c:v>-36.763051601158899</c:v>
                </c:pt>
                <c:pt idx="163">
                  <c:v>-37.034595960789176</c:v>
                </c:pt>
                <c:pt idx="164">
                  <c:v>-37.060494431924425</c:v>
                </c:pt>
                <c:pt idx="165">
                  <c:v>-36.964829557096536</c:v>
                </c:pt>
                <c:pt idx="166">
                  <c:v>-36.802563422982864</c:v>
                </c:pt>
                <c:pt idx="167">
                  <c:v>-36.97692089319164</c:v>
                </c:pt>
                <c:pt idx="168">
                  <c:v>-37.06083355453945</c:v>
                </c:pt>
                <c:pt idx="169">
                  <c:v>-37.072533284757682</c:v>
                </c:pt>
                <c:pt idx="170">
                  <c:v>-37.159082220719888</c:v>
                </c:pt>
                <c:pt idx="171">
                  <c:v>-37.166240130201231</c:v>
                </c:pt>
                <c:pt idx="172">
                  <c:v>-37.296459177195395</c:v>
                </c:pt>
                <c:pt idx="173">
                  <c:v>-37.142118015620852</c:v>
                </c:pt>
                <c:pt idx="174">
                  <c:v>-37.313245746638948</c:v>
                </c:pt>
                <c:pt idx="175">
                  <c:v>-37.369657178778134</c:v>
                </c:pt>
                <c:pt idx="176">
                  <c:v>-37.423823942179801</c:v>
                </c:pt>
                <c:pt idx="177">
                  <c:v>-37.449686078749153</c:v>
                </c:pt>
                <c:pt idx="178">
                  <c:v>-37.540922173711834</c:v>
                </c:pt>
                <c:pt idx="179">
                  <c:v>-37.683817947029411</c:v>
                </c:pt>
                <c:pt idx="180">
                  <c:v>-37.725626920852747</c:v>
                </c:pt>
                <c:pt idx="181">
                  <c:v>-37.722360847096169</c:v>
                </c:pt>
                <c:pt idx="182">
                  <c:v>-37.587745317628695</c:v>
                </c:pt>
                <c:pt idx="183">
                  <c:v>-37.601261776141683</c:v>
                </c:pt>
                <c:pt idx="184">
                  <c:v>-37.584673028223563</c:v>
                </c:pt>
                <c:pt idx="185">
                  <c:v>-37.635666572870385</c:v>
                </c:pt>
                <c:pt idx="186">
                  <c:v>-37.726664474567748</c:v>
                </c:pt>
                <c:pt idx="187">
                  <c:v>-37.704169341104674</c:v>
                </c:pt>
                <c:pt idx="188">
                  <c:v>-37.697794643377073</c:v>
                </c:pt>
                <c:pt idx="189">
                  <c:v>-37.684266073342116</c:v>
                </c:pt>
                <c:pt idx="190">
                  <c:v>-37.737794963253627</c:v>
                </c:pt>
                <c:pt idx="191">
                  <c:v>-37.73343077817222</c:v>
                </c:pt>
                <c:pt idx="192">
                  <c:v>-37.800104706589785</c:v>
                </c:pt>
                <c:pt idx="193">
                  <c:v>-37.8446226241593</c:v>
                </c:pt>
                <c:pt idx="194">
                  <c:v>-37.877549815208269</c:v>
                </c:pt>
                <c:pt idx="195">
                  <c:v>-37.854897231959647</c:v>
                </c:pt>
                <c:pt idx="196">
                  <c:v>-37.955979994279907</c:v>
                </c:pt>
                <c:pt idx="197">
                  <c:v>-38.070853742944358</c:v>
                </c:pt>
                <c:pt idx="198">
                  <c:v>-38.113732567874607</c:v>
                </c:pt>
                <c:pt idx="199">
                  <c:v>-38.138545039206988</c:v>
                </c:pt>
                <c:pt idx="200">
                  <c:v>-38.017187589117249</c:v>
                </c:pt>
                <c:pt idx="201">
                  <c:v>-38.009892415720302</c:v>
                </c:pt>
                <c:pt idx="202">
                  <c:v>-38.186361327924985</c:v>
                </c:pt>
                <c:pt idx="203">
                  <c:v>-38.217730169814452</c:v>
                </c:pt>
                <c:pt idx="204">
                  <c:v>-38.112981653512769</c:v>
                </c:pt>
                <c:pt idx="205">
                  <c:v>-37.967651464280223</c:v>
                </c:pt>
                <c:pt idx="206">
                  <c:v>-37.810900109834634</c:v>
                </c:pt>
                <c:pt idx="207">
                  <c:v>-37.746438552762676</c:v>
                </c:pt>
                <c:pt idx="208">
                  <c:v>-37.945019066901537</c:v>
                </c:pt>
                <c:pt idx="209">
                  <c:v>-37.836249525307466</c:v>
                </c:pt>
                <c:pt idx="210">
                  <c:v>-37.770948236045939</c:v>
                </c:pt>
                <c:pt idx="211">
                  <c:v>-37.586130448033352</c:v>
                </c:pt>
                <c:pt idx="212">
                  <c:v>-37.536081602099806</c:v>
                </c:pt>
                <c:pt idx="213">
                  <c:v>-37.376734344779706</c:v>
                </c:pt>
                <c:pt idx="214">
                  <c:v>-37.316192883650437</c:v>
                </c:pt>
                <c:pt idx="215">
                  <c:v>-37.584685139745524</c:v>
                </c:pt>
                <c:pt idx="216">
                  <c:v>-37.860569461413277</c:v>
                </c:pt>
                <c:pt idx="217">
                  <c:v>-37.825405675974764</c:v>
                </c:pt>
                <c:pt idx="218">
                  <c:v>-37.871308344222285</c:v>
                </c:pt>
                <c:pt idx="219">
                  <c:v>-37.886778794945634</c:v>
                </c:pt>
                <c:pt idx="220">
                  <c:v>-37.878946677408237</c:v>
                </c:pt>
                <c:pt idx="221">
                  <c:v>-37.943161966866903</c:v>
                </c:pt>
                <c:pt idx="222">
                  <c:v>-38.024155751421141</c:v>
                </c:pt>
                <c:pt idx="223">
                  <c:v>-38.114895273983251</c:v>
                </c:pt>
                <c:pt idx="224">
                  <c:v>-38.128375397930341</c:v>
                </c:pt>
                <c:pt idx="225">
                  <c:v>-38.145396123465218</c:v>
                </c:pt>
                <c:pt idx="226">
                  <c:v>-39.97948022919774</c:v>
                </c:pt>
                <c:pt idx="227">
                  <c:v>-40.012754617209701</c:v>
                </c:pt>
                <c:pt idx="228">
                  <c:v>-41.050429447434794</c:v>
                </c:pt>
                <c:pt idx="229">
                  <c:v>-42.102730959019674</c:v>
                </c:pt>
                <c:pt idx="230">
                  <c:v>-42.520925663776694</c:v>
                </c:pt>
                <c:pt idx="231">
                  <c:v>-43.087199873252331</c:v>
                </c:pt>
                <c:pt idx="232">
                  <c:v>-43.099933120011585</c:v>
                </c:pt>
                <c:pt idx="233">
                  <c:v>-43.215323626946542</c:v>
                </c:pt>
                <c:pt idx="234">
                  <c:v>-43.253620259400016</c:v>
                </c:pt>
                <c:pt idx="235">
                  <c:v>-43.345506339374815</c:v>
                </c:pt>
                <c:pt idx="236">
                  <c:v>-43.384489291406304</c:v>
                </c:pt>
                <c:pt idx="237">
                  <c:v>-43.503404251233093</c:v>
                </c:pt>
                <c:pt idx="238">
                  <c:v>-43.577708438488642</c:v>
                </c:pt>
                <c:pt idx="239">
                  <c:v>-43.355651757607532</c:v>
                </c:pt>
                <c:pt idx="240">
                  <c:v>-43.307625535842149</c:v>
                </c:pt>
                <c:pt idx="241">
                  <c:v>-43.406931941607532</c:v>
                </c:pt>
                <c:pt idx="242">
                  <c:v>-43.354525386064786</c:v>
                </c:pt>
                <c:pt idx="243">
                  <c:v>-43.371776230517</c:v>
                </c:pt>
                <c:pt idx="244">
                  <c:v>-43.275271623499528</c:v>
                </c:pt>
                <c:pt idx="245">
                  <c:v>-43.139109856394512</c:v>
                </c:pt>
                <c:pt idx="246">
                  <c:v>-43.120385443436554</c:v>
                </c:pt>
                <c:pt idx="247">
                  <c:v>-43.155044582126521</c:v>
                </c:pt>
                <c:pt idx="248">
                  <c:v>-43.102399833318465</c:v>
                </c:pt>
                <c:pt idx="249">
                  <c:v>-43.189849059080068</c:v>
                </c:pt>
                <c:pt idx="250">
                  <c:v>-43.164293747733822</c:v>
                </c:pt>
                <c:pt idx="251">
                  <c:v>-43.22764911913297</c:v>
                </c:pt>
                <c:pt idx="252">
                  <c:v>-43.097494666922621</c:v>
                </c:pt>
                <c:pt idx="253">
                  <c:v>-43.171584883956783</c:v>
                </c:pt>
                <c:pt idx="254">
                  <c:v>-43.147616181987956</c:v>
                </c:pt>
                <c:pt idx="255">
                  <c:v>-43.144620598888608</c:v>
                </c:pt>
                <c:pt idx="256">
                  <c:v>-43.046137776616845</c:v>
                </c:pt>
                <c:pt idx="257">
                  <c:v>-43.123942193720289</c:v>
                </c:pt>
                <c:pt idx="258">
                  <c:v>-43.201447859948594</c:v>
                </c:pt>
                <c:pt idx="259">
                  <c:v>-43.096622637341135</c:v>
                </c:pt>
                <c:pt idx="260">
                  <c:v>-43.092242303563779</c:v>
                </c:pt>
                <c:pt idx="261">
                  <c:v>-43.066259051774772</c:v>
                </c:pt>
                <c:pt idx="262">
                  <c:v>-43.027235728003397</c:v>
                </c:pt>
                <c:pt idx="263">
                  <c:v>-42.987340374650543</c:v>
                </c:pt>
                <c:pt idx="264">
                  <c:v>-43.025669304495921</c:v>
                </c:pt>
                <c:pt idx="265">
                  <c:v>-43.06298490367022</c:v>
                </c:pt>
                <c:pt idx="266">
                  <c:v>-43.021397974416246</c:v>
                </c:pt>
                <c:pt idx="267">
                  <c:v>-43.045168854859639</c:v>
                </c:pt>
                <c:pt idx="268">
                  <c:v>-43.089052936112985</c:v>
                </c:pt>
                <c:pt idx="269">
                  <c:v>-43.122718930001817</c:v>
                </c:pt>
                <c:pt idx="270">
                  <c:v>-43.172545731366007</c:v>
                </c:pt>
                <c:pt idx="271">
                  <c:v>-43.388482056480782</c:v>
                </c:pt>
                <c:pt idx="272">
                  <c:v>-43.439907578744361</c:v>
                </c:pt>
                <c:pt idx="273">
                  <c:v>-43.559468486409287</c:v>
                </c:pt>
                <c:pt idx="274">
                  <c:v>-43.582016103134208</c:v>
                </c:pt>
                <c:pt idx="275">
                  <c:v>-43.861154387036571</c:v>
                </c:pt>
                <c:pt idx="276">
                  <c:v>-43.983169896486409</c:v>
                </c:pt>
                <c:pt idx="277">
                  <c:v>-43.831287373870765</c:v>
                </c:pt>
                <c:pt idx="278">
                  <c:v>-43.990735560540571</c:v>
                </c:pt>
                <c:pt idx="279">
                  <c:v>-43.843774353016727</c:v>
                </c:pt>
                <c:pt idx="280">
                  <c:v>-43.672973633091686</c:v>
                </c:pt>
                <c:pt idx="281">
                  <c:v>-43.680583706059728</c:v>
                </c:pt>
                <c:pt idx="282">
                  <c:v>-43.536803791638697</c:v>
                </c:pt>
                <c:pt idx="283">
                  <c:v>-43.725933281470837</c:v>
                </c:pt>
                <c:pt idx="284">
                  <c:v>-43.63362733540125</c:v>
                </c:pt>
                <c:pt idx="285">
                  <c:v>-43.511276740510375</c:v>
                </c:pt>
                <c:pt idx="286">
                  <c:v>-43.54645263747085</c:v>
                </c:pt>
                <c:pt idx="287">
                  <c:v>-43.521656314834416</c:v>
                </c:pt>
                <c:pt idx="288">
                  <c:v>-43.501054615971874</c:v>
                </c:pt>
                <c:pt idx="289">
                  <c:v>-43.541260831721836</c:v>
                </c:pt>
                <c:pt idx="290">
                  <c:v>-43.415329263503295</c:v>
                </c:pt>
                <c:pt idx="291">
                  <c:v>-43.047643642514501</c:v>
                </c:pt>
                <c:pt idx="292">
                  <c:v>-42.818251416496565</c:v>
                </c:pt>
                <c:pt idx="293">
                  <c:v>-42.846996095293598</c:v>
                </c:pt>
                <c:pt idx="294">
                  <c:v>-42.383286290991947</c:v>
                </c:pt>
                <c:pt idx="295">
                  <c:v>-42.386693665838109</c:v>
                </c:pt>
                <c:pt idx="296">
                  <c:v>-42.262267963517225</c:v>
                </c:pt>
                <c:pt idx="297">
                  <c:v>-42.291925043635629</c:v>
                </c:pt>
                <c:pt idx="298">
                  <c:v>-41.938228230516458</c:v>
                </c:pt>
                <c:pt idx="299">
                  <c:v>-41.511494902774082</c:v>
                </c:pt>
                <c:pt idx="300">
                  <c:v>-40.052040357290316</c:v>
                </c:pt>
                <c:pt idx="301">
                  <c:v>-39.91797388348526</c:v>
                </c:pt>
                <c:pt idx="302">
                  <c:v>-38.476274829202247</c:v>
                </c:pt>
                <c:pt idx="303">
                  <c:v>-38.022254242472627</c:v>
                </c:pt>
                <c:pt idx="304">
                  <c:v>-37.263233235271294</c:v>
                </c:pt>
                <c:pt idx="305">
                  <c:v>-37.16969998830924</c:v>
                </c:pt>
                <c:pt idx="306">
                  <c:v>-37.145795881124236</c:v>
                </c:pt>
                <c:pt idx="307">
                  <c:v>-36.528814766354948</c:v>
                </c:pt>
                <c:pt idx="308">
                  <c:v>-36.454680140406914</c:v>
                </c:pt>
                <c:pt idx="309">
                  <c:v>-36.449928386622624</c:v>
                </c:pt>
                <c:pt idx="310">
                  <c:v>-36.474769118172929</c:v>
                </c:pt>
                <c:pt idx="311">
                  <c:v>-36.65991795445256</c:v>
                </c:pt>
                <c:pt idx="312">
                  <c:v>-36.779963322996089</c:v>
                </c:pt>
                <c:pt idx="313">
                  <c:v>-36.828780830863195</c:v>
                </c:pt>
                <c:pt idx="314">
                  <c:v>-36.967009631050246</c:v>
                </c:pt>
                <c:pt idx="315">
                  <c:v>-37.068580891423089</c:v>
                </c:pt>
                <c:pt idx="316">
                  <c:v>-36.931078782553946</c:v>
                </c:pt>
                <c:pt idx="317">
                  <c:v>-36.982786906996708</c:v>
                </c:pt>
                <c:pt idx="318">
                  <c:v>-37.169647505047394</c:v>
                </c:pt>
                <c:pt idx="319">
                  <c:v>-37.220693532956069</c:v>
                </c:pt>
                <c:pt idx="320">
                  <c:v>-37.129029497550626</c:v>
                </c:pt>
                <c:pt idx="321">
                  <c:v>-37.279801797319472</c:v>
                </c:pt>
                <c:pt idx="322">
                  <c:v>-37.372208672738772</c:v>
                </c:pt>
                <c:pt idx="323">
                  <c:v>-37.304941279744916</c:v>
                </c:pt>
                <c:pt idx="324">
                  <c:v>-37.391510401577058</c:v>
                </c:pt>
                <c:pt idx="325">
                  <c:v>-37.57310652474694</c:v>
                </c:pt>
                <c:pt idx="326">
                  <c:v>-37.437534185044228</c:v>
                </c:pt>
                <c:pt idx="327">
                  <c:v>-37.549262975171757</c:v>
                </c:pt>
                <c:pt idx="328">
                  <c:v>-37.622985809372985</c:v>
                </c:pt>
                <c:pt idx="329">
                  <c:v>-37.712881562571532</c:v>
                </c:pt>
                <c:pt idx="330">
                  <c:v>-37.720491635539567</c:v>
                </c:pt>
                <c:pt idx="331">
                  <c:v>-37.719413710084673</c:v>
                </c:pt>
                <c:pt idx="332">
                  <c:v>-37.655517357371089</c:v>
                </c:pt>
                <c:pt idx="333">
                  <c:v>-37.605512920351416</c:v>
                </c:pt>
                <c:pt idx="334">
                  <c:v>-37.566001098527451</c:v>
                </c:pt>
                <c:pt idx="335">
                  <c:v>-37.583950374079649</c:v>
                </c:pt>
                <c:pt idx="336">
                  <c:v>-37.75216730265214</c:v>
                </c:pt>
                <c:pt idx="337">
                  <c:v>-37.817488777783616</c:v>
                </c:pt>
                <c:pt idx="338">
                  <c:v>-37.843245947829274</c:v>
                </c:pt>
                <c:pt idx="339">
                  <c:v>-37.815401558831638</c:v>
                </c:pt>
                <c:pt idx="340">
                  <c:v>-37.822034635694493</c:v>
                </c:pt>
                <c:pt idx="341">
                  <c:v>-37.822886479406037</c:v>
                </c:pt>
                <c:pt idx="342">
                  <c:v>-37.83289463372315</c:v>
                </c:pt>
                <c:pt idx="343">
                  <c:v>-37.886597122116157</c:v>
                </c:pt>
                <c:pt idx="344">
                  <c:v>-37.92977066074755</c:v>
                </c:pt>
                <c:pt idx="345">
                  <c:v>-37.962556550706921</c:v>
                </c:pt>
                <c:pt idx="346">
                  <c:v>-38.058302169014588</c:v>
                </c:pt>
                <c:pt idx="347">
                  <c:v>-38.131859479082287</c:v>
                </c:pt>
                <c:pt idx="348">
                  <c:v>-38.11817345926179</c:v>
                </c:pt>
                <c:pt idx="349">
                  <c:v>-38.202187049959306</c:v>
                </c:pt>
                <c:pt idx="350">
                  <c:v>-38.047753033383032</c:v>
                </c:pt>
                <c:pt idx="351">
                  <c:v>-37.937203098060095</c:v>
                </c:pt>
                <c:pt idx="352">
                  <c:v>-38.151883862064494</c:v>
                </c:pt>
                <c:pt idx="353">
                  <c:v>-38.330343101045429</c:v>
                </c:pt>
                <c:pt idx="354">
                  <c:v>-38.129033457290447</c:v>
                </c:pt>
                <c:pt idx="355">
                  <c:v>-37.971890496967987</c:v>
                </c:pt>
                <c:pt idx="356">
                  <c:v>-37.848793024889268</c:v>
                </c:pt>
                <c:pt idx="357">
                  <c:v>-37.66800433651705</c:v>
                </c:pt>
                <c:pt idx="358">
                  <c:v>-37.57063981144006</c:v>
                </c:pt>
                <c:pt idx="359">
                  <c:v>-37.392467211812303</c:v>
                </c:pt>
                <c:pt idx="360">
                  <c:v>-37.835300789420209</c:v>
                </c:pt>
                <c:pt idx="361">
                  <c:v>-37.978656800572459</c:v>
                </c:pt>
                <c:pt idx="362">
                  <c:v>-37.836225302263536</c:v>
                </c:pt>
                <c:pt idx="363">
                  <c:v>-37.766555790746615</c:v>
                </c:pt>
                <c:pt idx="364">
                  <c:v>-37.693503127427455</c:v>
                </c:pt>
                <c:pt idx="365">
                  <c:v>-37.638036394001546</c:v>
                </c:pt>
                <c:pt idx="366">
                  <c:v>-37.522528809020919</c:v>
                </c:pt>
                <c:pt idx="367">
                  <c:v>-37.47897981320861</c:v>
                </c:pt>
                <c:pt idx="368">
                  <c:v>-37.449282361350321</c:v>
                </c:pt>
                <c:pt idx="369">
                  <c:v>-37.430069450339772</c:v>
                </c:pt>
                <c:pt idx="370">
                  <c:v>-37.410945357156969</c:v>
                </c:pt>
                <c:pt idx="371">
                  <c:v>-37.464886038815287</c:v>
                </c:pt>
                <c:pt idx="372">
                  <c:v>-37.538996441719391</c:v>
                </c:pt>
                <c:pt idx="373">
                  <c:v>-37.630902707564132</c:v>
                </c:pt>
                <c:pt idx="374">
                  <c:v>-37.647749834617507</c:v>
                </c:pt>
                <c:pt idx="375">
                  <c:v>-39.163066756578047</c:v>
                </c:pt>
                <c:pt idx="376">
                  <c:v>-39.495483625604635</c:v>
                </c:pt>
                <c:pt idx="377">
                  <c:v>-40.435612257923268</c:v>
                </c:pt>
                <c:pt idx="378">
                  <c:v>-41.139340130180187</c:v>
                </c:pt>
                <c:pt idx="379">
                  <c:v>-41.944174987801297</c:v>
                </c:pt>
                <c:pt idx="380">
                  <c:v>-42.570853394490598</c:v>
                </c:pt>
                <c:pt idx="381">
                  <c:v>-42.633005688041216</c:v>
                </c:pt>
                <c:pt idx="382">
                  <c:v>-42.760091888020419</c:v>
                </c:pt>
                <c:pt idx="383">
                  <c:v>-42.883758601631499</c:v>
                </c:pt>
                <c:pt idx="384">
                  <c:v>-42.959391019129207</c:v>
                </c:pt>
                <c:pt idx="385">
                  <c:v>-42.998204409853187</c:v>
                </c:pt>
                <c:pt idx="386">
                  <c:v>-43.172198534403009</c:v>
                </c:pt>
                <c:pt idx="387">
                  <c:v>-43.29197744946331</c:v>
                </c:pt>
                <c:pt idx="388">
                  <c:v>-43.367706759136738</c:v>
                </c:pt>
                <c:pt idx="389">
                  <c:v>-43.413363159770967</c:v>
                </c:pt>
                <c:pt idx="390">
                  <c:v>-43.582561121622632</c:v>
                </c:pt>
                <c:pt idx="391">
                  <c:v>-43.560695787301739</c:v>
                </c:pt>
                <c:pt idx="392">
                  <c:v>-43.474372933082883</c:v>
                </c:pt>
                <c:pt idx="393">
                  <c:v>-43.423254236042425</c:v>
                </c:pt>
                <c:pt idx="394">
                  <c:v>-43.215000653027474</c:v>
                </c:pt>
                <c:pt idx="395">
                  <c:v>-43.089145791114717</c:v>
                </c:pt>
                <c:pt idx="396">
                  <c:v>-43.078136417648494</c:v>
                </c:pt>
                <c:pt idx="397">
                  <c:v>-43.057328822912545</c:v>
                </c:pt>
                <c:pt idx="398">
                  <c:v>-43.159957822870339</c:v>
                </c:pt>
                <c:pt idx="399">
                  <c:v>-43.23694269365415</c:v>
                </c:pt>
                <c:pt idx="400">
                  <c:v>-43.241318990257518</c:v>
                </c:pt>
                <c:pt idx="401">
                  <c:v>-43.165852096893332</c:v>
                </c:pt>
                <c:pt idx="402">
                  <c:v>-43.057320748564571</c:v>
                </c:pt>
                <c:pt idx="403">
                  <c:v>-43.1425091568927</c:v>
                </c:pt>
                <c:pt idx="404">
                  <c:v>-43.220798034874747</c:v>
                </c:pt>
                <c:pt idx="405">
                  <c:v>-43.238868425646594</c:v>
                </c:pt>
                <c:pt idx="406">
                  <c:v>-43.242086053315305</c:v>
                </c:pt>
                <c:pt idx="407">
                  <c:v>-43.207426914625337</c:v>
                </c:pt>
                <c:pt idx="408">
                  <c:v>-43.335813084628789</c:v>
                </c:pt>
                <c:pt idx="409">
                  <c:v>-43.178399633649114</c:v>
                </c:pt>
                <c:pt idx="410">
                  <c:v>-43.117333339901364</c:v>
                </c:pt>
                <c:pt idx="411">
                  <c:v>-43.153030032306333</c:v>
                </c:pt>
                <c:pt idx="412">
                  <c:v>-43.184976190076135</c:v>
                </c:pt>
                <c:pt idx="413">
                  <c:v>-43.382127544623117</c:v>
                </c:pt>
                <c:pt idx="414">
                  <c:v>-43.37480411100826</c:v>
                </c:pt>
                <c:pt idx="415">
                  <c:v>-43.3889261456195</c:v>
                </c:pt>
                <c:pt idx="416">
                  <c:v>-43.329232491027781</c:v>
                </c:pt>
                <c:pt idx="417">
                  <c:v>-43.385438027293567</c:v>
                </c:pt>
                <c:pt idx="418">
                  <c:v>-43.456193538613356</c:v>
                </c:pt>
                <c:pt idx="419">
                  <c:v>-43.510574272236404</c:v>
                </c:pt>
                <c:pt idx="420">
                  <c:v>-43.508309417628936</c:v>
                </c:pt>
                <c:pt idx="421">
                  <c:v>-43.691148990387234</c:v>
                </c:pt>
                <c:pt idx="422">
                  <c:v>-43.767043824194189</c:v>
                </c:pt>
                <c:pt idx="423">
                  <c:v>-43.90391613392115</c:v>
                </c:pt>
                <c:pt idx="424">
                  <c:v>-43.972334121501682</c:v>
                </c:pt>
                <c:pt idx="425">
                  <c:v>-43.858065948935483</c:v>
                </c:pt>
                <c:pt idx="426">
                  <c:v>-43.828231233161588</c:v>
                </c:pt>
                <c:pt idx="427">
                  <c:v>-43.795546272551924</c:v>
                </c:pt>
                <c:pt idx="428">
                  <c:v>-43.925741096502158</c:v>
                </c:pt>
                <c:pt idx="429">
                  <c:v>-43.875817402962248</c:v>
                </c:pt>
                <c:pt idx="430">
                  <c:v>-43.810693749356204</c:v>
                </c:pt>
                <c:pt idx="431">
                  <c:v>-43.755868926594438</c:v>
                </c:pt>
                <c:pt idx="432">
                  <c:v>-43.80701588385282</c:v>
                </c:pt>
                <c:pt idx="433">
                  <c:v>-43.654689272098459</c:v>
                </c:pt>
                <c:pt idx="434">
                  <c:v>-43.520283675678378</c:v>
                </c:pt>
                <c:pt idx="435">
                  <c:v>-43.438607608720112</c:v>
                </c:pt>
                <c:pt idx="436">
                  <c:v>-43.436241824762938</c:v>
                </c:pt>
                <c:pt idx="437">
                  <c:v>-43.47871289512036</c:v>
                </c:pt>
                <c:pt idx="438">
                  <c:v>-43.300261730487399</c:v>
                </c:pt>
                <c:pt idx="439">
                  <c:v>-43.379176370437641</c:v>
                </c:pt>
                <c:pt idx="440">
                  <c:v>-43.390185743903864</c:v>
                </c:pt>
                <c:pt idx="441">
                  <c:v>-42.930363738152991</c:v>
                </c:pt>
                <c:pt idx="442">
                  <c:v>-42.743099422703466</c:v>
                </c:pt>
                <c:pt idx="443">
                  <c:v>-42.624410544620019</c:v>
                </c:pt>
                <c:pt idx="444">
                  <c:v>-42.367028591340869</c:v>
                </c:pt>
                <c:pt idx="445">
                  <c:v>-42.123106576138866</c:v>
                </c:pt>
                <c:pt idx="446">
                  <c:v>-42.190333597392844</c:v>
                </c:pt>
                <c:pt idx="447">
                  <c:v>-42.187168452985972</c:v>
                </c:pt>
                <c:pt idx="448">
                  <c:v>-41.647616298139212</c:v>
                </c:pt>
                <c:pt idx="449">
                  <c:v>-41.266167951024137</c:v>
                </c:pt>
                <c:pt idx="450">
                  <c:v>-40.416354937998847</c:v>
                </c:pt>
                <c:pt idx="451">
                  <c:v>-39.573566607713275</c:v>
                </c:pt>
                <c:pt idx="452">
                  <c:v>-38.71609911280607</c:v>
                </c:pt>
                <c:pt idx="453">
                  <c:v>-37.840335145383676</c:v>
                </c:pt>
                <c:pt idx="454">
                  <c:v>-37.117059276675171</c:v>
                </c:pt>
                <c:pt idx="455">
                  <c:v>-36.96581462754969</c:v>
                </c:pt>
                <c:pt idx="456">
                  <c:v>-37.04409946835775</c:v>
                </c:pt>
                <c:pt idx="457">
                  <c:v>-36.558645444954848</c:v>
                </c:pt>
                <c:pt idx="458">
                  <c:v>-36.662538080371</c:v>
                </c:pt>
                <c:pt idx="459">
                  <c:v>-36.470275743523899</c:v>
                </c:pt>
                <c:pt idx="460">
                  <c:v>-36.412863092235604</c:v>
                </c:pt>
                <c:pt idx="461">
                  <c:v>-36.612037070950755</c:v>
                </c:pt>
                <c:pt idx="462">
                  <c:v>-36.663979351484841</c:v>
                </c:pt>
                <c:pt idx="463">
                  <c:v>-36.83772720842137</c:v>
                </c:pt>
                <c:pt idx="464">
                  <c:v>-36.94479306259236</c:v>
                </c:pt>
                <c:pt idx="465">
                  <c:v>-37.008972017485135</c:v>
                </c:pt>
                <c:pt idx="466">
                  <c:v>-36.847715176868547</c:v>
                </c:pt>
                <c:pt idx="467">
                  <c:v>-36.910614347607009</c:v>
                </c:pt>
                <c:pt idx="468">
                  <c:v>-37.083340799524493</c:v>
                </c:pt>
                <c:pt idx="469">
                  <c:v>-37.12056354369706</c:v>
                </c:pt>
                <c:pt idx="470">
                  <c:v>-37.093841489068183</c:v>
                </c:pt>
                <c:pt idx="471">
                  <c:v>-37.227871628307348</c:v>
                </c:pt>
                <c:pt idx="472">
                  <c:v>-37.367016866989751</c:v>
                </c:pt>
                <c:pt idx="473">
                  <c:v>-37.2461842495185</c:v>
                </c:pt>
                <c:pt idx="474">
                  <c:v>-37.413900568516439</c:v>
                </c:pt>
                <c:pt idx="475">
                  <c:v>-37.570437952740647</c:v>
                </c:pt>
                <c:pt idx="476">
                  <c:v>-37.439637552692155</c:v>
                </c:pt>
                <c:pt idx="477">
                  <c:v>-37.561180712785365</c:v>
                </c:pt>
                <c:pt idx="478">
                  <c:v>-37.682901508534059</c:v>
                </c:pt>
                <c:pt idx="479">
                  <c:v>-37.704637653287321</c:v>
                </c:pt>
                <c:pt idx="480">
                  <c:v>-37.685287478361168</c:v>
                </c:pt>
                <c:pt idx="481">
                  <c:v>-37.662566263154744</c:v>
                </c:pt>
                <c:pt idx="482">
                  <c:v>-37.657346197187813</c:v>
                </c:pt>
                <c:pt idx="483">
                  <c:v>-37.561895292581298</c:v>
                </c:pt>
                <c:pt idx="484">
                  <c:v>-37.501753511676881</c:v>
                </c:pt>
                <c:pt idx="485">
                  <c:v>-37.547983191017451</c:v>
                </c:pt>
                <c:pt idx="486">
                  <c:v>-37.671714499412346</c:v>
                </c:pt>
                <c:pt idx="487">
                  <c:v>-37.719623643132067</c:v>
                </c:pt>
                <c:pt idx="488">
                  <c:v>-37.780112620999489</c:v>
                </c:pt>
                <c:pt idx="489">
                  <c:v>-37.770798860608366</c:v>
                </c:pt>
                <c:pt idx="490">
                  <c:v>-37.782393624302905</c:v>
                </c:pt>
                <c:pt idx="491">
                  <c:v>-37.814396302508541</c:v>
                </c:pt>
                <c:pt idx="492">
                  <c:v>-37.835211971592464</c:v>
                </c:pt>
                <c:pt idx="493">
                  <c:v>-37.899709863230314</c:v>
                </c:pt>
                <c:pt idx="494">
                  <c:v>-37.963642550509789</c:v>
                </c:pt>
                <c:pt idx="495">
                  <c:v>-38.009525032887368</c:v>
                </c:pt>
                <c:pt idx="496">
                  <c:v>-38.082662476860278</c:v>
                </c:pt>
                <c:pt idx="497">
                  <c:v>-38.152525772728637</c:v>
                </c:pt>
                <c:pt idx="498">
                  <c:v>-38.182130369585195</c:v>
                </c:pt>
                <c:pt idx="499">
                  <c:v>-38.240160708493711</c:v>
                </c:pt>
                <c:pt idx="500">
                  <c:v>-38.061620726033006</c:v>
                </c:pt>
                <c:pt idx="501">
                  <c:v>-37.978790027314069</c:v>
                </c:pt>
                <c:pt idx="502">
                  <c:v>-38.210107985324449</c:v>
                </c:pt>
                <c:pt idx="503">
                  <c:v>-38.181008035216436</c:v>
                </c:pt>
                <c:pt idx="504">
                  <c:v>-38.047119197066863</c:v>
                </c:pt>
                <c:pt idx="505">
                  <c:v>-37.9022775058869</c:v>
                </c:pt>
                <c:pt idx="506">
                  <c:v>-37.866940121966891</c:v>
                </c:pt>
                <c:pt idx="507">
                  <c:v>-37.893262496370916</c:v>
                </c:pt>
                <c:pt idx="508">
                  <c:v>-37.833003637420838</c:v>
                </c:pt>
                <c:pt idx="509">
                  <c:v>-37.684722274002802</c:v>
                </c:pt>
                <c:pt idx="510">
                  <c:v>-37.586033555857632</c:v>
                </c:pt>
                <c:pt idx="511">
                  <c:v>-37.477268051437548</c:v>
                </c:pt>
                <c:pt idx="512">
                  <c:v>-37.807605775860139</c:v>
                </c:pt>
                <c:pt idx="513">
                  <c:v>-37.993796203028765</c:v>
                </c:pt>
                <c:pt idx="514">
                  <c:v>-37.912729749342731</c:v>
                </c:pt>
                <c:pt idx="515">
                  <c:v>-37.838058179254247</c:v>
                </c:pt>
                <c:pt idx="516">
                  <c:v>-37.753015109189697</c:v>
                </c:pt>
                <c:pt idx="517">
                  <c:v>-37.754658239002957</c:v>
                </c:pt>
                <c:pt idx="518">
                  <c:v>-37.684237813124199</c:v>
                </c:pt>
                <c:pt idx="519">
                  <c:v>-37.74675345233377</c:v>
                </c:pt>
                <c:pt idx="520">
                  <c:v>-37.734948755591837</c:v>
                </c:pt>
                <c:pt idx="521">
                  <c:v>-37.808481842615613</c:v>
                </c:pt>
                <c:pt idx="522">
                  <c:v>-37.916932447464603</c:v>
                </c:pt>
                <c:pt idx="523">
                  <c:v>-37.998967822907836</c:v>
                </c:pt>
                <c:pt idx="524">
                  <c:v>-37.976165864221649</c:v>
                </c:pt>
                <c:pt idx="525">
                  <c:v>-38.554753454361745</c:v>
                </c:pt>
                <c:pt idx="526">
                  <c:v>-39.863750599647751</c:v>
                </c:pt>
                <c:pt idx="527">
                  <c:v>-40.200398427014129</c:v>
                </c:pt>
                <c:pt idx="528">
                  <c:v>-41.698811701485454</c:v>
                </c:pt>
                <c:pt idx="529">
                  <c:v>-41.901110452867584</c:v>
                </c:pt>
                <c:pt idx="530">
                  <c:v>-42.597938794778422</c:v>
                </c:pt>
                <c:pt idx="531">
                  <c:v>-43.028144092150775</c:v>
                </c:pt>
                <c:pt idx="532">
                  <c:v>-43.154919429732885</c:v>
                </c:pt>
                <c:pt idx="533">
                  <c:v>-43.325732261179887</c:v>
                </c:pt>
                <c:pt idx="534">
                  <c:v>-43.325142833777591</c:v>
                </c:pt>
                <c:pt idx="535">
                  <c:v>-43.385845781866387</c:v>
                </c:pt>
                <c:pt idx="536">
                  <c:v>-43.515653037113744</c:v>
                </c:pt>
                <c:pt idx="537">
                  <c:v>-43.534530862683255</c:v>
                </c:pt>
                <c:pt idx="538">
                  <c:v>-43.464025656150746</c:v>
                </c:pt>
                <c:pt idx="539">
                  <c:v>-43.333281776538101</c:v>
                </c:pt>
                <c:pt idx="540">
                  <c:v>-43.347096985926228</c:v>
                </c:pt>
                <c:pt idx="541">
                  <c:v>-43.451906059837725</c:v>
                </c:pt>
                <c:pt idx="542">
                  <c:v>-43.411550468650198</c:v>
                </c:pt>
                <c:pt idx="543">
                  <c:v>-43.397129683163818</c:v>
                </c:pt>
                <c:pt idx="544">
                  <c:v>-43.338534139896936</c:v>
                </c:pt>
                <c:pt idx="545">
                  <c:v>-43.220111715296724</c:v>
                </c:pt>
                <c:pt idx="546">
                  <c:v>-43.247265747542357</c:v>
                </c:pt>
                <c:pt idx="547">
                  <c:v>-43.221108897271847</c:v>
                </c:pt>
                <c:pt idx="548">
                  <c:v>-43.161277978764531</c:v>
                </c:pt>
                <c:pt idx="549">
                  <c:v>-43.265659112233266</c:v>
                </c:pt>
                <c:pt idx="550">
                  <c:v>-43.358158842654298</c:v>
                </c:pt>
                <c:pt idx="551">
                  <c:v>-43.228509037192488</c:v>
                </c:pt>
                <c:pt idx="552">
                  <c:v>-43.118560640793817</c:v>
                </c:pt>
                <c:pt idx="553">
                  <c:v>-43.346842643964962</c:v>
                </c:pt>
                <c:pt idx="554">
                  <c:v>-43.35309218929892</c:v>
                </c:pt>
                <c:pt idx="555">
                  <c:v>-43.283632610829393</c:v>
                </c:pt>
                <c:pt idx="556">
                  <c:v>-43.162154045519998</c:v>
                </c:pt>
                <c:pt idx="557">
                  <c:v>-43.309147550435753</c:v>
                </c:pt>
                <c:pt idx="558">
                  <c:v>-43.314097125745469</c:v>
                </c:pt>
                <c:pt idx="559">
                  <c:v>-43.159747889822945</c:v>
                </c:pt>
                <c:pt idx="560">
                  <c:v>-43.182840525036298</c:v>
                </c:pt>
                <c:pt idx="561">
                  <c:v>-43.346669045483459</c:v>
                </c:pt>
                <c:pt idx="562">
                  <c:v>-43.406063949200039</c:v>
                </c:pt>
                <c:pt idx="563">
                  <c:v>-43.386790480579663</c:v>
                </c:pt>
                <c:pt idx="564">
                  <c:v>-43.399769994952202</c:v>
                </c:pt>
                <c:pt idx="565">
                  <c:v>-43.396863229680591</c:v>
                </c:pt>
                <c:pt idx="566">
                  <c:v>-43.424695507156265</c:v>
                </c:pt>
                <c:pt idx="567">
                  <c:v>-43.404457153952677</c:v>
                </c:pt>
                <c:pt idx="568">
                  <c:v>-43.465741455095795</c:v>
                </c:pt>
                <c:pt idx="569">
                  <c:v>-43.544732801351813</c:v>
                </c:pt>
                <c:pt idx="570">
                  <c:v>-43.550287952759781</c:v>
                </c:pt>
                <c:pt idx="571">
                  <c:v>-43.746022259236859</c:v>
                </c:pt>
                <c:pt idx="572">
                  <c:v>-43.76946209141321</c:v>
                </c:pt>
                <c:pt idx="573">
                  <c:v>-43.898675882084277</c:v>
                </c:pt>
                <c:pt idx="574">
                  <c:v>-43.975143994597573</c:v>
                </c:pt>
                <c:pt idx="575">
                  <c:v>-44.053222939532226</c:v>
                </c:pt>
                <c:pt idx="576">
                  <c:v>-43.873568697050736</c:v>
                </c:pt>
                <c:pt idx="577">
                  <c:v>-43.740576111526579</c:v>
                </c:pt>
                <c:pt idx="578">
                  <c:v>-43.860100684625607</c:v>
                </c:pt>
                <c:pt idx="579">
                  <c:v>-43.831283336696778</c:v>
                </c:pt>
                <c:pt idx="580">
                  <c:v>-43.880217922609546</c:v>
                </c:pt>
                <c:pt idx="581">
                  <c:v>-43.772316373422967</c:v>
                </c:pt>
                <c:pt idx="582">
                  <c:v>-43.637535319821971</c:v>
                </c:pt>
                <c:pt idx="583">
                  <c:v>-43.675089112261581</c:v>
                </c:pt>
                <c:pt idx="584">
                  <c:v>-43.50610108345731</c:v>
                </c:pt>
                <c:pt idx="585">
                  <c:v>-43.487594677894727</c:v>
                </c:pt>
                <c:pt idx="586">
                  <c:v>-43.457792259512736</c:v>
                </c:pt>
                <c:pt idx="587">
                  <c:v>-43.526282916225064</c:v>
                </c:pt>
                <c:pt idx="588">
                  <c:v>-43.376810586480467</c:v>
                </c:pt>
                <c:pt idx="589">
                  <c:v>-43.54498714331308</c:v>
                </c:pt>
                <c:pt idx="590">
                  <c:v>-43.372862230319861</c:v>
                </c:pt>
                <c:pt idx="591">
                  <c:v>-43.045972252483324</c:v>
                </c:pt>
                <c:pt idx="592">
                  <c:v>-42.845453894830051</c:v>
                </c:pt>
                <c:pt idx="593">
                  <c:v>-42.640381604917927</c:v>
                </c:pt>
                <c:pt idx="594">
                  <c:v>-42.411962337831184</c:v>
                </c:pt>
                <c:pt idx="595">
                  <c:v>-42.258323644530613</c:v>
                </c:pt>
                <c:pt idx="596">
                  <c:v>-42.409657111483838</c:v>
                </c:pt>
                <c:pt idx="597">
                  <c:v>-42.289074798799859</c:v>
                </c:pt>
                <c:pt idx="598">
                  <c:v>-41.786083291591574</c:v>
                </c:pt>
                <c:pt idx="599">
                  <c:v>-41.060667720669251</c:v>
                </c:pt>
                <c:pt idx="600">
                  <c:v>-40.428708690403191</c:v>
                </c:pt>
                <c:pt idx="601">
                  <c:v>-39.46654112528217</c:v>
                </c:pt>
                <c:pt idx="602">
                  <c:v>-39.090680226966967</c:v>
                </c:pt>
                <c:pt idx="603">
                  <c:v>-37.949560887638434</c:v>
                </c:pt>
                <c:pt idx="604">
                  <c:v>-37.258049503870254</c:v>
                </c:pt>
                <c:pt idx="605">
                  <c:v>-37.127309661431589</c:v>
                </c:pt>
                <c:pt idx="606">
                  <c:v>-37.046957787541501</c:v>
                </c:pt>
                <c:pt idx="607">
                  <c:v>-36.610151710698197</c:v>
                </c:pt>
                <c:pt idx="608">
                  <c:v>-36.338159224755209</c:v>
                </c:pt>
                <c:pt idx="609">
                  <c:v>-36.535572995611439</c:v>
                </c:pt>
                <c:pt idx="610">
                  <c:v>-36.534454698416667</c:v>
                </c:pt>
                <c:pt idx="611">
                  <c:v>-36.594221022140175</c:v>
                </c:pt>
                <c:pt idx="612">
                  <c:v>-36.723434812811242</c:v>
                </c:pt>
                <c:pt idx="613">
                  <c:v>-36.811239309883824</c:v>
                </c:pt>
                <c:pt idx="614">
                  <c:v>-36.948357887224077</c:v>
                </c:pt>
                <c:pt idx="615">
                  <c:v>-36.972274105931049</c:v>
                </c:pt>
                <c:pt idx="616">
                  <c:v>-36.864005173911529</c:v>
                </c:pt>
                <c:pt idx="617">
                  <c:v>-37.046582330360579</c:v>
                </c:pt>
                <c:pt idx="618">
                  <c:v>-37.062210230869475</c:v>
                </c:pt>
                <c:pt idx="619">
                  <c:v>-37.191872147853253</c:v>
                </c:pt>
                <c:pt idx="620">
                  <c:v>-37.070861894726505</c:v>
                </c:pt>
                <c:pt idx="621">
                  <c:v>-37.16037815357015</c:v>
                </c:pt>
                <c:pt idx="622">
                  <c:v>-37.400989686101703</c:v>
                </c:pt>
                <c:pt idx="623">
                  <c:v>-37.240298049843489</c:v>
                </c:pt>
                <c:pt idx="624">
                  <c:v>-37.315050363411736</c:v>
                </c:pt>
                <c:pt idx="625">
                  <c:v>-37.471095212409367</c:v>
                </c:pt>
                <c:pt idx="626">
                  <c:v>-37.379842968750737</c:v>
                </c:pt>
                <c:pt idx="627">
                  <c:v>-37.490974257127988</c:v>
                </c:pt>
                <c:pt idx="628">
                  <c:v>-37.586150633903294</c:v>
                </c:pt>
                <c:pt idx="629">
                  <c:v>-37.591911681184669</c:v>
                </c:pt>
                <c:pt idx="630">
                  <c:v>-37.536069490577837</c:v>
                </c:pt>
                <c:pt idx="631">
                  <c:v>-37.683087218537523</c:v>
                </c:pt>
                <c:pt idx="632">
                  <c:v>-37.658012330895893</c:v>
                </c:pt>
                <c:pt idx="633">
                  <c:v>-37.55012693040527</c:v>
                </c:pt>
                <c:pt idx="634">
                  <c:v>-37.496961386152712</c:v>
                </c:pt>
                <c:pt idx="635">
                  <c:v>-37.63452808980567</c:v>
                </c:pt>
                <c:pt idx="636">
                  <c:v>-37.763701508736851</c:v>
                </c:pt>
                <c:pt idx="637">
                  <c:v>-37.773552213268424</c:v>
                </c:pt>
                <c:pt idx="638">
                  <c:v>-37.816988168209058</c:v>
                </c:pt>
                <c:pt idx="639">
                  <c:v>-37.791271369903285</c:v>
                </c:pt>
                <c:pt idx="640">
                  <c:v>-37.822288977655759</c:v>
                </c:pt>
                <c:pt idx="641">
                  <c:v>-37.799297271792121</c:v>
                </c:pt>
                <c:pt idx="642">
                  <c:v>-37.816071729713705</c:v>
                </c:pt>
                <c:pt idx="643">
                  <c:v>-37.900408294330298</c:v>
                </c:pt>
                <c:pt idx="644">
                  <c:v>-37.903678405260855</c:v>
                </c:pt>
                <c:pt idx="645">
                  <c:v>-37.897929469501449</c:v>
                </c:pt>
                <c:pt idx="646">
                  <c:v>-38.032876047235973</c:v>
                </c:pt>
                <c:pt idx="647">
                  <c:v>-38.138835715734153</c:v>
                </c:pt>
                <c:pt idx="648">
                  <c:v>-38.20188426191018</c:v>
                </c:pt>
                <c:pt idx="649">
                  <c:v>-38.234080724467262</c:v>
                </c:pt>
                <c:pt idx="650">
                  <c:v>-38.114576337238169</c:v>
                </c:pt>
                <c:pt idx="651">
                  <c:v>-38.039767503234081</c:v>
                </c:pt>
                <c:pt idx="652">
                  <c:v>-38.058629180107644</c:v>
                </c:pt>
                <c:pt idx="653">
                  <c:v>-38.335583352882303</c:v>
                </c:pt>
                <c:pt idx="654">
                  <c:v>-38.187031498807052</c:v>
                </c:pt>
                <c:pt idx="655">
                  <c:v>-38.086364565407592</c:v>
                </c:pt>
                <c:pt idx="656">
                  <c:v>-37.953501169451059</c:v>
                </c:pt>
                <c:pt idx="657">
                  <c:v>-37.808711961532943</c:v>
                </c:pt>
                <c:pt idx="658">
                  <c:v>-37.702231497590269</c:v>
                </c:pt>
                <c:pt idx="659">
                  <c:v>-37.987264055515617</c:v>
                </c:pt>
                <c:pt idx="660">
                  <c:v>-38.048750215358154</c:v>
                </c:pt>
                <c:pt idx="661">
                  <c:v>-37.991361787113789</c:v>
                </c:pt>
                <c:pt idx="662">
                  <c:v>-37.813496012709138</c:v>
                </c:pt>
                <c:pt idx="663">
                  <c:v>-37.689381172785353</c:v>
                </c:pt>
                <c:pt idx="664">
                  <c:v>-37.638928609452968</c:v>
                </c:pt>
                <c:pt idx="665">
                  <c:v>-37.592751413374245</c:v>
                </c:pt>
                <c:pt idx="666">
                  <c:v>-37.550910142159005</c:v>
                </c:pt>
                <c:pt idx="667">
                  <c:v>-37.41282668023554</c:v>
                </c:pt>
                <c:pt idx="668">
                  <c:v>-37.372039111431256</c:v>
                </c:pt>
                <c:pt idx="669">
                  <c:v>-37.337206374259793</c:v>
                </c:pt>
                <c:pt idx="670">
                  <c:v>-37.391284319833716</c:v>
                </c:pt>
                <c:pt idx="671">
                  <c:v>-37.387053361493926</c:v>
                </c:pt>
                <c:pt idx="672">
                  <c:v>-37.380210351583678</c:v>
                </c:pt>
                <c:pt idx="673">
                  <c:v>-37.512032156651216</c:v>
                </c:pt>
                <c:pt idx="674">
                  <c:v>-37.627826380985013</c:v>
                </c:pt>
                <c:pt idx="675">
                  <c:v>-39.332995446921608</c:v>
                </c:pt>
                <c:pt idx="676">
                  <c:v>-39.413928673866018</c:v>
                </c:pt>
                <c:pt idx="677">
                  <c:v>-40.538479451146372</c:v>
                </c:pt>
                <c:pt idx="678">
                  <c:v>-41.108528418301113</c:v>
                </c:pt>
                <c:pt idx="679">
                  <c:v>-42.030025492663519</c:v>
                </c:pt>
                <c:pt idx="680">
                  <c:v>-42.699195155580178</c:v>
                </c:pt>
                <c:pt idx="681">
                  <c:v>-42.860980865989241</c:v>
                </c:pt>
                <c:pt idx="682">
                  <c:v>-42.958095086278952</c:v>
                </c:pt>
                <c:pt idx="683">
                  <c:v>-43.031632210476708</c:v>
                </c:pt>
                <c:pt idx="684">
                  <c:v>-43.129783984481428</c:v>
                </c:pt>
                <c:pt idx="685">
                  <c:v>-43.169994237405376</c:v>
                </c:pt>
                <c:pt idx="686">
                  <c:v>-43.267217461392768</c:v>
                </c:pt>
                <c:pt idx="687">
                  <c:v>-43.429305959850957</c:v>
                </c:pt>
                <c:pt idx="688">
                  <c:v>-43.518963519784187</c:v>
                </c:pt>
                <c:pt idx="689">
                  <c:v>-43.658141055858501</c:v>
                </c:pt>
                <c:pt idx="690">
                  <c:v>-43.730810187648764</c:v>
                </c:pt>
                <c:pt idx="691">
                  <c:v>-43.562124946893618</c:v>
                </c:pt>
                <c:pt idx="692">
                  <c:v>-43.42668179675853</c:v>
                </c:pt>
                <c:pt idx="693">
                  <c:v>-43.393843423537305</c:v>
                </c:pt>
                <c:pt idx="694">
                  <c:v>-43.325631331830181</c:v>
                </c:pt>
                <c:pt idx="695">
                  <c:v>-43.141075960126834</c:v>
                </c:pt>
                <c:pt idx="696">
                  <c:v>-43.141814762966703</c:v>
                </c:pt>
                <c:pt idx="697">
                  <c:v>-43.161964298342546</c:v>
                </c:pt>
                <c:pt idx="698">
                  <c:v>-43.170632110895532</c:v>
                </c:pt>
                <c:pt idx="699">
                  <c:v>-43.217677299381755</c:v>
                </c:pt>
                <c:pt idx="700">
                  <c:v>-43.245852736646434</c:v>
                </c:pt>
                <c:pt idx="701">
                  <c:v>-43.244229792703116</c:v>
                </c:pt>
                <c:pt idx="702">
                  <c:v>-43.192493408042438</c:v>
                </c:pt>
                <c:pt idx="703">
                  <c:v>-43.215267106510709</c:v>
                </c:pt>
                <c:pt idx="704">
                  <c:v>-43.435955185409767</c:v>
                </c:pt>
                <c:pt idx="705">
                  <c:v>-43.384711335975666</c:v>
                </c:pt>
                <c:pt idx="706">
                  <c:v>-43.343843023691619</c:v>
                </c:pt>
                <c:pt idx="707">
                  <c:v>-43.325312395085099</c:v>
                </c:pt>
                <c:pt idx="708">
                  <c:v>-43.280475540770503</c:v>
                </c:pt>
                <c:pt idx="709">
                  <c:v>-43.21858970070312</c:v>
                </c:pt>
                <c:pt idx="710">
                  <c:v>-43.232215162913796</c:v>
                </c:pt>
                <c:pt idx="711">
                  <c:v>-43.397323467515264</c:v>
                </c:pt>
                <c:pt idx="712">
                  <c:v>-43.451841465053917</c:v>
                </c:pt>
                <c:pt idx="713">
                  <c:v>-43.462374451989511</c:v>
                </c:pt>
                <c:pt idx="714">
                  <c:v>-43.368126625231533</c:v>
                </c:pt>
                <c:pt idx="715">
                  <c:v>-43.422135938847646</c:v>
                </c:pt>
                <c:pt idx="716">
                  <c:v>-43.440727125063994</c:v>
                </c:pt>
                <c:pt idx="717">
                  <c:v>-43.42362969322334</c:v>
                </c:pt>
                <c:pt idx="718">
                  <c:v>-43.486609607441565</c:v>
                </c:pt>
                <c:pt idx="719">
                  <c:v>-43.528616402790327</c:v>
                </c:pt>
                <c:pt idx="720">
                  <c:v>-43.561369995357794</c:v>
                </c:pt>
                <c:pt idx="721">
                  <c:v>-43.678589342109483</c:v>
                </c:pt>
                <c:pt idx="722">
                  <c:v>-43.777144833513034</c:v>
                </c:pt>
                <c:pt idx="723">
                  <c:v>-43.905526966342499</c:v>
                </c:pt>
                <c:pt idx="724">
                  <c:v>-43.979823079250068</c:v>
                </c:pt>
                <c:pt idx="725">
                  <c:v>-43.977384626161104</c:v>
                </c:pt>
                <c:pt idx="726">
                  <c:v>-43.829143634482953</c:v>
                </c:pt>
                <c:pt idx="727">
                  <c:v>-43.832421819761493</c:v>
                </c:pt>
                <c:pt idx="728">
                  <c:v>-43.938785205658512</c:v>
                </c:pt>
                <c:pt idx="729">
                  <c:v>-43.92175640577566</c:v>
                </c:pt>
                <c:pt idx="730">
                  <c:v>-43.863835070564832</c:v>
                </c:pt>
                <c:pt idx="731">
                  <c:v>-43.915066808476965</c:v>
                </c:pt>
                <c:pt idx="732">
                  <c:v>-43.779615583993902</c:v>
                </c:pt>
                <c:pt idx="733">
                  <c:v>-43.733668506832515</c:v>
                </c:pt>
                <c:pt idx="734">
                  <c:v>-43.577873962622164</c:v>
                </c:pt>
                <c:pt idx="735">
                  <c:v>-43.496214044359846</c:v>
                </c:pt>
                <c:pt idx="736">
                  <c:v>-43.350645661861982</c:v>
                </c:pt>
                <c:pt idx="737">
                  <c:v>-43.547566897491635</c:v>
                </c:pt>
                <c:pt idx="738">
                  <c:v>-43.525544113385195</c:v>
                </c:pt>
                <c:pt idx="739">
                  <c:v>-43.440416262666886</c:v>
                </c:pt>
                <c:pt idx="740">
                  <c:v>-43.208000193331685</c:v>
                </c:pt>
                <c:pt idx="741">
                  <c:v>-42.832518789371385</c:v>
                </c:pt>
                <c:pt idx="742">
                  <c:v>-42.735037186248732</c:v>
                </c:pt>
                <c:pt idx="743">
                  <c:v>-42.635125204385098</c:v>
                </c:pt>
                <c:pt idx="744">
                  <c:v>-42.33351601006359</c:v>
                </c:pt>
                <c:pt idx="745">
                  <c:v>-42.125133237481023</c:v>
                </c:pt>
                <c:pt idx="746">
                  <c:v>-42.18720478755187</c:v>
                </c:pt>
                <c:pt idx="747">
                  <c:v>-42.05039303543473</c:v>
                </c:pt>
                <c:pt idx="748">
                  <c:v>-41.682699340097962</c:v>
                </c:pt>
                <c:pt idx="749">
                  <c:v>-41.259764993078619</c:v>
                </c:pt>
                <c:pt idx="750">
                  <c:v>-40.080155236945174</c:v>
                </c:pt>
                <c:pt idx="751">
                  <c:v>-39.761061042080136</c:v>
                </c:pt>
                <c:pt idx="752">
                  <c:v>-38.6725380054718</c:v>
                </c:pt>
                <c:pt idx="753">
                  <c:v>-38.087503048472307</c:v>
                </c:pt>
                <c:pt idx="754">
                  <c:v>-37.45820855303856</c:v>
                </c:pt>
                <c:pt idx="755">
                  <c:v>-37.256232775575498</c:v>
                </c:pt>
                <c:pt idx="756">
                  <c:v>-36.702267909590333</c:v>
                </c:pt>
                <c:pt idx="757">
                  <c:v>-36.471862352901319</c:v>
                </c:pt>
                <c:pt idx="758">
                  <c:v>-36.190604552655081</c:v>
                </c:pt>
                <c:pt idx="759">
                  <c:v>-36.352301445236392</c:v>
                </c:pt>
                <c:pt idx="760">
                  <c:v>-36.504837990038148</c:v>
                </c:pt>
                <c:pt idx="761">
                  <c:v>-36.656332943950908</c:v>
                </c:pt>
                <c:pt idx="762">
                  <c:v>-36.803358746258567</c:v>
                </c:pt>
                <c:pt idx="763">
                  <c:v>-36.891219763766983</c:v>
                </c:pt>
                <c:pt idx="764">
                  <c:v>-36.919439609945535</c:v>
                </c:pt>
                <c:pt idx="765">
                  <c:v>-36.932318194968367</c:v>
                </c:pt>
                <c:pt idx="766">
                  <c:v>-37.015919993919077</c:v>
                </c:pt>
                <c:pt idx="767">
                  <c:v>-37.076227298957022</c:v>
                </c:pt>
                <c:pt idx="768">
                  <c:v>-37.069739560357746</c:v>
                </c:pt>
                <c:pt idx="769">
                  <c:v>-37.052839950042518</c:v>
                </c:pt>
                <c:pt idx="770">
                  <c:v>-37.096703845425921</c:v>
                </c:pt>
                <c:pt idx="771">
                  <c:v>-37.313568720558017</c:v>
                </c:pt>
                <c:pt idx="772">
                  <c:v>-37.428555510094142</c:v>
                </c:pt>
                <c:pt idx="773">
                  <c:v>-37.314771798406539</c:v>
                </c:pt>
                <c:pt idx="774">
                  <c:v>-37.434627419772617</c:v>
                </c:pt>
                <c:pt idx="775">
                  <c:v>-37.551394603037608</c:v>
                </c:pt>
                <c:pt idx="776">
                  <c:v>-37.376043988027696</c:v>
                </c:pt>
                <c:pt idx="777">
                  <c:v>-37.580276545750252</c:v>
                </c:pt>
                <c:pt idx="778">
                  <c:v>-37.715961926324638</c:v>
                </c:pt>
                <c:pt idx="779">
                  <c:v>-37.622247006533115</c:v>
                </c:pt>
                <c:pt idx="780">
                  <c:v>-37.748150314533738</c:v>
                </c:pt>
                <c:pt idx="781">
                  <c:v>-37.728537723298345</c:v>
                </c:pt>
                <c:pt idx="782">
                  <c:v>-37.663264694254728</c:v>
                </c:pt>
                <c:pt idx="783">
                  <c:v>-37.636607234409666</c:v>
                </c:pt>
                <c:pt idx="784">
                  <c:v>-37.530235774164673</c:v>
                </c:pt>
                <c:pt idx="785">
                  <c:v>-37.632961666298193</c:v>
                </c:pt>
                <c:pt idx="786">
                  <c:v>-37.834840551585536</c:v>
                </c:pt>
                <c:pt idx="787">
                  <c:v>-37.83269277502373</c:v>
                </c:pt>
                <c:pt idx="788">
                  <c:v>-37.831174797604113</c:v>
                </c:pt>
                <c:pt idx="789">
                  <c:v>-37.827286999053335</c:v>
                </c:pt>
                <c:pt idx="790">
                  <c:v>-37.835970960302269</c:v>
                </c:pt>
                <c:pt idx="791">
                  <c:v>-37.885345598179768</c:v>
                </c:pt>
                <c:pt idx="792">
                  <c:v>-37.919047926634498</c:v>
                </c:pt>
                <c:pt idx="793">
                  <c:v>-37.957263815608201</c:v>
                </c:pt>
                <c:pt idx="794">
                  <c:v>-37.991971400386028</c:v>
                </c:pt>
                <c:pt idx="795">
                  <c:v>-38.000078045754634</c:v>
                </c:pt>
                <c:pt idx="796">
                  <c:v>-38.124257480462227</c:v>
                </c:pt>
                <c:pt idx="797">
                  <c:v>-38.202768403013636</c:v>
                </c:pt>
                <c:pt idx="798">
                  <c:v>-38.215998222173447</c:v>
                </c:pt>
                <c:pt idx="799">
                  <c:v>-38.262869812178167</c:v>
                </c:pt>
                <c:pt idx="800">
                  <c:v>-38.100841871329806</c:v>
                </c:pt>
                <c:pt idx="801">
                  <c:v>-38.029113401078831</c:v>
                </c:pt>
                <c:pt idx="802">
                  <c:v>-38.175307545544889</c:v>
                </c:pt>
                <c:pt idx="803">
                  <c:v>-38.211129390343501</c:v>
                </c:pt>
                <c:pt idx="804">
                  <c:v>-38.093922155113781</c:v>
                </c:pt>
                <c:pt idx="805">
                  <c:v>-37.946924613024038</c:v>
                </c:pt>
                <c:pt idx="806">
                  <c:v>-37.850420006006573</c:v>
                </c:pt>
                <c:pt idx="807">
                  <c:v>-37.873278485128594</c:v>
                </c:pt>
                <c:pt idx="808">
                  <c:v>-37.928301129415793</c:v>
                </c:pt>
                <c:pt idx="809">
                  <c:v>-37.786305645897613</c:v>
                </c:pt>
                <c:pt idx="810">
                  <c:v>-37.702768441730719</c:v>
                </c:pt>
                <c:pt idx="811">
                  <c:v>-37.596982371714034</c:v>
                </c:pt>
                <c:pt idx="812">
                  <c:v>-37.856964265041682</c:v>
                </c:pt>
                <c:pt idx="813">
                  <c:v>-37.98223373672613</c:v>
                </c:pt>
                <c:pt idx="814">
                  <c:v>-37.899176956263851</c:v>
                </c:pt>
                <c:pt idx="815">
                  <c:v>-37.838461896653079</c:v>
                </c:pt>
                <c:pt idx="816">
                  <c:v>-37.820020085874312</c:v>
                </c:pt>
                <c:pt idx="817">
                  <c:v>-37.73463385602075</c:v>
                </c:pt>
                <c:pt idx="818">
                  <c:v>-37.703955370883293</c:v>
                </c:pt>
                <c:pt idx="819">
                  <c:v>-37.72945012461971</c:v>
                </c:pt>
                <c:pt idx="820">
                  <c:v>-37.74980555586896</c:v>
                </c:pt>
                <c:pt idx="821">
                  <c:v>-37.777827580522086</c:v>
                </c:pt>
                <c:pt idx="822">
                  <c:v>-37.869011192222914</c:v>
                </c:pt>
                <c:pt idx="823">
                  <c:v>-37.967558609278484</c:v>
                </c:pt>
                <c:pt idx="824">
                  <c:v>-37.960889197849738</c:v>
                </c:pt>
                <c:pt idx="825">
                  <c:v>-38.769539184889837</c:v>
                </c:pt>
                <c:pt idx="826">
                  <c:v>-39.808986334495813</c:v>
                </c:pt>
                <c:pt idx="827">
                  <c:v>-40.263919322546798</c:v>
                </c:pt>
                <c:pt idx="828">
                  <c:v>-41.836572189489857</c:v>
                </c:pt>
                <c:pt idx="829">
                  <c:v>-41.973476796608729</c:v>
                </c:pt>
                <c:pt idx="830">
                  <c:v>-42.83389546570141</c:v>
                </c:pt>
                <c:pt idx="831">
                  <c:v>-43.34534485241528</c:v>
                </c:pt>
                <c:pt idx="832">
                  <c:v>-43.409984045142721</c:v>
                </c:pt>
                <c:pt idx="833">
                  <c:v>-43.452443003978175</c:v>
                </c:pt>
                <c:pt idx="834">
                  <c:v>-43.504094607985103</c:v>
                </c:pt>
                <c:pt idx="835">
                  <c:v>-43.628201373560913</c:v>
                </c:pt>
                <c:pt idx="836">
                  <c:v>-43.751423998033268</c:v>
                </c:pt>
                <c:pt idx="837">
                  <c:v>-43.607385704476989</c:v>
                </c:pt>
                <c:pt idx="838">
                  <c:v>-43.369810126784671</c:v>
                </c:pt>
                <c:pt idx="839">
                  <c:v>-43.382801752679171</c:v>
                </c:pt>
                <c:pt idx="840">
                  <c:v>-43.470937298018804</c:v>
                </c:pt>
                <c:pt idx="841">
                  <c:v>-43.47457882895629</c:v>
                </c:pt>
                <c:pt idx="842">
                  <c:v>-43.456298505137049</c:v>
                </c:pt>
                <c:pt idx="843">
                  <c:v>-43.592516792677898</c:v>
                </c:pt>
                <c:pt idx="844">
                  <c:v>-43.379168296089659</c:v>
                </c:pt>
                <c:pt idx="845">
                  <c:v>-43.186655654455286</c:v>
                </c:pt>
                <c:pt idx="846">
                  <c:v>-43.210741434469767</c:v>
                </c:pt>
                <c:pt idx="847">
                  <c:v>-43.202582305839321</c:v>
                </c:pt>
                <c:pt idx="848">
                  <c:v>-43.208351427468671</c:v>
                </c:pt>
                <c:pt idx="849">
                  <c:v>-43.256482615757754</c:v>
                </c:pt>
                <c:pt idx="850">
                  <c:v>-43.288182505914264</c:v>
                </c:pt>
                <c:pt idx="851">
                  <c:v>-43.344073142608949</c:v>
                </c:pt>
                <c:pt idx="852">
                  <c:v>-43.169029352822157</c:v>
                </c:pt>
                <c:pt idx="853">
                  <c:v>-43.342559202363319</c:v>
                </c:pt>
                <c:pt idx="854">
                  <c:v>-43.352777289727833</c:v>
                </c:pt>
                <c:pt idx="855">
                  <c:v>-43.337149389218936</c:v>
                </c:pt>
                <c:pt idx="856">
                  <c:v>-43.12595674354047</c:v>
                </c:pt>
                <c:pt idx="857">
                  <c:v>-43.276490850044006</c:v>
                </c:pt>
                <c:pt idx="858">
                  <c:v>-43.362220239686579</c:v>
                </c:pt>
                <c:pt idx="859">
                  <c:v>-43.249441784322073</c:v>
                </c:pt>
                <c:pt idx="860">
                  <c:v>-43.258715172973311</c:v>
                </c:pt>
                <c:pt idx="861">
                  <c:v>-43.401828953686262</c:v>
                </c:pt>
                <c:pt idx="862">
                  <c:v>-43.452523747457946</c:v>
                </c:pt>
                <c:pt idx="863">
                  <c:v>-43.475337817666102</c:v>
                </c:pt>
                <c:pt idx="864">
                  <c:v>-43.405179808096591</c:v>
                </c:pt>
                <c:pt idx="865">
                  <c:v>-43.430456554437633</c:v>
                </c:pt>
                <c:pt idx="866">
                  <c:v>-43.47550737897361</c:v>
                </c:pt>
                <c:pt idx="867">
                  <c:v>-43.490804231215463</c:v>
                </c:pt>
                <c:pt idx="868">
                  <c:v>-43.524244143360946</c:v>
                </c:pt>
                <c:pt idx="869">
                  <c:v>-43.577381427395586</c:v>
                </c:pt>
                <c:pt idx="870">
                  <c:v>-43.714871424742768</c:v>
                </c:pt>
                <c:pt idx="871">
                  <c:v>-43.769704321852508</c:v>
                </c:pt>
                <c:pt idx="872">
                  <c:v>-43.841267267969968</c:v>
                </c:pt>
                <c:pt idx="873">
                  <c:v>-43.992637069489085</c:v>
                </c:pt>
                <c:pt idx="874">
                  <c:v>-44.130522709887124</c:v>
                </c:pt>
                <c:pt idx="875">
                  <c:v>-44.279106861354286</c:v>
                </c:pt>
                <c:pt idx="876">
                  <c:v>-43.967921490332422</c:v>
                </c:pt>
                <c:pt idx="877">
                  <c:v>-43.855159183663872</c:v>
                </c:pt>
                <c:pt idx="878">
                  <c:v>-43.919305841164736</c:v>
                </c:pt>
                <c:pt idx="879">
                  <c:v>-43.933339057948231</c:v>
                </c:pt>
                <c:pt idx="880">
                  <c:v>-43.862095048575853</c:v>
                </c:pt>
                <c:pt idx="881">
                  <c:v>-43.782582906875341</c:v>
                </c:pt>
                <c:pt idx="882">
                  <c:v>-43.715670785192458</c:v>
                </c:pt>
                <c:pt idx="883">
                  <c:v>-43.759244004048696</c:v>
                </c:pt>
                <c:pt idx="884">
                  <c:v>-43.534954765952037</c:v>
                </c:pt>
                <c:pt idx="885">
                  <c:v>-43.352983185601239</c:v>
                </c:pt>
                <c:pt idx="886">
                  <c:v>-43.438817541767506</c:v>
                </c:pt>
                <c:pt idx="887">
                  <c:v>-43.559302962275765</c:v>
                </c:pt>
                <c:pt idx="888">
                  <c:v>-43.508095447407555</c:v>
                </c:pt>
                <c:pt idx="889">
                  <c:v>-43.495866847396847</c:v>
                </c:pt>
                <c:pt idx="890">
                  <c:v>-43.223769394930166</c:v>
                </c:pt>
                <c:pt idx="891">
                  <c:v>-43.05795458488074</c:v>
                </c:pt>
                <c:pt idx="892">
                  <c:v>-42.806612243888154</c:v>
                </c:pt>
                <c:pt idx="893">
                  <c:v>-42.612864227013347</c:v>
                </c:pt>
                <c:pt idx="894">
                  <c:v>-42.373039943409516</c:v>
                </c:pt>
                <c:pt idx="895">
                  <c:v>-42.154649016509829</c:v>
                </c:pt>
                <c:pt idx="896">
                  <c:v>-42.272308415226249</c:v>
                </c:pt>
                <c:pt idx="897">
                  <c:v>-42.243010643592804</c:v>
                </c:pt>
                <c:pt idx="898">
                  <c:v>-41.700204526511435</c:v>
                </c:pt>
                <c:pt idx="899">
                  <c:v>-40.962281790573208</c:v>
                </c:pt>
                <c:pt idx="900">
                  <c:v>-40.323596828442561</c:v>
                </c:pt>
                <c:pt idx="901">
                  <c:v>-39.592727035461976</c:v>
                </c:pt>
                <c:pt idx="902">
                  <c:v>-38.776987770898337</c:v>
                </c:pt>
                <c:pt idx="903">
                  <c:v>-37.856798740908161</c:v>
                </c:pt>
                <c:pt idx="904">
                  <c:v>-37.175848604293499</c:v>
                </c:pt>
                <c:pt idx="905">
                  <c:v>-37.07860115726217</c:v>
                </c:pt>
                <c:pt idx="906">
                  <c:v>-37.023691553846646</c:v>
                </c:pt>
                <c:pt idx="907">
                  <c:v>-36.632901186122538</c:v>
                </c:pt>
                <c:pt idx="908">
                  <c:v>-36.437082098991702</c:v>
                </c:pt>
                <c:pt idx="909">
                  <c:v>-36.569481219939576</c:v>
                </c:pt>
                <c:pt idx="910">
                  <c:v>-36.522177652318106</c:v>
                </c:pt>
                <c:pt idx="911">
                  <c:v>-36.667624919596321</c:v>
                </c:pt>
                <c:pt idx="912">
                  <c:v>-36.870040749024113</c:v>
                </c:pt>
                <c:pt idx="913">
                  <c:v>-36.825308861233218</c:v>
                </c:pt>
                <c:pt idx="914">
                  <c:v>-36.927049682913577</c:v>
                </c:pt>
                <c:pt idx="915">
                  <c:v>-36.767157407105053</c:v>
                </c:pt>
                <c:pt idx="916">
                  <c:v>-36.86239434149018</c:v>
                </c:pt>
                <c:pt idx="917">
                  <c:v>-37.116804934713905</c:v>
                </c:pt>
                <c:pt idx="918">
                  <c:v>-37.122788026564642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93-40B2-9F1C-150A27EB8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-30"/>
          <c:min val="-5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 sz="1400"/>
                  <a:t>Y position (mm)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 sz="1400"/>
                  <a:t>X position (mm)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9</xdr:col>
      <xdr:colOff>328706</xdr:colOff>
      <xdr:row>41</xdr:row>
      <xdr:rowOff>44824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582706</xdr:colOff>
      <xdr:row>17</xdr:row>
      <xdr:rowOff>0</xdr:rowOff>
    </xdr:from>
    <xdr:to>
      <xdr:col>18</xdr:col>
      <xdr:colOff>0</xdr:colOff>
      <xdr:row>40</xdr:row>
      <xdr:rowOff>134471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topLeftCell="F14" zoomScale="73" workbookViewId="0">
      <selection activeCell="O43" sqref="O43"/>
    </sheetView>
  </sheetViews>
  <sheetFormatPr defaultRowHeight="13.8"/>
  <cols>
    <col min="1" max="1" width="36" customWidth="1"/>
    <col min="2" max="2" width="20" customWidth="1"/>
    <col min="3" max="3" width="3" customWidth="1"/>
    <col min="4" max="4" width="31" customWidth="1"/>
    <col min="5" max="6" width="20" customWidth="1"/>
    <col min="7" max="8" width="14" customWidth="1"/>
    <col min="10" max="18" width="18.5" customWidth="1"/>
  </cols>
  <sheetData>
    <row r="1" spans="1:8" ht="30" customHeight="1">
      <c r="A1" s="22" t="s">
        <v>0</v>
      </c>
      <c r="B1" s="22"/>
      <c r="C1" s="22"/>
      <c r="D1" s="22"/>
      <c r="E1" s="22"/>
      <c r="F1" s="22"/>
      <c r="G1" s="22"/>
      <c r="H1" s="22"/>
    </row>
    <row r="3" spans="1:8">
      <c r="A3" s="3" t="s">
        <v>1</v>
      </c>
      <c r="B3" s="4" t="s">
        <v>2</v>
      </c>
      <c r="D3" s="3" t="s">
        <v>3</v>
      </c>
      <c r="E3" s="12" t="s">
        <v>4</v>
      </c>
      <c r="F3" s="4" t="s">
        <v>5</v>
      </c>
    </row>
    <row r="4" spans="1:8">
      <c r="A4" s="5" t="s">
        <v>6</v>
      </c>
      <c r="B4" s="6" t="s">
        <v>7</v>
      </c>
      <c r="D4" s="5" t="s">
        <v>8</v>
      </c>
      <c r="E4" s="1">
        <f>MAX('Scaled Data'!C2:C920)-MIN('Scaled Data'!C2:C920)</f>
        <v>70.826938629150391</v>
      </c>
      <c r="F4" s="13">
        <f>MAX('Scaled Data'!F2:F920)-MIN('Scaled Data'!F2:F920)</f>
        <v>74.957632125777522</v>
      </c>
    </row>
    <row r="5" spans="1:8">
      <c r="A5" s="5" t="s">
        <v>9</v>
      </c>
      <c r="B5" s="7">
        <v>8</v>
      </c>
      <c r="D5" s="5" t="s">
        <v>10</v>
      </c>
      <c r="E5" s="1">
        <f>MAX('Scaled Data'!D2:D920)-MIN('Scaled Data'!D2:D920)</f>
        <v>7.9975013732910156</v>
      </c>
      <c r="F5" s="13">
        <f>MAX('Scaled Data'!G2:G920)-MIN('Scaled Data'!G2:G920)</f>
        <v>8.4639231550496774</v>
      </c>
    </row>
    <row r="6" spans="1:8">
      <c r="A6" s="5" t="s">
        <v>11</v>
      </c>
      <c r="B6" s="8">
        <f>AVERAGE('Raw Data'!H2:H920)</f>
        <v>7.5591436517422634</v>
      </c>
      <c r="D6" s="5" t="s">
        <v>12</v>
      </c>
      <c r="E6" s="1">
        <f>MAX('Commanded Path'!H2:H361)-MIN('Commanded Path'!H2:H361)</f>
        <v>75.470336307569454</v>
      </c>
      <c r="F6" s="13">
        <f>E6</f>
        <v>75.470336307569454</v>
      </c>
    </row>
    <row r="7" spans="1:8">
      <c r="A7" s="5" t="s">
        <v>13</v>
      </c>
      <c r="B7" s="8">
        <f>B5/B6</f>
        <v>1.0583209380015057</v>
      </c>
      <c r="D7" s="5" t="s">
        <v>14</v>
      </c>
      <c r="E7" s="2">
        <f>E4/E6</f>
        <v>0.93847387058810094</v>
      </c>
      <c r="F7" s="14">
        <f>F4/F6</f>
        <v>0.99320654701070266</v>
      </c>
    </row>
    <row r="8" spans="1:8">
      <c r="A8" s="5" t="s">
        <v>15</v>
      </c>
      <c r="B8" s="9" t="s">
        <v>16</v>
      </c>
      <c r="D8" s="10" t="s">
        <v>17</v>
      </c>
      <c r="E8" s="15">
        <f>E6-E4</f>
        <v>4.6433976784190634</v>
      </c>
      <c r="F8" s="16">
        <f>F6-F4</f>
        <v>0.512704181791932</v>
      </c>
    </row>
    <row r="9" spans="1:8">
      <c r="A9" s="5" t="s">
        <v>18</v>
      </c>
      <c r="B9" s="9">
        <v>0.98912074341020717</v>
      </c>
    </row>
    <row r="10" spans="1:8">
      <c r="A10" s="5" t="s">
        <v>19</v>
      </c>
      <c r="B10" s="9">
        <f>AVERAGE('Raw Data'!F2:F920)</f>
        <v>20.028666596452304</v>
      </c>
    </row>
    <row r="11" spans="1:8">
      <c r="A11" s="10" t="s">
        <v>20</v>
      </c>
      <c r="B11" s="11">
        <f>AVERAGE('Raw Data'!G2:G920)</f>
        <v>-40.279157686285409</v>
      </c>
    </row>
    <row r="13" spans="1:8">
      <c r="A13" s="23" t="s">
        <v>21</v>
      </c>
      <c r="B13" s="23"/>
      <c r="C13" s="23"/>
      <c r="D13" s="23"/>
      <c r="E13" s="23"/>
      <c r="F13" s="23"/>
      <c r="G13" s="23"/>
      <c r="H13" s="23"/>
    </row>
    <row r="14" spans="1:8">
      <c r="A14" s="24" t="str">
        <f>IF(ABS(F8)&lt;1,_xlfn._LONGTEXT("After scaling by the measured dot diameter, the measured X span is within 1 mm of the commanded span. This supports a scale-related explanation, but the result remains diagnostic because HSV segmentation can underestimate the visible dot diameter. Each pl","ot uses translation-only alignment; no additional resizing or rotation is applied."),"The diameter correction does not fully remove the X-span difference, so calibration scale alone cannot explain the mismatch. Each plot uses translation-only alignment; no additional resizing or rotation is applied.")</f>
        <v>After scaling by the measured dot diameter, the measured X span is within 1 mm of the commanded span. This supports a scale-related explanation, but the result remains diagnostic because HSV segmentation can underestimate the visible dot diameter. Each plot uses translation-only alignment; no additional resizing or rotation is applied.</v>
      </c>
      <c r="B14" s="24"/>
      <c r="C14" s="24"/>
      <c r="D14" s="24"/>
      <c r="E14" s="24"/>
      <c r="F14" s="24"/>
      <c r="G14" s="24"/>
      <c r="H14" s="24"/>
    </row>
    <row r="15" spans="1:8">
      <c r="A15" s="24"/>
      <c r="B15" s="24"/>
      <c r="C15" s="24"/>
      <c r="D15" s="24"/>
      <c r="E15" s="24"/>
      <c r="F15" s="24"/>
      <c r="G15" s="24"/>
      <c r="H15" s="24"/>
    </row>
    <row r="16" spans="1:8">
      <c r="A16" s="24"/>
      <c r="B16" s="24"/>
      <c r="C16" s="24"/>
      <c r="D16" s="24"/>
      <c r="E16" s="24"/>
      <c r="F16" s="24"/>
      <c r="G16" s="24"/>
      <c r="H16" s="24"/>
    </row>
  </sheetData>
  <mergeCells count="3">
    <mergeCell ref="A1:H1"/>
    <mergeCell ref="A13:H13"/>
    <mergeCell ref="A14:H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20"/>
  <sheetViews>
    <sheetView showGridLines="0" workbookViewId="0"/>
  </sheetViews>
  <sheetFormatPr defaultRowHeight="13.8"/>
  <cols>
    <col min="1" max="1" width="11" customWidth="1"/>
    <col min="2" max="9" width="20" customWidth="1"/>
  </cols>
  <sheetData>
    <row r="1" spans="1:9" ht="27.6">
      <c r="A1" s="17" t="s">
        <v>22</v>
      </c>
      <c r="B1" s="17" t="s">
        <v>23</v>
      </c>
      <c r="C1" s="17" t="s">
        <v>24</v>
      </c>
      <c r="D1" s="17" t="s">
        <v>25</v>
      </c>
      <c r="E1" s="17" t="s">
        <v>26</v>
      </c>
      <c r="F1" s="17" t="s">
        <v>27</v>
      </c>
      <c r="G1" s="17" t="s">
        <v>28</v>
      </c>
      <c r="H1" s="17" t="s">
        <v>29</v>
      </c>
      <c r="I1" s="17" t="s">
        <v>30</v>
      </c>
    </row>
    <row r="2" spans="1:9">
      <c r="A2" s="18">
        <v>180</v>
      </c>
      <c r="B2" s="20">
        <v>6.0028844404003641</v>
      </c>
      <c r="C2" s="20">
        <v>2.8844404003640634E-3</v>
      </c>
      <c r="D2" s="20">
        <v>1119.2157656000979</v>
      </c>
      <c r="E2" s="20">
        <v>283.64876792938583</v>
      </c>
      <c r="F2" s="20">
        <v>48.363109588623047</v>
      </c>
      <c r="G2" s="20">
        <v>-36.061180114746094</v>
      </c>
      <c r="H2" s="20">
        <v>7.5088292083315888</v>
      </c>
      <c r="I2" s="20">
        <v>0.84337591494618103</v>
      </c>
    </row>
    <row r="3" spans="1:9">
      <c r="A3" s="18">
        <v>181</v>
      </c>
      <c r="B3" s="20">
        <v>6.0362337984025887</v>
      </c>
      <c r="C3" s="20">
        <v>3.6233798402588668E-2</v>
      </c>
      <c r="D3" s="20">
        <v>1119.1155539251652</v>
      </c>
      <c r="E3" s="20">
        <v>283.66960136952798</v>
      </c>
      <c r="F3" s="20">
        <v>48.345062255859375</v>
      </c>
      <c r="G3" s="20">
        <v>-36.064872741699219</v>
      </c>
      <c r="H3" s="20">
        <v>7.5184886452864435</v>
      </c>
      <c r="I3" s="20">
        <v>0.83862967345912687</v>
      </c>
    </row>
    <row r="4" spans="1:9">
      <c r="A4" s="18">
        <v>182</v>
      </c>
      <c r="B4" s="20">
        <v>6.0695831564048124</v>
      </c>
      <c r="C4" s="20">
        <v>6.9583156404812385E-2</v>
      </c>
      <c r="D4" s="20">
        <v>1120.7669465741753</v>
      </c>
      <c r="E4" s="20">
        <v>284.50602409638554</v>
      </c>
      <c r="F4" s="20">
        <v>48.641857147216797</v>
      </c>
      <c r="G4" s="20">
        <v>-36.217323303222656</v>
      </c>
      <c r="H4" s="20">
        <v>7.5363947533420124</v>
      </c>
      <c r="I4" s="20">
        <v>0.8261964927843124</v>
      </c>
    </row>
    <row r="5" spans="1:9">
      <c r="A5" s="18">
        <v>183</v>
      </c>
      <c r="B5" s="20">
        <v>6.102932514407037</v>
      </c>
      <c r="C5" s="20">
        <v>0.10293251440703699</v>
      </c>
      <c r="D5" s="20">
        <v>1120.9983097911384</v>
      </c>
      <c r="E5" s="20">
        <v>284.58070747313775</v>
      </c>
      <c r="F5" s="20">
        <v>48.683452606201172</v>
      </c>
      <c r="G5" s="20">
        <v>-36.230998992919922</v>
      </c>
      <c r="H5" s="20">
        <v>7.5666008654044363</v>
      </c>
      <c r="I5" s="20">
        <v>0.8102216831730007</v>
      </c>
    </row>
    <row r="6" spans="1:9">
      <c r="A6" s="18">
        <v>184</v>
      </c>
      <c r="B6" s="20">
        <v>6.1362818724092607</v>
      </c>
      <c r="C6" s="20">
        <v>0.13628187240926071</v>
      </c>
      <c r="D6" s="20">
        <v>1120.9938024061246</v>
      </c>
      <c r="E6" s="20">
        <v>284.65876777251185</v>
      </c>
      <c r="F6" s="20">
        <v>48.682605743408203</v>
      </c>
      <c r="G6" s="20">
        <v>-36.245113372802734</v>
      </c>
      <c r="H6" s="20">
        <v>7.5418957721426034</v>
      </c>
      <c r="I6" s="20">
        <v>0.81413189869871305</v>
      </c>
    </row>
    <row r="7" spans="1:9">
      <c r="A7" s="18">
        <v>185</v>
      </c>
      <c r="B7" s="20">
        <v>6.1696312304114853</v>
      </c>
      <c r="C7" s="20">
        <v>0.16963123041148531</v>
      </c>
      <c r="D7" s="20">
        <v>1123.0542015278284</v>
      </c>
      <c r="E7" s="20">
        <v>286.13992967139563</v>
      </c>
      <c r="F7" s="20">
        <v>49.052722930908203</v>
      </c>
      <c r="G7" s="20">
        <v>-36.514469146728516</v>
      </c>
      <c r="H7" s="20">
        <v>7.5501397852857473</v>
      </c>
      <c r="I7" s="20">
        <v>0.81591271680205324</v>
      </c>
    </row>
    <row r="8" spans="1:9">
      <c r="A8" s="18">
        <v>186</v>
      </c>
      <c r="B8" s="20">
        <v>6.2029805884137099</v>
      </c>
      <c r="C8" s="20">
        <v>0.20298058841370992</v>
      </c>
      <c r="D8" s="20">
        <v>1128.2967656287713</v>
      </c>
      <c r="E8" s="20">
        <v>289.94098479362782</v>
      </c>
      <c r="F8" s="20">
        <v>49.994503021240234</v>
      </c>
      <c r="G8" s="20">
        <v>-37.205734252929688</v>
      </c>
      <c r="H8" s="20">
        <v>7.5679710059073653</v>
      </c>
      <c r="I8" s="20">
        <v>0.83033997123736913</v>
      </c>
    </row>
    <row r="9" spans="1:9">
      <c r="A9" s="18">
        <v>187</v>
      </c>
      <c r="B9" s="20">
        <v>6.2363299464159336</v>
      </c>
      <c r="C9" s="20">
        <v>0.23632994641593363</v>
      </c>
      <c r="D9" s="20">
        <v>1117.2048585931834</v>
      </c>
      <c r="E9" s="20">
        <v>288.07287889775199</v>
      </c>
      <c r="F9" s="20">
        <v>47.999046325683594</v>
      </c>
      <c r="G9" s="20">
        <v>-36.859928131103516</v>
      </c>
      <c r="H9" s="20">
        <v>7.5624889544774243</v>
      </c>
      <c r="I9" s="20">
        <v>0.82521536176260846</v>
      </c>
    </row>
    <row r="10" spans="1:9">
      <c r="A10" s="18">
        <v>188</v>
      </c>
      <c r="B10" s="20">
        <v>6.2696793044181582</v>
      </c>
      <c r="C10" s="20">
        <v>0.26967930441815824</v>
      </c>
      <c r="D10" s="20">
        <v>1108.1903210234129</v>
      </c>
      <c r="E10" s="20">
        <v>286.67366642529566</v>
      </c>
      <c r="F10" s="20">
        <v>46.377414703369141</v>
      </c>
      <c r="G10" s="20">
        <v>-36.600440979003906</v>
      </c>
      <c r="H10" s="20">
        <v>7.5679710059073653</v>
      </c>
      <c r="I10" s="20">
        <v>0.86800724078221825</v>
      </c>
    </row>
    <row r="11" spans="1:9">
      <c r="A11" s="18">
        <v>189</v>
      </c>
      <c r="B11" s="20">
        <v>6.303028662420382</v>
      </c>
      <c r="C11" s="20">
        <v>0.30302866242038196</v>
      </c>
      <c r="D11" s="20">
        <v>1103.0952208106471</v>
      </c>
      <c r="E11" s="20">
        <v>287.08650937689049</v>
      </c>
      <c r="F11" s="20">
        <v>45.460296630859375</v>
      </c>
      <c r="G11" s="20">
        <v>-36.671489715576172</v>
      </c>
      <c r="H11" s="20">
        <v>7.5583748065868592</v>
      </c>
      <c r="I11" s="20">
        <v>0.84468057397266738</v>
      </c>
    </row>
    <row r="12" spans="1:9">
      <c r="A12" s="18">
        <v>190</v>
      </c>
      <c r="B12" s="20">
        <v>6.3363780204226066</v>
      </c>
      <c r="C12" s="20">
        <v>0.33637802042260656</v>
      </c>
      <c r="D12" s="20">
        <v>1099.9349652027836</v>
      </c>
      <c r="E12" s="20">
        <v>288.51247900167988</v>
      </c>
      <c r="F12" s="20">
        <v>44.890853881835938</v>
      </c>
      <c r="G12" s="20">
        <v>-36.927146911621094</v>
      </c>
      <c r="H12" s="20">
        <v>7.5898596156253433</v>
      </c>
      <c r="I12" s="20">
        <v>0.86289471226471559</v>
      </c>
    </row>
    <row r="13" spans="1:9">
      <c r="A13" s="18">
        <v>191</v>
      </c>
      <c r="B13" s="20">
        <v>6.3697273784248312</v>
      </c>
      <c r="C13" s="20">
        <v>0.36972737842483117</v>
      </c>
      <c r="D13" s="20">
        <v>1095.1133811230584</v>
      </c>
      <c r="E13" s="20">
        <v>288.59904420549577</v>
      </c>
      <c r="F13" s="20">
        <v>44.023162841796875</v>
      </c>
      <c r="G13" s="20">
        <v>-36.939365386962891</v>
      </c>
      <c r="H13" s="20">
        <v>7.6062347363123708</v>
      </c>
      <c r="I13" s="20">
        <v>0.83875760895427409</v>
      </c>
    </row>
    <row r="14" spans="1:9">
      <c r="A14" s="18">
        <v>192</v>
      </c>
      <c r="B14" s="20">
        <v>6.4030767364270549</v>
      </c>
      <c r="C14" s="20">
        <v>0.40307673642705488</v>
      </c>
      <c r="D14" s="20">
        <v>1089.2050442585182</v>
      </c>
      <c r="E14" s="20">
        <v>288.90481387171087</v>
      </c>
      <c r="F14" s="20">
        <v>42.959812164306641</v>
      </c>
      <c r="G14" s="20">
        <v>-36.990467071533203</v>
      </c>
      <c r="H14" s="20">
        <v>7.5501397852857473</v>
      </c>
      <c r="I14" s="20">
        <v>0.84689619743120248</v>
      </c>
    </row>
    <row r="15" spans="1:9">
      <c r="A15" s="18">
        <v>193</v>
      </c>
      <c r="B15" s="20">
        <v>6.4364260944292795</v>
      </c>
      <c r="C15" s="20">
        <v>0.43642609442927949</v>
      </c>
      <c r="D15" s="20">
        <v>1086.6166787702734</v>
      </c>
      <c r="E15" s="20">
        <v>290.36746550472043</v>
      </c>
      <c r="F15" s="20">
        <v>42.493267059326172</v>
      </c>
      <c r="G15" s="20">
        <v>-37.253162384033203</v>
      </c>
      <c r="H15" s="20">
        <v>7.5570029262222453</v>
      </c>
      <c r="I15" s="20">
        <v>0.82401852884521976</v>
      </c>
    </row>
    <row r="16" spans="1:9">
      <c r="A16" s="18">
        <v>194</v>
      </c>
      <c r="B16" s="20">
        <v>6.4697754524315032</v>
      </c>
      <c r="C16" s="20">
        <v>0.4697754524315032</v>
      </c>
      <c r="D16" s="20">
        <v>1083.3235328846379</v>
      </c>
      <c r="E16" s="20">
        <v>290.44102019128587</v>
      </c>
      <c r="F16" s="20">
        <v>41.900638580322266</v>
      </c>
      <c r="G16" s="20">
        <v>-37.264114379882813</v>
      </c>
      <c r="H16" s="20">
        <v>7.6510856112771446</v>
      </c>
      <c r="I16" s="20">
        <v>0.84583675092716848</v>
      </c>
    </row>
    <row r="17" spans="1:9">
      <c r="A17" s="18">
        <v>195</v>
      </c>
      <c r="B17" s="20">
        <v>6.5031248104337278</v>
      </c>
      <c r="C17" s="20">
        <v>0.50312481043372781</v>
      </c>
      <c r="D17" s="20">
        <v>1073.2705054840246</v>
      </c>
      <c r="E17" s="20">
        <v>289.42513113972342</v>
      </c>
      <c r="F17" s="20">
        <v>40.092330932617188</v>
      </c>
      <c r="G17" s="20">
        <v>-37.073223114013672</v>
      </c>
      <c r="H17" s="20">
        <v>7.6144090908866424</v>
      </c>
      <c r="I17" s="20">
        <v>0.85027824006796027</v>
      </c>
    </row>
    <row r="18" spans="1:9">
      <c r="A18" s="18">
        <v>196</v>
      </c>
      <c r="B18" s="20">
        <v>6.5364741684359524</v>
      </c>
      <c r="C18" s="20">
        <v>0.53647416843595241</v>
      </c>
      <c r="D18" s="20">
        <v>1068.4151195243294</v>
      </c>
      <c r="E18" s="20">
        <v>290.26246814706951</v>
      </c>
      <c r="F18" s="20">
        <v>39.21826171875</v>
      </c>
      <c r="G18" s="20">
        <v>-37.221199035644531</v>
      </c>
      <c r="H18" s="20">
        <v>7.5473927814526762</v>
      </c>
      <c r="I18" s="20">
        <v>0.8561844361830504</v>
      </c>
    </row>
    <row r="19" spans="1:9">
      <c r="A19" s="18">
        <v>197</v>
      </c>
      <c r="B19" s="20">
        <v>6.5698235264381761</v>
      </c>
      <c r="C19" s="20">
        <v>0.56982352643817613</v>
      </c>
      <c r="D19" s="20">
        <v>1065.6923905240487</v>
      </c>
      <c r="E19" s="20">
        <v>290.91385498923188</v>
      </c>
      <c r="F19" s="20">
        <v>38.728000640869141</v>
      </c>
      <c r="G19" s="20">
        <v>-37.337059020996094</v>
      </c>
      <c r="H19" s="20">
        <v>7.6007802825909545</v>
      </c>
      <c r="I19" s="20">
        <v>0.84154530243601955</v>
      </c>
    </row>
    <row r="20" spans="1:9">
      <c r="A20" s="18">
        <v>198</v>
      </c>
      <c r="B20" s="20">
        <v>6.6031728844404007</v>
      </c>
      <c r="C20" s="20">
        <v>0.60317288444040074</v>
      </c>
      <c r="D20" s="20">
        <v>1061.2515838206627</v>
      </c>
      <c r="E20" s="20">
        <v>291.64156920077971</v>
      </c>
      <c r="F20" s="20">
        <v>37.928592681884766</v>
      </c>
      <c r="G20" s="20">
        <v>-37.465503692626953</v>
      </c>
      <c r="H20" s="20">
        <v>7.5322663527290965</v>
      </c>
      <c r="I20" s="20">
        <v>0.84576274160695153</v>
      </c>
    </row>
    <row r="21" spans="1:9">
      <c r="A21" s="18">
        <v>199</v>
      </c>
      <c r="B21" s="20">
        <v>6.6365222424426245</v>
      </c>
      <c r="C21" s="20">
        <v>0.63652224244262445</v>
      </c>
      <c r="D21" s="20">
        <v>1053.6796045404615</v>
      </c>
      <c r="E21" s="20">
        <v>291.5278896619065</v>
      </c>
      <c r="F21" s="20">
        <v>36.566356658935547</v>
      </c>
      <c r="G21" s="20">
        <v>-37.439544677734375</v>
      </c>
      <c r="H21" s="20">
        <v>7.5253806520918287</v>
      </c>
      <c r="I21" s="20">
        <v>0.88000333539735121</v>
      </c>
    </row>
    <row r="22" spans="1:9">
      <c r="A22" s="18">
        <v>200</v>
      </c>
      <c r="B22" s="20">
        <v>6.6698716004448491</v>
      </c>
      <c r="C22" s="20">
        <v>0.66987160044484906</v>
      </c>
      <c r="D22" s="20">
        <v>1048.7686147962231</v>
      </c>
      <c r="E22" s="20">
        <v>291.09716744352812</v>
      </c>
      <c r="F22" s="20">
        <v>35.683097839355469</v>
      </c>
      <c r="G22" s="20">
        <v>-37.358146667480469</v>
      </c>
      <c r="H22" s="20">
        <v>7.6048714896419876</v>
      </c>
      <c r="I22" s="20">
        <v>0.85921916722166336</v>
      </c>
    </row>
    <row r="23" spans="1:9">
      <c r="A23" s="18">
        <v>201</v>
      </c>
      <c r="B23" s="20">
        <v>6.7032209584470728</v>
      </c>
      <c r="C23" s="20">
        <v>0.70322095844707277</v>
      </c>
      <c r="D23" s="20">
        <v>1045.7863746958637</v>
      </c>
      <c r="E23" s="20">
        <v>291.81751824817519</v>
      </c>
      <c r="F23" s="20">
        <v>35.146160125732422</v>
      </c>
      <c r="G23" s="20">
        <v>-37.486289978027344</v>
      </c>
      <c r="H23" s="20">
        <v>7.53777038441185</v>
      </c>
      <c r="I23" s="20">
        <v>0.86109334964617412</v>
      </c>
    </row>
    <row r="24" spans="1:9">
      <c r="A24" s="18">
        <v>202</v>
      </c>
      <c r="B24" s="20">
        <v>6.7365703164492974</v>
      </c>
      <c r="C24" s="20">
        <v>0.73657031644929738</v>
      </c>
      <c r="D24" s="20">
        <v>1040.2248289345061</v>
      </c>
      <c r="E24" s="20">
        <v>291.94868035190615</v>
      </c>
      <c r="F24" s="20">
        <v>34.145576477050781</v>
      </c>
      <c r="G24" s="20">
        <v>-37.506038665771484</v>
      </c>
      <c r="H24" s="20">
        <v>7.5212462058579037</v>
      </c>
      <c r="I24" s="20">
        <v>0.82959907988669179</v>
      </c>
    </row>
    <row r="25" spans="1:9">
      <c r="A25" s="18">
        <v>203</v>
      </c>
      <c r="B25" s="20">
        <v>6.769919674451522</v>
      </c>
      <c r="C25" s="20">
        <v>0.76991967445152198</v>
      </c>
      <c r="D25" s="20">
        <v>1031.6968479980528</v>
      </c>
      <c r="E25" s="20">
        <v>290.85140562248995</v>
      </c>
      <c r="F25" s="20">
        <v>32.6121826171875</v>
      </c>
      <c r="G25" s="20">
        <v>-37.301528930664063</v>
      </c>
      <c r="H25" s="20">
        <v>7.5363947533420124</v>
      </c>
      <c r="I25" s="20">
        <v>0.8261964927843124</v>
      </c>
    </row>
    <row r="26" spans="1:9">
      <c r="A26" s="18">
        <v>204</v>
      </c>
      <c r="B26" s="20">
        <v>6.8032690324537457</v>
      </c>
      <c r="C26" s="20">
        <v>0.8032690324537457</v>
      </c>
      <c r="D26" s="20">
        <v>1028.0737061564876</v>
      </c>
      <c r="E26" s="20">
        <v>292.009320578857</v>
      </c>
      <c r="F26" s="20">
        <v>31.959705352783203</v>
      </c>
      <c r="G26" s="20">
        <v>-37.508335113525391</v>
      </c>
      <c r="H26" s="20">
        <v>7.5074482742126314</v>
      </c>
      <c r="I26" s="20">
        <v>0.83616854595179979</v>
      </c>
    </row>
    <row r="27" spans="1:9">
      <c r="A27" s="18">
        <v>205</v>
      </c>
      <c r="B27" s="20">
        <v>6.8366183904559703</v>
      </c>
      <c r="C27" s="20">
        <v>0.83661839045597031</v>
      </c>
      <c r="D27" s="20">
        <v>1024.4858652900687</v>
      </c>
      <c r="E27" s="20">
        <v>292.92035398230087</v>
      </c>
      <c r="F27" s="20">
        <v>31.313732147216797</v>
      </c>
      <c r="G27" s="20">
        <v>-37.670524597167969</v>
      </c>
      <c r="H27" s="20">
        <v>7.4991573293594787</v>
      </c>
      <c r="I27" s="20">
        <v>0.87262442692727382</v>
      </c>
    </row>
    <row r="28" spans="1:9">
      <c r="A28" s="18">
        <v>206</v>
      </c>
      <c r="B28" s="20">
        <v>6.869967748458194</v>
      </c>
      <c r="C28" s="20">
        <v>0.86996774845819402</v>
      </c>
      <c r="D28" s="20">
        <v>1017.9979288499025</v>
      </c>
      <c r="E28" s="20">
        <v>293.10075536062379</v>
      </c>
      <c r="F28" s="20">
        <v>30.146602630615234</v>
      </c>
      <c r="G28" s="20">
        <v>-37.698516845703125</v>
      </c>
      <c r="H28" s="20">
        <v>7.5322663527290965</v>
      </c>
      <c r="I28" s="20">
        <v>0.85983628051257477</v>
      </c>
    </row>
    <row r="29" spans="1:9">
      <c r="A29" s="18">
        <v>207</v>
      </c>
      <c r="B29" s="20">
        <v>6.9033171064604186</v>
      </c>
      <c r="C29" s="20">
        <v>0.90331710646041863</v>
      </c>
      <c r="D29" s="20">
        <v>1012.9486528935604</v>
      </c>
      <c r="E29" s="20">
        <v>293.32270146188227</v>
      </c>
      <c r="F29" s="20">
        <v>29.238252639770508</v>
      </c>
      <c r="G29" s="20">
        <v>-37.735042572021484</v>
      </c>
      <c r="H29" s="20">
        <v>7.563859839824401</v>
      </c>
      <c r="I29" s="20">
        <v>0.87857035053612931</v>
      </c>
    </row>
    <row r="30" spans="1:9">
      <c r="A30" s="18">
        <v>208</v>
      </c>
      <c r="B30" s="20">
        <v>6.9366664644626432</v>
      </c>
      <c r="C30" s="20">
        <v>0.93666646446264323</v>
      </c>
      <c r="D30" s="20">
        <v>1008.272238514174</v>
      </c>
      <c r="E30" s="20">
        <v>293.40237047898336</v>
      </c>
      <c r="F30" s="20">
        <v>28.397075653076172</v>
      </c>
      <c r="G30" s="20">
        <v>-37.746112823486328</v>
      </c>
      <c r="H30" s="20">
        <v>7.5212462058579037</v>
      </c>
      <c r="I30" s="20">
        <v>0.85732213500472609</v>
      </c>
    </row>
    <row r="31" spans="1:9">
      <c r="A31" s="18">
        <v>209</v>
      </c>
      <c r="B31" s="20">
        <v>6.970015822464867</v>
      </c>
      <c r="C31" s="20">
        <v>0.97001582246486695</v>
      </c>
      <c r="D31" s="20">
        <v>1005.8382679496669</v>
      </c>
      <c r="E31" s="20">
        <v>294.1227485812978</v>
      </c>
      <c r="F31" s="20">
        <v>27.958816528320313</v>
      </c>
      <c r="G31" s="20">
        <v>-37.874637603759766</v>
      </c>
      <c r="H31" s="20">
        <v>7.4853186806796854</v>
      </c>
      <c r="I31" s="20">
        <v>0.87369239527177212</v>
      </c>
    </row>
    <row r="32" spans="1:9">
      <c r="A32" s="18">
        <v>210</v>
      </c>
      <c r="B32" s="20">
        <v>7.0033651804670916</v>
      </c>
      <c r="C32" s="20">
        <v>1.0033651804670916</v>
      </c>
      <c r="D32" s="20">
        <v>998.69829244829236</v>
      </c>
      <c r="E32" s="20">
        <v>294.5151515151515</v>
      </c>
      <c r="F32" s="20">
        <v>26.674386978149414</v>
      </c>
      <c r="G32" s="20">
        <v>-37.94049072265625</v>
      </c>
      <c r="H32" s="20">
        <v>7.5816587924680601</v>
      </c>
      <c r="I32" s="20">
        <v>0.80697559448062695</v>
      </c>
    </row>
    <row r="33" spans="1:9">
      <c r="A33" s="18">
        <v>211</v>
      </c>
      <c r="B33" s="20">
        <v>7.0367145384693153</v>
      </c>
      <c r="C33" s="20">
        <v>1.0367145384693153</v>
      </c>
      <c r="D33" s="20">
        <v>993.86732456140351</v>
      </c>
      <c r="E33" s="20">
        <v>294.07224658869393</v>
      </c>
      <c r="F33" s="20">
        <v>25.805845260620117</v>
      </c>
      <c r="G33" s="20">
        <v>-37.856948852539063</v>
      </c>
      <c r="H33" s="20">
        <v>7.5322663527290965</v>
      </c>
      <c r="I33" s="20">
        <v>0.85567807441733557</v>
      </c>
    </row>
    <row r="34" spans="1:9">
      <c r="A34" s="18">
        <v>212</v>
      </c>
      <c r="B34" s="20">
        <v>7.0700638964715399</v>
      </c>
      <c r="C34" s="20">
        <v>1.0700638964715399</v>
      </c>
      <c r="D34" s="20">
        <v>987.83535316440191</v>
      </c>
      <c r="E34" s="20">
        <v>294.01566899253271</v>
      </c>
      <c r="F34" s="20">
        <v>24.721078872680664</v>
      </c>
      <c r="G34" s="20">
        <v>-37.8424072265625</v>
      </c>
      <c r="H34" s="20">
        <v>7.5143504070248861</v>
      </c>
      <c r="I34" s="20">
        <v>0.8308813258704858</v>
      </c>
    </row>
    <row r="35" spans="1:9">
      <c r="A35" s="18">
        <v>213</v>
      </c>
      <c r="B35" s="20">
        <v>7.1034132544737645</v>
      </c>
      <c r="C35" s="20">
        <v>1.1034132544737645</v>
      </c>
      <c r="D35" s="20">
        <v>982.92475876389392</v>
      </c>
      <c r="E35" s="20">
        <v>293.8491510931965</v>
      </c>
      <c r="F35" s="20">
        <v>23.838098526000977</v>
      </c>
      <c r="G35" s="20">
        <v>-37.808792114257813</v>
      </c>
      <c r="H35" s="20">
        <v>7.5226246070801173</v>
      </c>
      <c r="I35" s="20">
        <v>0.85057420104370585</v>
      </c>
    </row>
    <row r="36" spans="1:9">
      <c r="A36" s="18">
        <v>214</v>
      </c>
      <c r="B36" s="20">
        <v>7.1367626124759882</v>
      </c>
      <c r="C36" s="20">
        <v>1.1367626124759882</v>
      </c>
      <c r="D36" s="20">
        <v>977.38970051132219</v>
      </c>
      <c r="E36" s="20">
        <v>294.11139517896277</v>
      </c>
      <c r="F36" s="20">
        <v>22.84254264831543</v>
      </c>
      <c r="G36" s="20">
        <v>-37.852252960205078</v>
      </c>
      <c r="H36" s="20">
        <v>7.5350188711300268</v>
      </c>
      <c r="I36" s="20">
        <v>0.86465646510897476</v>
      </c>
    </row>
    <row r="37" spans="1:9">
      <c r="A37" s="18">
        <v>215</v>
      </c>
      <c r="B37" s="20">
        <v>7.1701119704782128</v>
      </c>
      <c r="C37" s="20">
        <v>1.1701119704782128</v>
      </c>
      <c r="D37" s="20">
        <v>972.31958135572586</v>
      </c>
      <c r="E37" s="20">
        <v>294.47194839965925</v>
      </c>
      <c r="F37" s="20">
        <v>21.930543899536133</v>
      </c>
      <c r="G37" s="20">
        <v>-37.913825988769531</v>
      </c>
      <c r="H37" s="20">
        <v>7.5363947533420124</v>
      </c>
      <c r="I37" s="20">
        <v>0.84381545321625528</v>
      </c>
    </row>
    <row r="38" spans="1:9">
      <c r="A38" s="18">
        <v>216</v>
      </c>
      <c r="B38" s="20">
        <v>7.2034613284804365</v>
      </c>
      <c r="C38" s="20">
        <v>1.2034613284804365</v>
      </c>
      <c r="D38" s="20">
        <v>970.49799343305358</v>
      </c>
      <c r="E38" s="20">
        <v>294.81843609388301</v>
      </c>
      <c r="F38" s="20">
        <v>21.602725982666016</v>
      </c>
      <c r="G38" s="20">
        <v>-37.975177764892578</v>
      </c>
      <c r="H38" s="20">
        <v>7.5391457644770172</v>
      </c>
      <c r="I38" s="20">
        <v>0.84443159895697006</v>
      </c>
    </row>
    <row r="39" spans="1:9">
      <c r="A39" s="18">
        <v>217</v>
      </c>
      <c r="B39" s="20">
        <v>7.2368106864826611</v>
      </c>
      <c r="C39" s="20">
        <v>1.2368106864826611</v>
      </c>
      <c r="D39" s="20">
        <v>963.64094163329685</v>
      </c>
      <c r="E39" s="20">
        <v>294.6085426525907</v>
      </c>
      <c r="F39" s="20">
        <v>20.369867324829102</v>
      </c>
      <c r="G39" s="20">
        <v>-37.932323455810547</v>
      </c>
      <c r="H39" s="20">
        <v>7.5473927814526762</v>
      </c>
      <c r="I39" s="20">
        <v>0.82306537270493096</v>
      </c>
    </row>
    <row r="40" spans="1:9">
      <c r="A40" s="18">
        <v>218</v>
      </c>
      <c r="B40" s="20">
        <v>7.2701600444848857</v>
      </c>
      <c r="C40" s="20">
        <v>1.2701600444848857</v>
      </c>
      <c r="D40" s="20">
        <v>957.20034414945906</v>
      </c>
      <c r="E40" s="20">
        <v>294.61049655850542</v>
      </c>
      <c r="F40" s="20">
        <v>19.211786270141602</v>
      </c>
      <c r="G40" s="20">
        <v>-37.928070068359375</v>
      </c>
      <c r="H40" s="20">
        <v>7.4991573293594787</v>
      </c>
      <c r="I40" s="20">
        <v>0.81145179746849516</v>
      </c>
    </row>
    <row r="41" spans="1:9">
      <c r="A41" s="18">
        <v>219</v>
      </c>
      <c r="B41" s="20">
        <v>7.3035094024871094</v>
      </c>
      <c r="C41" s="20">
        <v>1.3035094024871094</v>
      </c>
      <c r="D41" s="20">
        <v>948.80007270083604</v>
      </c>
      <c r="E41" s="20">
        <v>294.78480552526355</v>
      </c>
      <c r="F41" s="20">
        <v>17.701274871826172</v>
      </c>
      <c r="G41" s="20">
        <v>-37.953582763671875</v>
      </c>
      <c r="H41" s="20">
        <v>7.5528857900265809</v>
      </c>
      <c r="I41" s="20">
        <v>0.7945135254934117</v>
      </c>
    </row>
    <row r="42" spans="1:9">
      <c r="A42" s="18">
        <v>220</v>
      </c>
      <c r="B42" s="20">
        <v>7.3368587604893341</v>
      </c>
      <c r="C42" s="20">
        <v>1.3368587604893341</v>
      </c>
      <c r="D42" s="20">
        <v>946.89238750150798</v>
      </c>
      <c r="E42" s="20">
        <v>294.87187839305102</v>
      </c>
      <c r="F42" s="20">
        <v>17.358219146728516</v>
      </c>
      <c r="G42" s="20">
        <v>-37.967964172363281</v>
      </c>
      <c r="H42" s="20">
        <v>7.5693408983986119</v>
      </c>
      <c r="I42" s="20">
        <v>0.8108085916514709</v>
      </c>
    </row>
    <row r="43" spans="1:9">
      <c r="A43" s="18">
        <v>221</v>
      </c>
      <c r="B43" s="20">
        <v>7.3702081184915578</v>
      </c>
      <c r="C43" s="20">
        <v>1.3702081184915578</v>
      </c>
      <c r="D43" s="20">
        <v>942.11891956495754</v>
      </c>
      <c r="E43" s="20">
        <v>294.95661527429183</v>
      </c>
      <c r="F43" s="20">
        <v>16.499916076660156</v>
      </c>
      <c r="G43" s="20">
        <v>-37.979866027832031</v>
      </c>
      <c r="H43" s="20">
        <v>7.6048714896419876</v>
      </c>
      <c r="I43" s="20">
        <v>0.85921915861503428</v>
      </c>
    </row>
    <row r="44" spans="1:9">
      <c r="A44" s="18">
        <v>222</v>
      </c>
      <c r="B44" s="20">
        <v>7.4035574764937824</v>
      </c>
      <c r="C44" s="20">
        <v>1.4035574764937824</v>
      </c>
      <c r="D44" s="20">
        <v>934.56149927219792</v>
      </c>
      <c r="E44" s="20">
        <v>295.26601164483259</v>
      </c>
      <c r="F44" s="20">
        <v>15.14096736907959</v>
      </c>
      <c r="G44" s="20">
        <v>-38.030406951904297</v>
      </c>
      <c r="H44" s="20">
        <v>7.5487664083239023</v>
      </c>
      <c r="I44" s="20">
        <v>0.82613115032485507</v>
      </c>
    </row>
    <row r="45" spans="1:9">
      <c r="A45" s="18">
        <v>223</v>
      </c>
      <c r="B45" s="20">
        <v>7.436906834496007</v>
      </c>
      <c r="C45" s="20">
        <v>1.436906834496007</v>
      </c>
      <c r="D45" s="20">
        <v>931.92699773728702</v>
      </c>
      <c r="E45" s="20">
        <v>295.55758008812671</v>
      </c>
      <c r="F45" s="20">
        <v>14.667098045349121</v>
      </c>
      <c r="G45" s="20">
        <v>-38.081233978271484</v>
      </c>
      <c r="H45" s="20">
        <v>7.6184929791346043</v>
      </c>
      <c r="I45" s="20">
        <v>0.84263448139721042</v>
      </c>
    </row>
    <row r="46" spans="1:9">
      <c r="A46" s="18">
        <v>224</v>
      </c>
      <c r="B46" s="20">
        <v>7.4702561924982307</v>
      </c>
      <c r="C46" s="20">
        <v>1.4702561924982307</v>
      </c>
      <c r="D46" s="20">
        <v>929.06681297244563</v>
      </c>
      <c r="E46" s="20">
        <v>295.87307973664957</v>
      </c>
      <c r="F46" s="20">
        <v>14.152649879455566</v>
      </c>
      <c r="G46" s="20">
        <v>-38.136226654052734</v>
      </c>
      <c r="H46" s="20">
        <v>7.5295128281067525</v>
      </c>
      <c r="I46" s="20">
        <v>0.8492275562423458</v>
      </c>
    </row>
    <row r="47" spans="1:9">
      <c r="A47" s="18">
        <v>225</v>
      </c>
      <c r="B47" s="20">
        <v>7.5036055505004553</v>
      </c>
      <c r="C47" s="20">
        <v>1.5036055505004553</v>
      </c>
      <c r="D47" s="20">
        <v>928.88047322844238</v>
      </c>
      <c r="E47" s="20">
        <v>295.86181241614827</v>
      </c>
      <c r="F47" s="20">
        <v>14.119158744812012</v>
      </c>
      <c r="G47" s="20">
        <v>-38.134059906005859</v>
      </c>
      <c r="H47" s="20">
        <v>7.528135688117529</v>
      </c>
      <c r="I47" s="20">
        <v>0.86605448423995102</v>
      </c>
    </row>
    <row r="48" spans="1:9">
      <c r="A48" s="18">
        <v>226</v>
      </c>
      <c r="B48" s="20">
        <v>7.536954908502679</v>
      </c>
      <c r="C48" s="20">
        <v>1.536954908502679</v>
      </c>
      <c r="D48" s="20">
        <v>919.73518915060674</v>
      </c>
      <c r="E48" s="20">
        <v>296.50154651439448</v>
      </c>
      <c r="F48" s="20">
        <v>12.474568367004395</v>
      </c>
      <c r="G48" s="20">
        <v>-38.243175506591797</v>
      </c>
      <c r="H48" s="20">
        <v>7.6225746793894631</v>
      </c>
      <c r="I48" s="20">
        <v>0.83279344106516551</v>
      </c>
    </row>
    <row r="49" spans="1:9">
      <c r="A49" s="18">
        <v>227</v>
      </c>
      <c r="B49" s="20">
        <v>7.5703042665049036</v>
      </c>
      <c r="C49" s="20">
        <v>1.5703042665049036</v>
      </c>
      <c r="D49" s="20">
        <v>917.69203029210246</v>
      </c>
      <c r="E49" s="20">
        <v>296.65801178026203</v>
      </c>
      <c r="F49" s="20">
        <v>12.107150077819824</v>
      </c>
      <c r="G49" s="20">
        <v>-38.270000457763672</v>
      </c>
      <c r="H49" s="20">
        <v>7.5830262122271224</v>
      </c>
      <c r="I49" s="20">
        <v>0.83085557872336091</v>
      </c>
    </row>
    <row r="50" spans="1:9">
      <c r="A50" s="18">
        <v>228</v>
      </c>
      <c r="B50" s="20">
        <v>7.6036536245071282</v>
      </c>
      <c r="C50" s="20">
        <v>1.6036536245071282</v>
      </c>
      <c r="D50" s="20">
        <v>913.94012258368684</v>
      </c>
      <c r="E50" s="20">
        <v>296.84123055162661</v>
      </c>
      <c r="F50" s="20">
        <v>11.432546615600586</v>
      </c>
      <c r="G50" s="20">
        <v>-38.300434112548828</v>
      </c>
      <c r="H50" s="20">
        <v>7.6578582828796868</v>
      </c>
      <c r="I50" s="20">
        <v>0.80501793018135792</v>
      </c>
    </row>
    <row r="51" spans="1:9">
      <c r="A51" s="18">
        <v>229</v>
      </c>
      <c r="B51" s="20">
        <v>7.6370029825093519</v>
      </c>
      <c r="C51" s="20">
        <v>1.6370029825093519</v>
      </c>
      <c r="D51" s="20">
        <v>909.7031288494702</v>
      </c>
      <c r="E51" s="20">
        <v>297.10445922641043</v>
      </c>
      <c r="F51" s="20">
        <v>10.670687675476074</v>
      </c>
      <c r="G51" s="20">
        <v>-38.344993591308594</v>
      </c>
      <c r="H51" s="20">
        <v>7.4908572080232423</v>
      </c>
      <c r="I51" s="20">
        <v>0.83247685536981997</v>
      </c>
    </row>
    <row r="52" spans="1:9">
      <c r="A52" s="18">
        <v>230</v>
      </c>
      <c r="B52" s="20">
        <v>7.6703523405115765</v>
      </c>
      <c r="C52" s="20">
        <v>1.6703523405115765</v>
      </c>
      <c r="D52" s="20">
        <v>900.44745721860681</v>
      </c>
      <c r="E52" s="20">
        <v>296.74680645938781</v>
      </c>
      <c r="F52" s="20">
        <v>9.0072755813598633</v>
      </c>
      <c r="G52" s="20">
        <v>-38.273708343505859</v>
      </c>
      <c r="H52" s="20">
        <v>7.5734490891479567</v>
      </c>
      <c r="I52" s="20">
        <v>0.82209374216299858</v>
      </c>
    </row>
    <row r="53" spans="1:9">
      <c r="A53" s="18">
        <v>231</v>
      </c>
      <c r="B53" s="20">
        <v>7.7037016985138003</v>
      </c>
      <c r="C53" s="20">
        <v>1.7037016985138003</v>
      </c>
      <c r="D53" s="20">
        <v>894.89734343070074</v>
      </c>
      <c r="E53" s="20">
        <v>296.75309532395715</v>
      </c>
      <c r="F53" s="20">
        <v>8.0096797943115234</v>
      </c>
      <c r="G53" s="20">
        <v>-38.270870208740234</v>
      </c>
      <c r="H53" s="20">
        <v>7.5830262122271224</v>
      </c>
      <c r="I53" s="20">
        <v>0.85428997873993284</v>
      </c>
    </row>
    <row r="54" spans="1:9">
      <c r="A54" s="18">
        <v>232</v>
      </c>
      <c r="B54" s="20">
        <v>7.7370510565160249</v>
      </c>
      <c r="C54" s="20">
        <v>1.7370510565160249</v>
      </c>
      <c r="D54" s="20">
        <v>890.49238578680206</v>
      </c>
      <c r="E54" s="20">
        <v>297.22359197486099</v>
      </c>
      <c r="F54" s="20">
        <v>7.2175321578979492</v>
      </c>
      <c r="G54" s="20">
        <v>-38.352775573730469</v>
      </c>
      <c r="H54" s="20">
        <v>7.5624889544774243</v>
      </c>
      <c r="I54" s="20">
        <v>0.82521536447800936</v>
      </c>
    </row>
    <row r="55" spans="1:9">
      <c r="A55" s="18">
        <v>233</v>
      </c>
      <c r="B55" s="20">
        <v>7.7704004145182495</v>
      </c>
      <c r="C55" s="20">
        <v>1.7704004145182495</v>
      </c>
      <c r="D55" s="20">
        <v>886.52377530243132</v>
      </c>
      <c r="E55" s="20">
        <v>297.43047071505572</v>
      </c>
      <c r="F55" s="20">
        <v>6.5040669441223145</v>
      </c>
      <c r="G55" s="20">
        <v>-38.387332916259766</v>
      </c>
      <c r="H55" s="20">
        <v>7.5966868722145788</v>
      </c>
      <c r="I55" s="20">
        <v>0.85737071867830994</v>
      </c>
    </row>
    <row r="56" spans="1:9">
      <c r="A56" s="18">
        <v>234</v>
      </c>
      <c r="B56" s="20">
        <v>7.8037497725204732</v>
      </c>
      <c r="C56" s="20">
        <v>1.8037497725204732</v>
      </c>
      <c r="D56" s="20">
        <v>880.28011506652285</v>
      </c>
      <c r="E56" s="20">
        <v>296.29461824283828</v>
      </c>
      <c r="F56" s="20">
        <v>5.3829154968261719</v>
      </c>
      <c r="G56" s="20">
        <v>-38.177532196044922</v>
      </c>
      <c r="H56" s="20">
        <v>7.5939567061345947</v>
      </c>
      <c r="I56" s="20">
        <v>0.81993183092252642</v>
      </c>
    </row>
    <row r="57" spans="1:9">
      <c r="A57" s="18">
        <v>235</v>
      </c>
      <c r="B57" s="20">
        <v>7.8370991305226978</v>
      </c>
      <c r="C57" s="20">
        <v>1.8370991305226978</v>
      </c>
      <c r="D57" s="20">
        <v>874.43311483369735</v>
      </c>
      <c r="E57" s="20">
        <v>295.60099538722989</v>
      </c>
      <c r="F57" s="20">
        <v>4.3327293395996094</v>
      </c>
      <c r="G57" s="20">
        <v>-38.047966003417969</v>
      </c>
      <c r="H57" s="20">
        <v>7.5460189045355959</v>
      </c>
      <c r="I57" s="20">
        <v>0.79568520877369797</v>
      </c>
    </row>
    <row r="58" spans="1:9">
      <c r="A58" s="18">
        <v>236</v>
      </c>
      <c r="B58" s="20">
        <v>7.8704484885249215</v>
      </c>
      <c r="C58" s="20">
        <v>1.8704484885249215</v>
      </c>
      <c r="D58" s="20">
        <v>868.88278931750745</v>
      </c>
      <c r="E58" s="20">
        <v>295.69819485657763</v>
      </c>
      <c r="F58" s="20">
        <v>3.3351905345916748</v>
      </c>
      <c r="G58" s="20">
        <v>-38.061569213867188</v>
      </c>
      <c r="H58" s="20">
        <v>7.4770031972602533</v>
      </c>
      <c r="I58" s="20">
        <v>0.80285769240870841</v>
      </c>
    </row>
    <row r="59" spans="1:9">
      <c r="A59" s="18">
        <v>237</v>
      </c>
      <c r="B59" s="20">
        <v>7.9037978465271461</v>
      </c>
      <c r="C59" s="20">
        <v>1.9037978465271461</v>
      </c>
      <c r="D59" s="20">
        <v>864.5457996571148</v>
      </c>
      <c r="E59" s="20">
        <v>295.1171932402645</v>
      </c>
      <c r="F59" s="20">
        <v>2.5563349723815918</v>
      </c>
      <c r="G59" s="20">
        <v>-37.953449249267578</v>
      </c>
      <c r="H59" s="20">
        <v>7.5129704877391674</v>
      </c>
      <c r="I59" s="20">
        <v>0.79241975892534033</v>
      </c>
    </row>
    <row r="60" spans="1:9">
      <c r="A60" s="18">
        <v>238</v>
      </c>
      <c r="B60" s="20">
        <v>7.9371472045293698</v>
      </c>
      <c r="C60" s="20">
        <v>1.9371472045293698</v>
      </c>
      <c r="D60" s="20">
        <v>861.6544655929722</v>
      </c>
      <c r="E60" s="20">
        <v>294.84272816007808</v>
      </c>
      <c r="F60" s="20">
        <v>2.0370206832885742</v>
      </c>
      <c r="G60" s="20">
        <v>-37.901775360107422</v>
      </c>
      <c r="H60" s="20">
        <v>7.5267582961586736</v>
      </c>
      <c r="I60" s="20">
        <v>0.79533092500760216</v>
      </c>
    </row>
    <row r="61" spans="1:9">
      <c r="A61" s="18">
        <v>239</v>
      </c>
      <c r="B61" s="20">
        <v>7.9704965625315944</v>
      </c>
      <c r="C61" s="20">
        <v>1.9704965625315944</v>
      </c>
      <c r="D61" s="20">
        <v>857.61246810061971</v>
      </c>
      <c r="E61" s="20">
        <v>294.13683315105112</v>
      </c>
      <c r="F61" s="20">
        <v>1.3113479614257813</v>
      </c>
      <c r="G61" s="20">
        <v>-37.771297454833984</v>
      </c>
      <c r="H61" s="20">
        <v>7.5418957721426034</v>
      </c>
      <c r="I61" s="20">
        <v>0.80493954253659594</v>
      </c>
    </row>
    <row r="62" spans="1:9">
      <c r="A62" s="18">
        <v>240</v>
      </c>
      <c r="B62" s="20">
        <v>8.0038459205338182</v>
      </c>
      <c r="C62" s="20">
        <v>2.0038459205338182</v>
      </c>
      <c r="D62" s="20">
        <v>845.87684260580113</v>
      </c>
      <c r="E62" s="20">
        <v>295.33024251069901</v>
      </c>
      <c r="F62" s="20">
        <v>-0.79852771759033203</v>
      </c>
      <c r="G62" s="20">
        <v>-37.978614807128906</v>
      </c>
      <c r="H62" s="20">
        <v>7.625294599076164</v>
      </c>
      <c r="I62" s="20">
        <v>0.78935853349026419</v>
      </c>
    </row>
    <row r="63" spans="1:9">
      <c r="A63" s="18">
        <v>241</v>
      </c>
      <c r="B63" s="20">
        <v>8.0371952785360428</v>
      </c>
      <c r="C63" s="20">
        <v>2.0371952785360428</v>
      </c>
      <c r="D63" s="20">
        <v>839.04032355426762</v>
      </c>
      <c r="E63" s="20">
        <v>296.4244838826512</v>
      </c>
      <c r="F63" s="20">
        <v>-2.0279502868652344</v>
      </c>
      <c r="G63" s="20">
        <v>-38.171504974365234</v>
      </c>
      <c r="H63" s="20">
        <v>7.5666008654044363</v>
      </c>
      <c r="I63" s="20">
        <v>0.77620880948728244</v>
      </c>
    </row>
    <row r="64" spans="1:9">
      <c r="A64" s="18">
        <v>242</v>
      </c>
      <c r="B64" s="20">
        <v>8.0705446365382674</v>
      </c>
      <c r="C64" s="20">
        <v>2.0705446365382674</v>
      </c>
      <c r="D64" s="20">
        <v>834.58961038961036</v>
      </c>
      <c r="E64" s="20">
        <v>295.58874458874459</v>
      </c>
      <c r="F64" s="20">
        <v>-2.8268184661865234</v>
      </c>
      <c r="G64" s="20">
        <v>-38.01727294921875</v>
      </c>
      <c r="H64" s="20">
        <v>7.4756163840799568</v>
      </c>
      <c r="I64" s="20">
        <v>0.7711473753938034</v>
      </c>
    </row>
    <row r="65" spans="1:9">
      <c r="A65" s="18">
        <v>243</v>
      </c>
      <c r="B65" s="20">
        <v>8.103893994540492</v>
      </c>
      <c r="C65" s="20">
        <v>2.103893994540492</v>
      </c>
      <c r="D65" s="20">
        <v>829.32134205426348</v>
      </c>
      <c r="E65" s="20">
        <v>294.9503391472868</v>
      </c>
      <c r="F65" s="20">
        <v>-3.7727205753326416</v>
      </c>
      <c r="G65" s="20">
        <v>-37.898124694824219</v>
      </c>
      <c r="H65" s="20">
        <v>7.5542584180779002</v>
      </c>
      <c r="I65" s="20">
        <v>0.75580502636065217</v>
      </c>
    </row>
    <row r="66" spans="1:9">
      <c r="A66" s="18">
        <v>244</v>
      </c>
      <c r="B66" s="20">
        <v>8.1372433525427166</v>
      </c>
      <c r="C66" s="20">
        <v>2.1372433525427166</v>
      </c>
      <c r="D66" s="20">
        <v>826.0316769435376</v>
      </c>
      <c r="E66" s="20">
        <v>294.61612864224395</v>
      </c>
      <c r="F66" s="20">
        <v>-4.3634157180786133</v>
      </c>
      <c r="G66" s="20">
        <v>-37.835369110107422</v>
      </c>
      <c r="H66" s="20">
        <v>7.5611178205790228</v>
      </c>
      <c r="I66" s="20">
        <v>0.78374633114397263</v>
      </c>
    </row>
    <row r="67" spans="1:9">
      <c r="A67" s="18">
        <v>245</v>
      </c>
      <c r="B67" s="20">
        <v>8.1705927105449394</v>
      </c>
      <c r="C67" s="20">
        <v>2.1705927105449394</v>
      </c>
      <c r="D67" s="20">
        <v>822.18766690944392</v>
      </c>
      <c r="E67" s="20">
        <v>294.55705268268997</v>
      </c>
      <c r="F67" s="20">
        <v>-5.0539546012878418</v>
      </c>
      <c r="G67" s="20">
        <v>-37.821952819824219</v>
      </c>
      <c r="H67" s="20">
        <v>7.5460189045355959</v>
      </c>
      <c r="I67" s="20">
        <v>0.75415719563457517</v>
      </c>
    </row>
    <row r="68" spans="1:9">
      <c r="A68" s="18">
        <v>246</v>
      </c>
      <c r="B68" s="20">
        <v>8.203942068547164</v>
      </c>
      <c r="C68" s="20">
        <v>2.203942068547164</v>
      </c>
      <c r="D68" s="20">
        <v>818.27563627378299</v>
      </c>
      <c r="E68" s="20">
        <v>294.22498146775388</v>
      </c>
      <c r="F68" s="20">
        <v>-5.7564282417297363</v>
      </c>
      <c r="G68" s="20">
        <v>-37.759140014648438</v>
      </c>
      <c r="H68" s="20">
        <v>7.4797760522405206</v>
      </c>
      <c r="I68" s="20">
        <v>0.7694837799619908</v>
      </c>
    </row>
    <row r="69" spans="1:9">
      <c r="A69" s="18">
        <v>247</v>
      </c>
      <c r="B69" s="20">
        <v>8.2372914265493886</v>
      </c>
      <c r="C69" s="20">
        <v>2.2372914265493886</v>
      </c>
      <c r="D69" s="20">
        <v>813.83284277655127</v>
      </c>
      <c r="E69" s="20">
        <v>293.87650233014466</v>
      </c>
      <c r="F69" s="20">
        <v>-6.5542120933532715</v>
      </c>
      <c r="G69" s="20">
        <v>-37.6929931640625</v>
      </c>
      <c r="H69" s="20">
        <v>7.5074482742126314</v>
      </c>
      <c r="I69" s="20">
        <v>0.73173817129030416</v>
      </c>
    </row>
    <row r="70" spans="1:9">
      <c r="A70" s="18">
        <v>248</v>
      </c>
      <c r="B70" s="20">
        <v>8.2706407845516132</v>
      </c>
      <c r="C70" s="20">
        <v>2.2706407845516132</v>
      </c>
      <c r="D70" s="20">
        <v>806.86625811103102</v>
      </c>
      <c r="E70" s="20">
        <v>293.67784186493628</v>
      </c>
      <c r="F70" s="20">
        <v>-7.8054776191711426</v>
      </c>
      <c r="G70" s="20">
        <v>-37.652122497558594</v>
      </c>
      <c r="H70" s="20">
        <v>7.5843933854487648</v>
      </c>
      <c r="I70" s="20">
        <v>0.72309617965958783</v>
      </c>
    </row>
    <row r="71" spans="1:9">
      <c r="A71" s="18">
        <v>249</v>
      </c>
      <c r="B71" s="20">
        <v>8.3039901425538378</v>
      </c>
      <c r="C71" s="20">
        <v>2.3039901425538378</v>
      </c>
      <c r="D71" s="20">
        <v>802.53739511127321</v>
      </c>
      <c r="E71" s="20">
        <v>293.71628359479507</v>
      </c>
      <c r="F71" s="20">
        <v>-8.5831222534179688</v>
      </c>
      <c r="G71" s="20">
        <v>-37.655975341796875</v>
      </c>
      <c r="H71" s="20">
        <v>7.5391457644770172</v>
      </c>
      <c r="I71" s="20">
        <v>0.73890212581372205</v>
      </c>
    </row>
    <row r="72" spans="1:9">
      <c r="A72" s="18">
        <v>250</v>
      </c>
      <c r="B72" s="20">
        <v>8.3373395005560607</v>
      </c>
      <c r="C72" s="20">
        <v>2.3373395005560607</v>
      </c>
      <c r="D72" s="20">
        <v>795.74340440910737</v>
      </c>
      <c r="E72" s="20">
        <v>293.97927960486686</v>
      </c>
      <c r="F72" s="20">
        <v>-9.8037805557250977</v>
      </c>
      <c r="G72" s="20">
        <v>-37.698654174804688</v>
      </c>
      <c r="H72" s="20">
        <v>7.5748179909375635</v>
      </c>
      <c r="I72" s="20">
        <v>0.75407248184277043</v>
      </c>
    </row>
    <row r="73" spans="1:9">
      <c r="A73" s="18">
        <v>251</v>
      </c>
      <c r="B73" s="20">
        <v>8.3706888585582853</v>
      </c>
      <c r="C73" s="20">
        <v>2.3706888585582853</v>
      </c>
      <c r="D73" s="20">
        <v>787.59076625574073</v>
      </c>
      <c r="E73" s="20">
        <v>294.27266134880347</v>
      </c>
      <c r="F73" s="20">
        <v>-11.268457412719727</v>
      </c>
      <c r="G73" s="20">
        <v>-37.745857238769531</v>
      </c>
      <c r="H73" s="20">
        <v>7.5624889544774243</v>
      </c>
      <c r="I73" s="20">
        <v>0.7814776477014026</v>
      </c>
    </row>
    <row r="74" spans="1:9">
      <c r="A74" s="18">
        <v>252</v>
      </c>
      <c r="B74" s="20">
        <v>8.4040382165605099</v>
      </c>
      <c r="C74" s="20">
        <v>2.4040382165605099</v>
      </c>
      <c r="D74" s="20">
        <v>781.88394352715954</v>
      </c>
      <c r="E74" s="20">
        <v>294.52907394113424</v>
      </c>
      <c r="F74" s="20">
        <v>-12.293734550476074</v>
      </c>
      <c r="G74" s="20">
        <v>-37.788116455078125</v>
      </c>
      <c r="H74" s="20">
        <v>7.6007802825909545</v>
      </c>
      <c r="I74" s="20">
        <v>0.77713500137774216</v>
      </c>
    </row>
    <row r="75" spans="1:9">
      <c r="A75" s="18">
        <v>253</v>
      </c>
      <c r="B75" s="20">
        <v>8.4373875745627345</v>
      </c>
      <c r="C75" s="20">
        <v>2.4373875745627345</v>
      </c>
      <c r="D75" s="20">
        <v>778.5034507809662</v>
      </c>
      <c r="E75" s="20">
        <v>294.83993219518101</v>
      </c>
      <c r="F75" s="20">
        <v>-12.901226997375488</v>
      </c>
      <c r="G75" s="20">
        <v>-37.841876983642578</v>
      </c>
      <c r="H75" s="20">
        <v>7.5556307967645031</v>
      </c>
      <c r="I75" s="20">
        <v>0.79509114218384702</v>
      </c>
    </row>
    <row r="76" spans="1:9">
      <c r="A76" s="18">
        <v>254</v>
      </c>
      <c r="B76" s="20">
        <v>8.4707369325649591</v>
      </c>
      <c r="C76" s="20">
        <v>2.4707369325649591</v>
      </c>
      <c r="D76" s="20">
        <v>778.24615011519336</v>
      </c>
      <c r="E76" s="20">
        <v>294.92166848550988</v>
      </c>
      <c r="F76" s="20">
        <v>-12.947530746459961</v>
      </c>
      <c r="G76" s="20">
        <v>-37.856460571289063</v>
      </c>
      <c r="H76" s="20">
        <v>7.5501397852857473</v>
      </c>
      <c r="I76" s="20">
        <v>0.79393590623443366</v>
      </c>
    </row>
    <row r="77" spans="1:9">
      <c r="A77" s="18">
        <v>255</v>
      </c>
      <c r="B77" s="20">
        <v>8.5040862905671819</v>
      </c>
      <c r="C77" s="20">
        <v>2.5040862905671819</v>
      </c>
      <c r="D77" s="20">
        <v>756.9045511292702</v>
      </c>
      <c r="E77" s="20">
        <v>303.6403359437067</v>
      </c>
      <c r="F77" s="20">
        <v>-16.789989471435547</v>
      </c>
      <c r="G77" s="20">
        <v>-39.416755676269531</v>
      </c>
      <c r="H77" s="20">
        <v>7.8040419579500249</v>
      </c>
      <c r="I77" s="20">
        <v>0.82035373721309457</v>
      </c>
    </row>
    <row r="78" spans="1:9">
      <c r="A78" s="18">
        <v>256</v>
      </c>
      <c r="B78" s="20">
        <v>8.5374356485694065</v>
      </c>
      <c r="C78" s="20">
        <v>2.5374356485694065</v>
      </c>
      <c r="D78" s="20">
        <v>762.70603769055333</v>
      </c>
      <c r="E78" s="20">
        <v>304.29624294802545</v>
      </c>
      <c r="F78" s="20">
        <v>-15.748760223388672</v>
      </c>
      <c r="G78" s="20">
        <v>-39.539463043212891</v>
      </c>
      <c r="H78" s="20">
        <v>7.5884934272215778</v>
      </c>
      <c r="I78" s="20">
        <v>0.8149169192942497</v>
      </c>
    </row>
    <row r="79" spans="1:9">
      <c r="A79" s="18">
        <v>257</v>
      </c>
      <c r="B79" s="20">
        <v>8.5707850065716311</v>
      </c>
      <c r="C79" s="20">
        <v>2.5707850065716311</v>
      </c>
      <c r="D79" s="20">
        <v>759.91223283310592</v>
      </c>
      <c r="E79" s="20">
        <v>309.64483856298318</v>
      </c>
      <c r="F79" s="20">
        <v>-16.256429672241211</v>
      </c>
      <c r="G79" s="20">
        <v>-40.504138946533203</v>
      </c>
      <c r="H79" s="20">
        <v>7.7973962597695134</v>
      </c>
      <c r="I79" s="20">
        <v>0.82539201729670719</v>
      </c>
    </row>
    <row r="80" spans="1:9">
      <c r="A80" s="18">
        <v>258</v>
      </c>
      <c r="B80" s="20">
        <v>8.6041343645738557</v>
      </c>
      <c r="C80" s="20">
        <v>2.6041343645738557</v>
      </c>
      <c r="D80" s="20">
        <v>764.37272941731533</v>
      </c>
      <c r="E80" s="20">
        <v>312.79712196272703</v>
      </c>
      <c r="F80" s="20">
        <v>-15.458713531494141</v>
      </c>
      <c r="G80" s="20">
        <v>-41.0771484375</v>
      </c>
      <c r="H80" s="20">
        <v>7.6551499332696462</v>
      </c>
      <c r="I80" s="20">
        <v>0.82655259551325078</v>
      </c>
    </row>
    <row r="81" spans="1:9">
      <c r="A81" s="18">
        <v>259</v>
      </c>
      <c r="B81" s="20">
        <v>8.6374837225760785</v>
      </c>
      <c r="C81" s="20">
        <v>2.6374837225760785</v>
      </c>
      <c r="D81" s="20">
        <v>768.59316361897925</v>
      </c>
      <c r="E81" s="20">
        <v>316.12023425361537</v>
      </c>
      <c r="F81" s="20">
        <v>-14.704245567321777</v>
      </c>
      <c r="G81" s="20">
        <v>-41.680915832519531</v>
      </c>
      <c r="H81" s="20">
        <v>7.6048714896419876</v>
      </c>
      <c r="I81" s="20">
        <v>0.79651579602758638</v>
      </c>
    </row>
    <row r="82" spans="1:9">
      <c r="A82" s="18">
        <v>260</v>
      </c>
      <c r="B82" s="20">
        <v>8.6708330805783032</v>
      </c>
      <c r="C82" s="20">
        <v>2.6708330805783032</v>
      </c>
      <c r="D82" s="20">
        <v>762.56703910614522</v>
      </c>
      <c r="E82" s="20">
        <v>322.94599627560518</v>
      </c>
      <c r="F82" s="20">
        <v>-15.794192314147949</v>
      </c>
      <c r="G82" s="20">
        <v>-42.910507202148438</v>
      </c>
      <c r="H82" s="20">
        <v>7.7064458161737805</v>
      </c>
      <c r="I82" s="20">
        <v>0.82443424011994926</v>
      </c>
    </row>
    <row r="83" spans="1:9">
      <c r="A83" s="18">
        <v>261</v>
      </c>
      <c r="B83" s="20">
        <v>8.7041824385805278</v>
      </c>
      <c r="C83" s="20">
        <v>2.7041824385805278</v>
      </c>
      <c r="D83" s="20">
        <v>768.85501501501494</v>
      </c>
      <c r="E83" s="20">
        <v>323.83855855855853</v>
      </c>
      <c r="F83" s="20">
        <v>-14.665584564208984</v>
      </c>
      <c r="G83" s="20">
        <v>-43.076473236083984</v>
      </c>
      <c r="H83" s="20">
        <v>7.5857603122662898</v>
      </c>
      <c r="I83" s="20">
        <v>0.80144493990562138</v>
      </c>
    </row>
    <row r="84" spans="1:9">
      <c r="A84" s="18">
        <v>262</v>
      </c>
      <c r="B84" s="20">
        <v>8.7375317965827524</v>
      </c>
      <c r="C84" s="20">
        <v>2.7375317965827524</v>
      </c>
      <c r="D84" s="20">
        <v>774.54994511525797</v>
      </c>
      <c r="E84" s="20">
        <v>323.98329064520061</v>
      </c>
      <c r="F84" s="20">
        <v>-13.642667770385742</v>
      </c>
      <c r="G84" s="20">
        <v>-43.106800079345703</v>
      </c>
      <c r="H84" s="20">
        <v>7.528135688117529</v>
      </c>
      <c r="I84" s="20">
        <v>0.80200502126757578</v>
      </c>
    </row>
    <row r="85" spans="1:9">
      <c r="A85" s="18">
        <v>263</v>
      </c>
      <c r="B85" s="20">
        <v>8.770881154584977</v>
      </c>
      <c r="C85" s="20">
        <v>2.770881154584977</v>
      </c>
      <c r="D85" s="20">
        <v>780.89888603256202</v>
      </c>
      <c r="E85" s="20">
        <v>323.93683437385238</v>
      </c>
      <c r="F85" s="20">
        <v>-12.502001762390137</v>
      </c>
      <c r="G85" s="20">
        <v>-43.103038787841797</v>
      </c>
      <c r="H85" s="20">
        <v>7.5143504070248861</v>
      </c>
      <c r="I85" s="20">
        <v>0.81747837208533214</v>
      </c>
    </row>
    <row r="86" spans="1:9">
      <c r="A86" s="18">
        <v>264</v>
      </c>
      <c r="B86" s="20">
        <v>8.8042305125871998</v>
      </c>
      <c r="C86" s="20">
        <v>2.8042305125871998</v>
      </c>
      <c r="D86" s="20">
        <v>786.48800783162005</v>
      </c>
      <c r="E86" s="20">
        <v>324.33761625061186</v>
      </c>
      <c r="F86" s="20">
        <v>-11.49826717376709</v>
      </c>
      <c r="G86" s="20">
        <v>-43.179592132568359</v>
      </c>
      <c r="H86" s="20">
        <v>7.5157300729516914</v>
      </c>
      <c r="I86" s="20">
        <v>0.80202160564229341</v>
      </c>
    </row>
    <row r="87" spans="1:9">
      <c r="A87" s="18">
        <v>265</v>
      </c>
      <c r="B87" s="20">
        <v>8.8375798705894244</v>
      </c>
      <c r="C87" s="20">
        <v>2.8375798705894244</v>
      </c>
      <c r="D87" s="20">
        <v>789.79917785032023</v>
      </c>
      <c r="E87" s="20">
        <v>324.43610204328371</v>
      </c>
      <c r="F87" s="20">
        <v>-10.903465270996094</v>
      </c>
      <c r="G87" s="20">
        <v>-43.199817657470703</v>
      </c>
      <c r="H87" s="20">
        <v>7.5611178205790228</v>
      </c>
      <c r="I87" s="20">
        <v>0.75961338462174055</v>
      </c>
    </row>
    <row r="88" spans="1:9">
      <c r="A88" s="18">
        <v>266</v>
      </c>
      <c r="B88" s="20">
        <v>8.870929228591649</v>
      </c>
      <c r="C88" s="20">
        <v>2.870929228591649</v>
      </c>
      <c r="D88" s="20">
        <v>794.27575541280032</v>
      </c>
      <c r="E88" s="20">
        <v>324.78182250773256</v>
      </c>
      <c r="F88" s="20">
        <v>-10.099514961242676</v>
      </c>
      <c r="G88" s="20">
        <v>-43.265605926513672</v>
      </c>
      <c r="H88" s="20">
        <v>7.6225746793894631</v>
      </c>
      <c r="I88" s="20">
        <v>0.78159808824854038</v>
      </c>
    </row>
    <row r="89" spans="1:9">
      <c r="A89" s="18">
        <v>267</v>
      </c>
      <c r="B89" s="20">
        <v>8.9042785865938736</v>
      </c>
      <c r="C89" s="20">
        <v>2.9042785865938736</v>
      </c>
      <c r="D89" s="20">
        <v>802.57019464720179</v>
      </c>
      <c r="E89" s="20">
        <v>324.7245742092457</v>
      </c>
      <c r="F89" s="20">
        <v>-8.6091184616088867</v>
      </c>
      <c r="G89" s="20">
        <v>-43.261318206787109</v>
      </c>
      <c r="H89" s="20">
        <v>7.53777038441185</v>
      </c>
      <c r="I89" s="20">
        <v>0.78508828471368464</v>
      </c>
    </row>
    <row r="90" spans="1:9">
      <c r="A90" s="18">
        <v>268</v>
      </c>
      <c r="B90" s="20">
        <v>8.9376279445960982</v>
      </c>
      <c r="C90" s="20">
        <v>2.9376279445960982</v>
      </c>
      <c r="D90" s="20">
        <v>808.40289535026375</v>
      </c>
      <c r="E90" s="20">
        <v>324.1207213838793</v>
      </c>
      <c r="F90" s="20">
        <v>-7.5604414939880371</v>
      </c>
      <c r="G90" s="20">
        <v>-43.156391143798828</v>
      </c>
      <c r="H90" s="20">
        <v>7.5060670860353254</v>
      </c>
      <c r="I90" s="20">
        <v>0.78105561516299959</v>
      </c>
    </row>
    <row r="91" spans="1:9">
      <c r="A91" s="18">
        <v>269</v>
      </c>
      <c r="B91" s="20">
        <v>8.970977302598321</v>
      </c>
      <c r="C91" s="20">
        <v>2.970977302598321</v>
      </c>
      <c r="D91" s="20">
        <v>816.11950617283946</v>
      </c>
      <c r="E91" s="20">
        <v>323.66493827160491</v>
      </c>
      <c r="F91" s="20">
        <v>-6.1733565330505371</v>
      </c>
      <c r="G91" s="20">
        <v>-43.079616546630859</v>
      </c>
      <c r="H91" s="20">
        <v>7.4825478796664937</v>
      </c>
      <c r="I91" s="20">
        <v>0.7912337903917358</v>
      </c>
    </row>
    <row r="92" spans="1:9">
      <c r="A92" s="18">
        <v>270</v>
      </c>
      <c r="B92" s="20">
        <v>9.0043266606005457</v>
      </c>
      <c r="C92" s="20">
        <v>3.0043266606005457</v>
      </c>
      <c r="D92" s="20">
        <v>820.00099317194281</v>
      </c>
      <c r="E92" s="20">
        <v>324.13556797020482</v>
      </c>
      <c r="F92" s="20">
        <v>-5.4763288497924805</v>
      </c>
      <c r="G92" s="20">
        <v>-43.167552947998047</v>
      </c>
      <c r="H92" s="20">
        <v>7.4617340761227196</v>
      </c>
      <c r="I92" s="20">
        <v>0.77185657833296373</v>
      </c>
    </row>
    <row r="93" spans="1:9">
      <c r="A93" s="18">
        <v>271</v>
      </c>
      <c r="B93" s="20">
        <v>9.0376760186027703</v>
      </c>
      <c r="C93" s="20">
        <v>3.0376760186027703</v>
      </c>
      <c r="D93" s="20">
        <v>824.62910456803581</v>
      </c>
      <c r="E93" s="20">
        <v>324.60886950199927</v>
      </c>
      <c r="F93" s="20">
        <v>-4.6451029777526855</v>
      </c>
      <c r="G93" s="20">
        <v>-43.256523132324219</v>
      </c>
      <c r="H93" s="20">
        <v>7.5528857900265809</v>
      </c>
      <c r="I93" s="20">
        <v>0.76985925990336346</v>
      </c>
    </row>
    <row r="94" spans="1:9">
      <c r="A94" s="18">
        <v>272</v>
      </c>
      <c r="B94" s="20">
        <v>9.0710253766049949</v>
      </c>
      <c r="C94" s="20">
        <v>3.0710253766049949</v>
      </c>
      <c r="D94" s="20">
        <v>832.88721444803252</v>
      </c>
      <c r="E94" s="20">
        <v>324.08025355818683</v>
      </c>
      <c r="F94" s="20">
        <v>-3.1604955196380615</v>
      </c>
      <c r="G94" s="20">
        <v>-43.166973114013672</v>
      </c>
      <c r="H94" s="20">
        <v>7.6021442629128542</v>
      </c>
      <c r="I94" s="20">
        <v>0.78351827185477541</v>
      </c>
    </row>
    <row r="95" spans="1:9">
      <c r="A95" s="18">
        <v>273</v>
      </c>
      <c r="B95" s="20">
        <v>9.1043747346072195</v>
      </c>
      <c r="C95" s="20">
        <v>3.1043747346072195</v>
      </c>
      <c r="D95" s="20">
        <v>840.10237068965512</v>
      </c>
      <c r="E95" s="20">
        <v>324.5663314176245</v>
      </c>
      <c r="F95" s="20">
        <v>-1.8642517328262329</v>
      </c>
      <c r="G95" s="20">
        <v>-43.260150909423828</v>
      </c>
      <c r="H95" s="20">
        <v>7.598051587373746</v>
      </c>
      <c r="I95" s="20">
        <v>0.75288506090322682</v>
      </c>
    </row>
    <row r="96" spans="1:9">
      <c r="A96" s="18">
        <v>274</v>
      </c>
      <c r="B96" s="20">
        <v>9.1377240926094423</v>
      </c>
      <c r="C96" s="20">
        <v>3.1377240926094423</v>
      </c>
      <c r="D96" s="20">
        <v>847.98263509411038</v>
      </c>
      <c r="E96" s="20">
        <v>323.94547662416511</v>
      </c>
      <c r="F96" s="20">
        <v>-0.44734370708465576</v>
      </c>
      <c r="G96" s="20">
        <v>-43.153633117675781</v>
      </c>
      <c r="H96" s="20">
        <v>7.5446447774360612</v>
      </c>
      <c r="I96" s="20">
        <v>0.76818017754806711</v>
      </c>
    </row>
    <row r="97" spans="1:9">
      <c r="A97" s="18">
        <v>275</v>
      </c>
      <c r="B97" s="20">
        <v>9.1710734506116669</v>
      </c>
      <c r="C97" s="20">
        <v>3.1710734506116669</v>
      </c>
      <c r="D97" s="20">
        <v>853.61932507890253</v>
      </c>
      <c r="E97" s="20">
        <v>322.99465889779071</v>
      </c>
      <c r="F97" s="20">
        <v>0.56667548418045044</v>
      </c>
      <c r="G97" s="20">
        <v>-42.985801696777344</v>
      </c>
      <c r="H97" s="20">
        <v>7.5460189045355959</v>
      </c>
      <c r="I97" s="20">
        <v>0.78680745487328108</v>
      </c>
    </row>
    <row r="98" spans="1:9">
      <c r="A98" s="18">
        <v>276</v>
      </c>
      <c r="B98" s="20">
        <v>9.2044228086138915</v>
      </c>
      <c r="C98" s="20">
        <v>3.2044228086138915</v>
      </c>
      <c r="D98" s="20">
        <v>861.51114323575462</v>
      </c>
      <c r="E98" s="20">
        <v>322.44416335381277</v>
      </c>
      <c r="F98" s="20">
        <v>1.9856865406036377</v>
      </c>
      <c r="G98" s="20">
        <v>-42.892009735107422</v>
      </c>
      <c r="H98" s="20">
        <v>7.5748179909375635</v>
      </c>
      <c r="I98" s="20">
        <v>0.76236860062747469</v>
      </c>
    </row>
    <row r="99" spans="1:9">
      <c r="A99" s="18">
        <v>277</v>
      </c>
      <c r="B99" s="20">
        <v>9.2377721666161161</v>
      </c>
      <c r="C99" s="20">
        <v>3.2377721666161161</v>
      </c>
      <c r="D99" s="20">
        <v>867.33223924142965</v>
      </c>
      <c r="E99" s="20">
        <v>322.74835886214441</v>
      </c>
      <c r="F99" s="20">
        <v>3.0317363739013672</v>
      </c>
      <c r="G99" s="20">
        <v>-42.951274871826172</v>
      </c>
      <c r="H99" s="20">
        <v>7.5405208936748602</v>
      </c>
      <c r="I99" s="20">
        <v>0.7698318330915308</v>
      </c>
    </row>
    <row r="100" spans="1:9">
      <c r="A100" s="18">
        <v>278</v>
      </c>
      <c r="B100" s="20">
        <v>9.2711215246183407</v>
      </c>
      <c r="C100" s="20">
        <v>3.2711215246183407</v>
      </c>
      <c r="D100" s="20">
        <v>872.83470975463786</v>
      </c>
      <c r="E100" s="20">
        <v>322.75846798324352</v>
      </c>
      <c r="F100" s="20">
        <v>4.020836353302002</v>
      </c>
      <c r="G100" s="20">
        <v>-42.957122802734375</v>
      </c>
      <c r="H100" s="20">
        <v>7.5994160574552083</v>
      </c>
      <c r="I100" s="20">
        <v>0.78295600667224985</v>
      </c>
    </row>
    <row r="101" spans="1:9">
      <c r="A101" s="18">
        <v>279</v>
      </c>
      <c r="B101" s="20">
        <v>9.3044708826205635</v>
      </c>
      <c r="C101" s="20">
        <v>3.3044708826205635</v>
      </c>
      <c r="D101" s="20">
        <v>878.94218310719953</v>
      </c>
      <c r="E101" s="20">
        <v>323.16672778388948</v>
      </c>
      <c r="F101" s="20">
        <v>5.1183676719665527</v>
      </c>
      <c r="G101" s="20">
        <v>-43.035423278808594</v>
      </c>
      <c r="H101" s="20">
        <v>7.51986755197301</v>
      </c>
      <c r="I101" s="20">
        <v>0.7716518400337643</v>
      </c>
    </row>
    <row r="102" spans="1:9">
      <c r="A102" s="18">
        <v>280</v>
      </c>
      <c r="B102" s="20">
        <v>9.3378202406227881</v>
      </c>
      <c r="C102" s="20">
        <v>3.3378202406227881</v>
      </c>
      <c r="D102" s="20">
        <v>884.70065549890751</v>
      </c>
      <c r="E102" s="20">
        <v>323.1283078417091</v>
      </c>
      <c r="F102" s="20">
        <v>6.1536054611206055</v>
      </c>
      <c r="G102" s="20">
        <v>-43.032680511474609</v>
      </c>
      <c r="H102" s="20">
        <v>7.5460189045355959</v>
      </c>
      <c r="I102" s="20">
        <v>0.76248664529701959</v>
      </c>
    </row>
    <row r="103" spans="1:9">
      <c r="A103" s="18">
        <v>281</v>
      </c>
      <c r="B103" s="20">
        <v>9.3711695986250128</v>
      </c>
      <c r="C103" s="20">
        <v>3.3711695986250128</v>
      </c>
      <c r="D103" s="20">
        <v>887.83155270655266</v>
      </c>
      <c r="E103" s="20">
        <v>323.45239791073124</v>
      </c>
      <c r="F103" s="20">
        <v>6.7161698341369629</v>
      </c>
      <c r="G103" s="20">
        <v>-43.093585968017578</v>
      </c>
      <c r="H103" s="20">
        <v>7.6307315299623522</v>
      </c>
      <c r="I103" s="20">
        <v>0.78327174706937597</v>
      </c>
    </row>
    <row r="104" spans="1:9">
      <c r="A104" s="18">
        <v>282</v>
      </c>
      <c r="B104" s="20">
        <v>9.4045189566272374</v>
      </c>
      <c r="C104" s="20">
        <v>3.4045189566272374</v>
      </c>
      <c r="D104" s="20">
        <v>893.59034433794818</v>
      </c>
      <c r="E104" s="20">
        <v>322.51082712105074</v>
      </c>
      <c r="F104" s="20">
        <v>7.7523093223571777</v>
      </c>
      <c r="G104" s="20">
        <v>-42.927497863769531</v>
      </c>
      <c r="H104" s="20">
        <v>7.6429504833931734</v>
      </c>
      <c r="I104" s="20">
        <v>0.79195226705952848</v>
      </c>
    </row>
    <row r="105" spans="1:9">
      <c r="A105" s="18">
        <v>283</v>
      </c>
      <c r="B105" s="20">
        <v>9.437868314629462</v>
      </c>
      <c r="C105" s="20">
        <v>3.437868314629462</v>
      </c>
      <c r="D105" s="20">
        <v>898.66824586977646</v>
      </c>
      <c r="E105" s="20">
        <v>322.9890670553936</v>
      </c>
      <c r="F105" s="20">
        <v>8.6648340225219727</v>
      </c>
      <c r="G105" s="20">
        <v>-43.017707824707031</v>
      </c>
      <c r="H105" s="20">
        <v>7.5432704000173461</v>
      </c>
      <c r="I105" s="20">
        <v>0.80412796937028097</v>
      </c>
    </row>
    <row r="106" spans="1:9">
      <c r="A106" s="18">
        <v>284</v>
      </c>
      <c r="B106" s="20">
        <v>9.4712176726316848</v>
      </c>
      <c r="C106" s="20">
        <v>3.4712176726316848</v>
      </c>
      <c r="D106" s="20">
        <v>904.02184611691268</v>
      </c>
      <c r="E106" s="20">
        <v>323.18233105269474</v>
      </c>
      <c r="F106" s="20">
        <v>9.6271982192993164</v>
      </c>
      <c r="G106" s="20">
        <v>-43.056575775146484</v>
      </c>
      <c r="H106" s="20">
        <v>7.5884934272215778</v>
      </c>
      <c r="I106" s="20">
        <v>0.777135283442981</v>
      </c>
    </row>
    <row r="107" spans="1:9">
      <c r="A107" s="18">
        <v>285</v>
      </c>
      <c r="B107" s="20">
        <v>9.5045670306339094</v>
      </c>
      <c r="C107" s="20">
        <v>3.5045670306339094</v>
      </c>
      <c r="D107" s="20">
        <v>909.95779220779218</v>
      </c>
      <c r="E107" s="20">
        <v>323.26491101491098</v>
      </c>
      <c r="F107" s="20">
        <v>10.694396018981934</v>
      </c>
      <c r="G107" s="20">
        <v>-43.075851440429688</v>
      </c>
      <c r="H107" s="20">
        <v>7.5816587924680601</v>
      </c>
      <c r="I107" s="20">
        <v>0.75443602835144141</v>
      </c>
    </row>
    <row r="108" spans="1:9">
      <c r="A108" s="18">
        <v>286</v>
      </c>
      <c r="B108" s="20">
        <v>9.537916388636134</v>
      </c>
      <c r="C108" s="20">
        <v>3.537916388636134</v>
      </c>
      <c r="D108" s="20">
        <v>915.05141644827142</v>
      </c>
      <c r="E108" s="20">
        <v>323.3685261450143</v>
      </c>
      <c r="F108" s="20">
        <v>11.61016845703125</v>
      </c>
      <c r="G108" s="20">
        <v>-43.098316192626953</v>
      </c>
      <c r="H108" s="20">
        <v>7.4422553412225643</v>
      </c>
      <c r="I108" s="20">
        <v>0.75233671367167543</v>
      </c>
    </row>
    <row r="109" spans="1:9">
      <c r="A109" s="18">
        <v>287</v>
      </c>
      <c r="B109" s="20">
        <v>9.5712657466383586</v>
      </c>
      <c r="C109" s="20">
        <v>3.5712657466383586</v>
      </c>
      <c r="D109" s="20">
        <v>920.27338915180201</v>
      </c>
      <c r="E109" s="20">
        <v>323.24268899405411</v>
      </c>
      <c r="F109" s="20">
        <v>12.549241065979004</v>
      </c>
      <c r="G109" s="20">
        <v>-43.079368591308594</v>
      </c>
      <c r="H109" s="20">
        <v>7.5473927814526762</v>
      </c>
      <c r="I109" s="20">
        <v>0.8246834683869172</v>
      </c>
    </row>
    <row r="110" spans="1:9">
      <c r="A110" s="18">
        <v>288</v>
      </c>
      <c r="B110" s="20">
        <v>9.6046151046405832</v>
      </c>
      <c r="C110" s="20">
        <v>3.6046151046405832</v>
      </c>
      <c r="D110" s="20">
        <v>926.05645645645643</v>
      </c>
      <c r="E110" s="20">
        <v>323.45465465465463</v>
      </c>
      <c r="F110" s="20">
        <v>13.588962554931641</v>
      </c>
      <c r="G110" s="20">
        <v>-43.121936798095703</v>
      </c>
      <c r="H110" s="20">
        <v>7.5857603122662898</v>
      </c>
      <c r="I110" s="20">
        <v>0.78886328089832147</v>
      </c>
    </row>
    <row r="111" spans="1:9">
      <c r="A111" s="18">
        <v>289</v>
      </c>
      <c r="B111" s="20">
        <v>9.637964462642806</v>
      </c>
      <c r="C111" s="20">
        <v>3.637964462642806</v>
      </c>
      <c r="D111" s="20">
        <v>932.28424987940173</v>
      </c>
      <c r="E111" s="20">
        <v>322.96683550410029</v>
      </c>
      <c r="F111" s="20">
        <v>14.709258079528809</v>
      </c>
      <c r="G111" s="20">
        <v>-43.038249969482422</v>
      </c>
      <c r="H111" s="20">
        <v>7.5707105430128072</v>
      </c>
      <c r="I111" s="20">
        <v>0.80464666189185907</v>
      </c>
    </row>
    <row r="112" spans="1:9">
      <c r="A112" s="18">
        <v>290</v>
      </c>
      <c r="B112" s="20">
        <v>9.6713138206450306</v>
      </c>
      <c r="C112" s="20">
        <v>3.6713138206450306</v>
      </c>
      <c r="D112" s="20">
        <v>938.38448727099683</v>
      </c>
      <c r="E112" s="20">
        <v>322.34463478467762</v>
      </c>
      <c r="F112" s="20">
        <v>15.806754112243652</v>
      </c>
      <c r="G112" s="20">
        <v>-42.930156707763672</v>
      </c>
      <c r="H112" s="20">
        <v>7.6225746793894631</v>
      </c>
      <c r="I112" s="20">
        <v>0.81570910188055534</v>
      </c>
    </row>
    <row r="113" spans="1:9">
      <c r="A113" s="18">
        <v>291</v>
      </c>
      <c r="B113" s="20">
        <v>9.7046631786472553</v>
      </c>
      <c r="C113" s="20">
        <v>3.7046631786472553</v>
      </c>
      <c r="D113" s="20">
        <v>945.15233622350672</v>
      </c>
      <c r="E113" s="20">
        <v>322.24927745664741</v>
      </c>
      <c r="F113" s="20">
        <v>17.02393913269043</v>
      </c>
      <c r="G113" s="20">
        <v>-42.917850494384766</v>
      </c>
      <c r="H113" s="20">
        <v>7.5761866453874251</v>
      </c>
      <c r="I113" s="20">
        <v>0.76859542517381307</v>
      </c>
    </row>
    <row r="114" spans="1:9">
      <c r="A114" s="18">
        <v>292</v>
      </c>
      <c r="B114" s="20">
        <v>9.7380125366494799</v>
      </c>
      <c r="C114" s="20">
        <v>3.7380125366494799</v>
      </c>
      <c r="D114" s="20">
        <v>948.0198185291307</v>
      </c>
      <c r="E114" s="20">
        <v>322.04942693409743</v>
      </c>
      <c r="F114" s="20">
        <v>17.539787292480469</v>
      </c>
      <c r="G114" s="20">
        <v>-42.883796691894531</v>
      </c>
      <c r="H114" s="20">
        <v>7.6089604969217488</v>
      </c>
      <c r="I114" s="20">
        <v>0.79111152733223933</v>
      </c>
    </row>
    <row r="115" spans="1:9">
      <c r="A115" s="18">
        <v>293</v>
      </c>
      <c r="B115" s="20">
        <v>9.7713618946517045</v>
      </c>
      <c r="C115" s="20">
        <v>3.7713618946517045</v>
      </c>
      <c r="D115" s="20">
        <v>951.03842010771996</v>
      </c>
      <c r="E115" s="20">
        <v>321.87839616995808</v>
      </c>
      <c r="F115" s="20">
        <v>18.082788467407227</v>
      </c>
      <c r="G115" s="20">
        <v>-42.855056762695313</v>
      </c>
      <c r="H115" s="20">
        <v>7.5994160574552083</v>
      </c>
      <c r="I115" s="20">
        <v>0.79170603399941419</v>
      </c>
    </row>
    <row r="116" spans="1:9">
      <c r="A116" s="18">
        <v>294</v>
      </c>
      <c r="B116" s="20">
        <v>9.8047112526539273</v>
      </c>
      <c r="C116" s="20">
        <v>3.8047112526539273</v>
      </c>
      <c r="D116" s="20">
        <v>957.23995354239253</v>
      </c>
      <c r="E116" s="20">
        <v>321.87677119628336</v>
      </c>
      <c r="F116" s="20">
        <v>19.198131561279297</v>
      </c>
      <c r="G116" s="20">
        <v>-42.859294891357422</v>
      </c>
      <c r="H116" s="20">
        <v>7.7145139870969572</v>
      </c>
      <c r="I116" s="20">
        <v>0.80947782482197173</v>
      </c>
    </row>
    <row r="117" spans="1:9">
      <c r="A117" s="18">
        <v>295</v>
      </c>
      <c r="B117" s="20">
        <v>9.8380606106561519</v>
      </c>
      <c r="C117" s="20">
        <v>3.8380606106561519</v>
      </c>
      <c r="D117" s="20">
        <v>963.94619422572168</v>
      </c>
      <c r="E117" s="20">
        <v>322.72560248150796</v>
      </c>
      <c r="F117" s="20">
        <v>20.403654098510742</v>
      </c>
      <c r="G117" s="20">
        <v>-43.017753601074219</v>
      </c>
      <c r="H117" s="20">
        <v>7.6116852814305451</v>
      </c>
      <c r="I117" s="20">
        <v>0.82650989426950483</v>
      </c>
    </row>
    <row r="118" spans="1:9">
      <c r="A118" s="18">
        <v>296</v>
      </c>
      <c r="B118" s="20">
        <v>9.8714099686583765</v>
      </c>
      <c r="C118" s="20">
        <v>3.8714099686583765</v>
      </c>
      <c r="D118" s="20">
        <v>970.38319088319088</v>
      </c>
      <c r="E118" s="20">
        <v>323.59425451092119</v>
      </c>
      <c r="F118" s="20">
        <v>21.560806274414063</v>
      </c>
      <c r="G118" s="20">
        <v>-43.179607391357422</v>
      </c>
      <c r="H118" s="20">
        <v>7.6307315299623522</v>
      </c>
      <c r="I118" s="20">
        <v>0.8306513168618721</v>
      </c>
    </row>
    <row r="119" spans="1:9">
      <c r="A119" s="18">
        <v>297</v>
      </c>
      <c r="B119" s="20">
        <v>9.9047593266606011</v>
      </c>
      <c r="C119" s="20">
        <v>3.9047593266606011</v>
      </c>
      <c r="D119" s="20">
        <v>975.74305555555543</v>
      </c>
      <c r="E119" s="20">
        <v>323.60546139359695</v>
      </c>
      <c r="F119" s="20">
        <v>22.524894714355469</v>
      </c>
      <c r="G119" s="20">
        <v>-43.185554504394531</v>
      </c>
      <c r="H119" s="20">
        <v>7.6632721105498076</v>
      </c>
      <c r="I119" s="20">
        <v>0.80244550079896926</v>
      </c>
    </row>
    <row r="120" spans="1:9">
      <c r="A120" s="18">
        <v>298</v>
      </c>
      <c r="B120" s="20">
        <v>9.9381086846628257</v>
      </c>
      <c r="C120" s="20">
        <v>3.9381086846628257</v>
      </c>
      <c r="D120" s="20">
        <v>979.43653914908828</v>
      </c>
      <c r="E120" s="20">
        <v>324.04445238946488</v>
      </c>
      <c r="F120" s="20">
        <v>23.188953399658203</v>
      </c>
      <c r="G120" s="20">
        <v>-43.267681121826172</v>
      </c>
      <c r="H120" s="20">
        <v>7.6157706302968791</v>
      </c>
      <c r="I120" s="20">
        <v>0.78632960401069496</v>
      </c>
    </row>
    <row r="121" spans="1:9">
      <c r="A121" s="18">
        <v>299</v>
      </c>
      <c r="B121" s="20">
        <v>9.9714580426650485</v>
      </c>
      <c r="C121" s="20">
        <v>3.9714580426650485</v>
      </c>
      <c r="D121" s="20">
        <v>986.47900448218911</v>
      </c>
      <c r="E121" s="20">
        <v>324.18719037508845</v>
      </c>
      <c r="F121" s="20">
        <v>24.455690383911133</v>
      </c>
      <c r="G121" s="20">
        <v>-43.298656463623047</v>
      </c>
      <c r="H121" s="20">
        <v>7.6551499332696462</v>
      </c>
      <c r="I121" s="20">
        <v>0.81886613388024876</v>
      </c>
    </row>
    <row r="122" spans="1:9">
      <c r="A122" s="18">
        <v>300</v>
      </c>
      <c r="B122" s="20">
        <v>10.004807400667273</v>
      </c>
      <c r="C122" s="20">
        <v>4.0048074006672731</v>
      </c>
      <c r="D122" s="20">
        <v>991.5163924862909</v>
      </c>
      <c r="E122" s="20">
        <v>324.44172208610428</v>
      </c>
      <c r="F122" s="20">
        <v>25.361703872680664</v>
      </c>
      <c r="G122" s="20">
        <v>-43.348392486572266</v>
      </c>
      <c r="H122" s="20">
        <v>7.6970222611224646</v>
      </c>
      <c r="I122" s="20">
        <v>0.770172701003212</v>
      </c>
    </row>
    <row r="123" spans="1:9">
      <c r="A123" s="18">
        <v>301</v>
      </c>
      <c r="B123" s="20">
        <v>10.038156758669498</v>
      </c>
      <c r="C123" s="20">
        <v>4.0381567586694977</v>
      </c>
      <c r="D123" s="20">
        <v>997.48150842730684</v>
      </c>
      <c r="E123" s="20">
        <v>325.28373954165153</v>
      </c>
      <c r="F123" s="20">
        <v>26.434232711791992</v>
      </c>
      <c r="G123" s="20">
        <v>-43.505111694335938</v>
      </c>
      <c r="H123" s="20">
        <v>7.5501397852857473</v>
      </c>
      <c r="I123" s="20">
        <v>0.77787712073810711</v>
      </c>
    </row>
    <row r="124" spans="1:9">
      <c r="A124" s="18">
        <v>302</v>
      </c>
      <c r="B124" s="20">
        <v>10.071506116671722</v>
      </c>
      <c r="C124" s="20">
        <v>4.0715061166717224</v>
      </c>
      <c r="D124" s="20">
        <v>1002.3630315989545</v>
      </c>
      <c r="E124" s="20">
        <v>325.42765502494655</v>
      </c>
      <c r="F124" s="20">
        <v>27.312353134155273</v>
      </c>
      <c r="G124" s="20">
        <v>-43.534725189208984</v>
      </c>
      <c r="H124" s="20">
        <v>7.6280135489215581</v>
      </c>
      <c r="I124" s="20">
        <v>0.77063550532480563</v>
      </c>
    </row>
    <row r="125" spans="1:9">
      <c r="A125" s="18">
        <v>303</v>
      </c>
      <c r="B125" s="20">
        <v>10.104855474673947</v>
      </c>
      <c r="C125" s="20">
        <v>4.104855474673947</v>
      </c>
      <c r="D125" s="20">
        <v>1009.8622304374613</v>
      </c>
      <c r="E125" s="20">
        <v>326.4978434996919</v>
      </c>
      <c r="F125" s="20">
        <v>28.660844802856445</v>
      </c>
      <c r="G125" s="20">
        <v>-43.733863830566406</v>
      </c>
      <c r="H125" s="20">
        <v>7.489472960167384</v>
      </c>
      <c r="I125" s="20">
        <v>0.81207454616317531</v>
      </c>
    </row>
    <row r="126" spans="1:9">
      <c r="A126" s="18">
        <v>304</v>
      </c>
      <c r="B126" s="20">
        <v>10.13820483267617</v>
      </c>
      <c r="C126" s="20">
        <v>4.1382048326761698</v>
      </c>
      <c r="D126" s="20">
        <v>1014.6238622386223</v>
      </c>
      <c r="E126" s="20">
        <v>326.68573185731856</v>
      </c>
      <c r="F126" s="20">
        <v>29.517436981201172</v>
      </c>
      <c r="G126" s="20">
        <v>-43.771354675292969</v>
      </c>
      <c r="H126" s="20">
        <v>7.4963916433611733</v>
      </c>
      <c r="I126" s="20">
        <v>0.82971815542566707</v>
      </c>
    </row>
    <row r="127" spans="1:9">
      <c r="A127" s="18">
        <v>305</v>
      </c>
      <c r="B127" s="20">
        <v>10.171554190678394</v>
      </c>
      <c r="C127" s="20">
        <v>4.1715541906783944</v>
      </c>
      <c r="D127" s="20">
        <v>1021.2676141885324</v>
      </c>
      <c r="E127" s="20">
        <v>326.65342565597666</v>
      </c>
      <c r="F127" s="20">
        <v>30.712871551513672</v>
      </c>
      <c r="G127" s="20">
        <v>-43.770378112792969</v>
      </c>
      <c r="H127" s="20">
        <v>7.5432704000173461</v>
      </c>
      <c r="I127" s="20">
        <v>0.83049480980572432</v>
      </c>
    </row>
    <row r="128" spans="1:9">
      <c r="A128" s="18">
        <v>306</v>
      </c>
      <c r="B128" s="20">
        <v>10.204903548680619</v>
      </c>
      <c r="C128" s="20">
        <v>4.204903548680619</v>
      </c>
      <c r="D128" s="20">
        <v>1024.3828861493837</v>
      </c>
      <c r="E128" s="20">
        <v>325.6560309402949</v>
      </c>
      <c r="F128" s="20">
        <v>31.274065017700195</v>
      </c>
      <c r="G128" s="20">
        <v>-43.592185974121094</v>
      </c>
      <c r="H128" s="20">
        <v>7.5624889544774243</v>
      </c>
      <c r="I128" s="20">
        <v>0.82521536176260846</v>
      </c>
    </row>
    <row r="129" spans="1:9">
      <c r="A129" s="18">
        <v>307</v>
      </c>
      <c r="B129" s="20">
        <v>10.238252906682844</v>
      </c>
      <c r="C129" s="20">
        <v>4.2382529066828436</v>
      </c>
      <c r="D129" s="20">
        <v>1029.9357531760436</v>
      </c>
      <c r="E129" s="20">
        <v>325.81899576527525</v>
      </c>
      <c r="F129" s="20">
        <v>32.273128509521484</v>
      </c>
      <c r="G129" s="20">
        <v>-43.625743865966797</v>
      </c>
      <c r="H129" s="20">
        <v>7.5583748065868592</v>
      </c>
      <c r="I129" s="20">
        <v>0.7883157770723298</v>
      </c>
    </row>
    <row r="130" spans="1:9">
      <c r="A130" s="18">
        <v>308</v>
      </c>
      <c r="B130" s="20">
        <v>10.271602264685068</v>
      </c>
      <c r="C130" s="20">
        <v>4.2716022646850682</v>
      </c>
      <c r="D130" s="20">
        <v>1033.9107725788901</v>
      </c>
      <c r="E130" s="20">
        <v>326.08245677668958</v>
      </c>
      <c r="F130" s="20">
        <v>32.988235473632813</v>
      </c>
      <c r="G130" s="20">
        <v>-43.67633056640625</v>
      </c>
      <c r="H130" s="20">
        <v>7.5611178205790228</v>
      </c>
      <c r="I130" s="20">
        <v>0.81062192485165874</v>
      </c>
    </row>
    <row r="131" spans="1:9">
      <c r="A131" s="18">
        <v>309</v>
      </c>
      <c r="B131" s="20">
        <v>10.304951622687291</v>
      </c>
      <c r="C131" s="20">
        <v>4.304951622687291</v>
      </c>
      <c r="D131" s="20">
        <v>1041.1960160301744</v>
      </c>
      <c r="E131" s="20">
        <v>326.09229137199435</v>
      </c>
      <c r="F131" s="20">
        <v>34.299213409423828</v>
      </c>
      <c r="G131" s="20">
        <v>-43.683452606201172</v>
      </c>
      <c r="H131" s="20">
        <v>7.6578582828796868</v>
      </c>
      <c r="I131" s="20">
        <v>0.83656763951964941</v>
      </c>
    </row>
    <row r="132" spans="1:9">
      <c r="A132" s="18">
        <v>310</v>
      </c>
      <c r="B132" s="20">
        <v>10.338300980689516</v>
      </c>
      <c r="C132" s="20">
        <v>4.3383009806895156</v>
      </c>
      <c r="D132" s="20">
        <v>1046.1924236940522</v>
      </c>
      <c r="E132" s="20">
        <v>325.58414766558087</v>
      </c>
      <c r="F132" s="20">
        <v>35.198650360107422</v>
      </c>
      <c r="G132" s="20">
        <v>-43.595157623291016</v>
      </c>
      <c r="H132" s="20">
        <v>7.5693408983986119</v>
      </c>
      <c r="I132" s="20">
        <v>0.82006796795645065</v>
      </c>
    </row>
    <row r="133" spans="1:9">
      <c r="A133" s="18">
        <v>311</v>
      </c>
      <c r="B133" s="20">
        <v>10.37165033869174</v>
      </c>
      <c r="C133" s="20">
        <v>4.3716503386917402</v>
      </c>
      <c r="D133" s="20">
        <v>1050.8987898789878</v>
      </c>
      <c r="E133" s="20">
        <v>325.59552621928862</v>
      </c>
      <c r="F133" s="20">
        <v>36.045619964599609</v>
      </c>
      <c r="G133" s="20">
        <v>-43.600666046142578</v>
      </c>
      <c r="H133" s="20">
        <v>7.51986755197301</v>
      </c>
      <c r="I133" s="20">
        <v>0.79650419246684467</v>
      </c>
    </row>
    <row r="134" spans="1:9">
      <c r="A134" s="18">
        <v>312</v>
      </c>
      <c r="B134" s="20">
        <v>10.404999696693965</v>
      </c>
      <c r="C134" s="20">
        <v>4.4049996966939649</v>
      </c>
      <c r="D134" s="20">
        <v>1056.1494616104869</v>
      </c>
      <c r="E134" s="20">
        <v>324.88916198501869</v>
      </c>
      <c r="F134" s="20">
        <v>36.990974426269531</v>
      </c>
      <c r="G134" s="20">
        <v>-43.4766845703125</v>
      </c>
      <c r="H134" s="20">
        <v>7.6848892821547166</v>
      </c>
      <c r="I134" s="20">
        <v>0.81982846356519878</v>
      </c>
    </row>
    <row r="135" spans="1:9">
      <c r="A135" s="18">
        <v>313</v>
      </c>
      <c r="B135" s="20">
        <v>10.438349054696189</v>
      </c>
      <c r="C135" s="20">
        <v>4.4383490546961895</v>
      </c>
      <c r="D135" s="20">
        <v>1062.9198146828226</v>
      </c>
      <c r="E135" s="20">
        <v>325.00344499881203</v>
      </c>
      <c r="F135" s="20">
        <v>38.209392547607422</v>
      </c>
      <c r="G135" s="20">
        <v>-43.502326965332031</v>
      </c>
      <c r="H135" s="20">
        <v>7.6280135489215581</v>
      </c>
      <c r="I135" s="20">
        <v>0.7863053216811724</v>
      </c>
    </row>
    <row r="136" spans="1:9">
      <c r="A136" s="18">
        <v>314</v>
      </c>
      <c r="B136" s="20">
        <v>10.471698412698412</v>
      </c>
      <c r="C136" s="20">
        <v>4.4716984126984123</v>
      </c>
      <c r="D136" s="20">
        <v>1067.0261413843889</v>
      </c>
      <c r="E136" s="20">
        <v>324.60738831615117</v>
      </c>
      <c r="F136" s="20">
        <v>38.948673248291016</v>
      </c>
      <c r="G136" s="20">
        <v>-43.433662414550781</v>
      </c>
      <c r="H136" s="20">
        <v>7.5046856436593981</v>
      </c>
      <c r="I136" s="20">
        <v>0.81811889831841611</v>
      </c>
    </row>
    <row r="137" spans="1:9">
      <c r="A137" s="18">
        <v>315</v>
      </c>
      <c r="B137" s="20">
        <v>10.505047770700637</v>
      </c>
      <c r="C137" s="20">
        <v>4.5050477707006369</v>
      </c>
      <c r="D137" s="20">
        <v>1070.25</v>
      </c>
      <c r="E137" s="20">
        <v>323.88265306122452</v>
      </c>
      <c r="F137" s="20">
        <v>39.529327392578125</v>
      </c>
      <c r="G137" s="20">
        <v>-43.304862976074219</v>
      </c>
      <c r="H137" s="20">
        <v>7.5432704000173461</v>
      </c>
      <c r="I137" s="20">
        <v>0.79510568825387229</v>
      </c>
    </row>
    <row r="138" spans="1:9">
      <c r="A138" s="18">
        <v>316</v>
      </c>
      <c r="B138" s="20">
        <v>10.538397128702861</v>
      </c>
      <c r="C138" s="20">
        <v>4.5383971287028615</v>
      </c>
      <c r="D138" s="20">
        <v>1076.5314917127073</v>
      </c>
      <c r="E138" s="20">
        <v>323.63474524247999</v>
      </c>
      <c r="F138" s="20">
        <v>40.660049438476563</v>
      </c>
      <c r="G138" s="20">
        <v>-43.264595031738281</v>
      </c>
      <c r="H138" s="20">
        <v>7.5033039469444454</v>
      </c>
      <c r="I138" s="20">
        <v>0.76825623237684992</v>
      </c>
    </row>
    <row r="139" spans="1:9">
      <c r="A139" s="18">
        <v>317</v>
      </c>
      <c r="B139" s="20">
        <v>10.571746486705086</v>
      </c>
      <c r="C139" s="20">
        <v>4.5717464867050861</v>
      </c>
      <c r="D139" s="20">
        <v>1082.6403128760528</v>
      </c>
      <c r="E139" s="20">
        <v>323.79037304452464</v>
      </c>
      <c r="F139" s="20">
        <v>41.759498596191406</v>
      </c>
      <c r="G139" s="20">
        <v>-43.297233581542969</v>
      </c>
      <c r="H139" s="20">
        <v>7.5789232128038808</v>
      </c>
      <c r="I139" s="20">
        <v>0.79891176344740533</v>
      </c>
    </row>
    <row r="140" spans="1:9">
      <c r="A140" s="18">
        <v>318</v>
      </c>
      <c r="B140" s="20">
        <v>10.605095844707311</v>
      </c>
      <c r="C140" s="20">
        <v>4.6050958447073107</v>
      </c>
      <c r="D140" s="20">
        <v>1087.6060497369679</v>
      </c>
      <c r="E140" s="20">
        <v>323.56755141080822</v>
      </c>
      <c r="F140" s="20">
        <v>42.653465270996094</v>
      </c>
      <c r="G140" s="20">
        <v>-43.260543823242188</v>
      </c>
      <c r="H140" s="20">
        <v>7.6035079985526526</v>
      </c>
      <c r="I140" s="20">
        <v>0.79515225425503233</v>
      </c>
    </row>
    <row r="141" spans="1:9">
      <c r="A141" s="18">
        <v>319</v>
      </c>
      <c r="B141" s="20">
        <v>10.638445202709534</v>
      </c>
      <c r="C141" s="20">
        <v>4.6384452027095335</v>
      </c>
      <c r="D141" s="20">
        <v>1095.1973606692588</v>
      </c>
      <c r="E141" s="20">
        <v>323.70790620949685</v>
      </c>
      <c r="F141" s="20">
        <v>44.019874572753906</v>
      </c>
      <c r="G141" s="20">
        <v>-43.291500091552734</v>
      </c>
      <c r="H141" s="20">
        <v>7.6592120985506327</v>
      </c>
      <c r="I141" s="20">
        <v>0.83017643939363239</v>
      </c>
    </row>
    <row r="142" spans="1:9">
      <c r="A142" s="18">
        <v>320</v>
      </c>
      <c r="B142" s="20">
        <v>10.671794560711758</v>
      </c>
      <c r="C142" s="20">
        <v>4.6717945607117581</v>
      </c>
      <c r="D142" s="20">
        <v>1098.1284113060428</v>
      </c>
      <c r="E142" s="20">
        <v>322.48440545808967</v>
      </c>
      <c r="F142" s="20">
        <v>44.548133850097656</v>
      </c>
      <c r="G142" s="20">
        <v>-43.072208404541016</v>
      </c>
      <c r="H142" s="20">
        <v>7.5322663527290965</v>
      </c>
      <c r="I142" s="20">
        <v>0.76814730076412663</v>
      </c>
    </row>
    <row r="143" spans="1:9">
      <c r="A143" s="18">
        <v>321</v>
      </c>
      <c r="B143" s="20">
        <v>10.705143918713983</v>
      </c>
      <c r="C143" s="20">
        <v>4.7051439187139827</v>
      </c>
      <c r="D143" s="20">
        <v>1101.3781076514601</v>
      </c>
      <c r="E143" s="20">
        <v>320.76755973931932</v>
      </c>
      <c r="F143" s="20">
        <v>45.133995056152344</v>
      </c>
      <c r="G143" s="20">
        <v>-42.763866424560547</v>
      </c>
      <c r="H143" s="20">
        <v>7.5679710059073653</v>
      </c>
      <c r="I143" s="20">
        <v>0.8003213948256358</v>
      </c>
    </row>
    <row r="144" spans="1:9">
      <c r="A144" s="18">
        <v>322</v>
      </c>
      <c r="B144" s="20">
        <v>10.738493276716207</v>
      </c>
      <c r="C144" s="20">
        <v>4.7384932767162073</v>
      </c>
      <c r="D144" s="20">
        <v>1106.8730613218802</v>
      </c>
      <c r="E144" s="20">
        <v>320.29098067287043</v>
      </c>
      <c r="F144" s="20">
        <v>46.123420715332031</v>
      </c>
      <c r="G144" s="20">
        <v>-42.681629180908203</v>
      </c>
      <c r="H144" s="20">
        <v>7.6116852814305451</v>
      </c>
      <c r="I144" s="20">
        <v>0.79686348579216637</v>
      </c>
    </row>
    <row r="145" spans="1:9">
      <c r="A145" s="18">
        <v>323</v>
      </c>
      <c r="B145" s="20">
        <v>10.771842634718432</v>
      </c>
      <c r="C145" s="20">
        <v>4.771842634718432</v>
      </c>
      <c r="D145" s="20">
        <v>1112.5925794215266</v>
      </c>
      <c r="E145" s="20">
        <v>320.08629682313892</v>
      </c>
      <c r="F145" s="20">
        <v>47.153148651123047</v>
      </c>
      <c r="G145" s="20">
        <v>-42.648761749267578</v>
      </c>
      <c r="H145" s="20">
        <v>7.6361645897677644</v>
      </c>
      <c r="I145" s="20">
        <v>0.80571834053301761</v>
      </c>
    </row>
    <row r="146" spans="1:9">
      <c r="A146" s="18">
        <v>324</v>
      </c>
      <c r="B146" s="20">
        <v>10.805191992720655</v>
      </c>
      <c r="C146" s="20">
        <v>4.8051919927206548</v>
      </c>
      <c r="D146" s="20">
        <v>1113.9549676660786</v>
      </c>
      <c r="E146" s="20">
        <v>318.32557319223986</v>
      </c>
      <c r="F146" s="20">
        <v>47.399288177490234</v>
      </c>
      <c r="G146" s="20">
        <v>-42.331096649169922</v>
      </c>
      <c r="H146" s="20">
        <v>7.6673299726877939</v>
      </c>
      <c r="I146" s="20">
        <v>0.80591978814642462</v>
      </c>
    </row>
    <row r="147" spans="1:9">
      <c r="A147" s="18">
        <v>325</v>
      </c>
      <c r="B147" s="20">
        <v>10.838541350722879</v>
      </c>
      <c r="C147" s="20">
        <v>4.8385413507228794</v>
      </c>
      <c r="D147" s="20">
        <v>1119.7605154388523</v>
      </c>
      <c r="E147" s="20">
        <v>318.11548747872598</v>
      </c>
      <c r="F147" s="20">
        <v>48.444534301757813</v>
      </c>
      <c r="G147" s="20">
        <v>-42.297306060791016</v>
      </c>
      <c r="H147" s="20">
        <v>7.5405208936748602</v>
      </c>
      <c r="I147" s="20">
        <v>0.79978891705405775</v>
      </c>
    </row>
    <row r="148" spans="1:9">
      <c r="A148" s="18">
        <v>326</v>
      </c>
      <c r="B148" s="20">
        <v>10.871890708725104</v>
      </c>
      <c r="C148" s="20">
        <v>4.871890708725104</v>
      </c>
      <c r="D148" s="20">
        <v>1123.4105173876164</v>
      </c>
      <c r="E148" s="20">
        <v>316.93469041560644</v>
      </c>
      <c r="F148" s="20">
        <v>49.102214813232422</v>
      </c>
      <c r="G148" s="20">
        <v>-42.086269378662109</v>
      </c>
      <c r="H148" s="20">
        <v>7.5528857900265809</v>
      </c>
      <c r="I148" s="20">
        <v>0.7579602530994517</v>
      </c>
    </row>
    <row r="149" spans="1:9">
      <c r="A149" s="18">
        <v>327</v>
      </c>
      <c r="B149" s="20">
        <v>10.905240066727329</v>
      </c>
      <c r="C149" s="20">
        <v>4.9052400667273286</v>
      </c>
      <c r="D149" s="20">
        <v>1131.4613371401379</v>
      </c>
      <c r="E149" s="20">
        <v>317.66785629312392</v>
      </c>
      <c r="F149" s="20">
        <v>50.551303863525391</v>
      </c>
      <c r="G149" s="20">
        <v>-42.224822998046875</v>
      </c>
      <c r="H149" s="20">
        <v>7.6225746793894631</v>
      </c>
      <c r="I149" s="20">
        <v>0.7902985643357886</v>
      </c>
    </row>
    <row r="150" spans="1:9">
      <c r="A150" s="18">
        <v>328</v>
      </c>
      <c r="B150" s="20">
        <v>10.938589424729551</v>
      </c>
      <c r="C150" s="20">
        <v>4.9385894247295514</v>
      </c>
      <c r="D150" s="20">
        <v>1133.9011593163618</v>
      </c>
      <c r="E150" s="20">
        <v>315.18823951237005</v>
      </c>
      <c r="F150" s="20">
        <v>50.991706848144531</v>
      </c>
      <c r="G150" s="20">
        <v>-41.77783203125</v>
      </c>
      <c r="H150" s="20">
        <v>7.6048714896419876</v>
      </c>
      <c r="I150" s="20">
        <v>0.75184167416799375</v>
      </c>
    </row>
    <row r="151" spans="1:9">
      <c r="A151" s="18">
        <v>329</v>
      </c>
      <c r="B151" s="20">
        <v>10.971938782731776</v>
      </c>
      <c r="C151" s="20">
        <v>4.971938782731776</v>
      </c>
      <c r="D151" s="20">
        <v>1135.6589561091339</v>
      </c>
      <c r="E151" s="20">
        <v>310.9609727164887</v>
      </c>
      <c r="F151" s="20">
        <v>51.310104370117188</v>
      </c>
      <c r="G151" s="20">
        <v>-41.014091491699219</v>
      </c>
      <c r="H151" s="20">
        <v>7.6334485432334152</v>
      </c>
      <c r="I151" s="20">
        <v>0.77173405792919181</v>
      </c>
    </row>
    <row r="152" spans="1:9">
      <c r="A152" s="18">
        <v>330</v>
      </c>
      <c r="B152" s="20">
        <v>11.005288140734001</v>
      </c>
      <c r="C152" s="20">
        <v>5.0052881407340006</v>
      </c>
      <c r="D152" s="20">
        <v>1139.6946353224835</v>
      </c>
      <c r="E152" s="20">
        <v>307.61904761904759</v>
      </c>
      <c r="F152" s="20">
        <v>52.038166046142578</v>
      </c>
      <c r="G152" s="20">
        <v>-40.412261962890625</v>
      </c>
      <c r="H152" s="20">
        <v>7.5720799398844596</v>
      </c>
      <c r="I152" s="20">
        <v>0.81139549484743501</v>
      </c>
    </row>
    <row r="153" spans="1:9">
      <c r="A153" s="18">
        <v>331</v>
      </c>
      <c r="B153" s="20">
        <v>11.038637498736225</v>
      </c>
      <c r="C153" s="20">
        <v>5.0386374987362252</v>
      </c>
      <c r="D153" s="20">
        <v>1140.5097546379413</v>
      </c>
      <c r="E153" s="20">
        <v>302.59916217833631</v>
      </c>
      <c r="F153" s="20">
        <v>52.187164306640625</v>
      </c>
      <c r="G153" s="20">
        <v>-39.504512786865234</v>
      </c>
      <c r="H153" s="20">
        <v>7.5994160574552083</v>
      </c>
      <c r="I153" s="20">
        <v>0.84408097272524396</v>
      </c>
    </row>
    <row r="154" spans="1:9">
      <c r="A154" s="18">
        <v>332</v>
      </c>
      <c r="B154" s="20">
        <v>11.07198685673845</v>
      </c>
      <c r="C154" s="20">
        <v>5.0719868567384498</v>
      </c>
      <c r="D154" s="20">
        <v>1145.7892733975502</v>
      </c>
      <c r="E154" s="20">
        <v>300.11713640147457</v>
      </c>
      <c r="F154" s="20">
        <v>53.138713836669922</v>
      </c>
      <c r="G154" s="20">
        <v>-39.059223175048828</v>
      </c>
      <c r="H154" s="20">
        <v>7.6239347605278427</v>
      </c>
      <c r="I154" s="20">
        <v>0.82254668067173975</v>
      </c>
    </row>
    <row r="155" spans="1:9">
      <c r="A155" s="18">
        <v>333</v>
      </c>
      <c r="B155" s="20">
        <v>11.105336214740673</v>
      </c>
      <c r="C155" s="20">
        <v>5.1053362147406727</v>
      </c>
      <c r="D155" s="20">
        <v>1137.4544679814949</v>
      </c>
      <c r="E155" s="20">
        <v>293.9279279279279</v>
      </c>
      <c r="F155" s="20">
        <v>51.641048431396484</v>
      </c>
      <c r="G155" s="20">
        <v>-37.933498382568359</v>
      </c>
      <c r="H155" s="20">
        <v>7.5350188711300268</v>
      </c>
      <c r="I155" s="20">
        <v>0.8192312039543227</v>
      </c>
    </row>
    <row r="156" spans="1:9">
      <c r="A156" s="18">
        <v>334</v>
      </c>
      <c r="B156" s="20">
        <v>11.138685572742897</v>
      </c>
      <c r="C156" s="20">
        <v>5.1386855727428973</v>
      </c>
      <c r="D156" s="20">
        <v>1133.7611976337075</v>
      </c>
      <c r="E156" s="20">
        <v>290.60437039719909</v>
      </c>
      <c r="F156" s="20">
        <v>50.977767944335938</v>
      </c>
      <c r="G156" s="20">
        <v>-37.329631805419922</v>
      </c>
      <c r="H156" s="20">
        <v>7.5666008654044363</v>
      </c>
      <c r="I156" s="20">
        <v>0.81022168581329757</v>
      </c>
    </row>
    <row r="157" spans="1:9">
      <c r="A157" s="18">
        <v>335</v>
      </c>
      <c r="B157" s="20">
        <v>11.172034930745122</v>
      </c>
      <c r="C157" s="20">
        <v>5.1720349307451219</v>
      </c>
      <c r="D157" s="20">
        <v>1132.882218203737</v>
      </c>
      <c r="E157" s="20">
        <v>289.77383966244724</v>
      </c>
      <c r="F157" s="20">
        <v>50.819927215576172</v>
      </c>
      <c r="G157" s="20">
        <v>-37.178768157958984</v>
      </c>
      <c r="H157" s="20">
        <v>7.5720799398844596</v>
      </c>
      <c r="I157" s="20">
        <v>0.85182537881068965</v>
      </c>
    </row>
    <row r="158" spans="1:9">
      <c r="A158" s="18">
        <v>336</v>
      </c>
      <c r="B158" s="20">
        <v>11.205384288747346</v>
      </c>
      <c r="C158" s="20">
        <v>5.2053842887473465</v>
      </c>
      <c r="D158" s="20">
        <v>1133.9984207968901</v>
      </c>
      <c r="E158" s="20">
        <v>290.37548590864913</v>
      </c>
      <c r="F158" s="20">
        <v>51.020565032958984</v>
      </c>
      <c r="G158" s="20">
        <v>-37.288394927978516</v>
      </c>
      <c r="H158" s="20">
        <v>7.5432704000173461</v>
      </c>
      <c r="I158" s="20">
        <v>0.80791016104951974</v>
      </c>
    </row>
    <row r="159" spans="1:9">
      <c r="A159" s="18">
        <v>337</v>
      </c>
      <c r="B159" s="20">
        <v>11.238733646749571</v>
      </c>
      <c r="C159" s="20">
        <v>5.2387336467495711</v>
      </c>
      <c r="D159" s="20">
        <v>1121.1495618773256</v>
      </c>
      <c r="E159" s="20">
        <v>287.07178009842755</v>
      </c>
      <c r="F159" s="20">
        <v>48.709480285644531</v>
      </c>
      <c r="G159" s="20">
        <v>-36.681659698486328</v>
      </c>
      <c r="H159" s="20">
        <v>7.5884934272215778</v>
      </c>
      <c r="I159" s="20">
        <v>0.82422321238504159</v>
      </c>
    </row>
    <row r="160" spans="1:9">
      <c r="A160" s="18">
        <v>338</v>
      </c>
      <c r="B160" s="20">
        <v>11.272083004751794</v>
      </c>
      <c r="C160" s="20">
        <v>5.2720830047517939</v>
      </c>
      <c r="D160" s="20">
        <v>1114.1706629055006</v>
      </c>
      <c r="E160" s="20">
        <v>287.32393041842971</v>
      </c>
      <c r="F160" s="20">
        <v>47.453346252441406</v>
      </c>
      <c r="G160" s="20">
        <v>-36.722309112548828</v>
      </c>
      <c r="H160" s="20">
        <v>7.6686821162434411</v>
      </c>
      <c r="I160" s="20">
        <v>0.79988819716498805</v>
      </c>
    </row>
    <row r="161" spans="1:9">
      <c r="A161" s="18">
        <v>339</v>
      </c>
      <c r="B161" s="20">
        <v>11.305432362754019</v>
      </c>
      <c r="C161" s="20">
        <v>5.3054323627540185</v>
      </c>
      <c r="D161" s="20">
        <v>1108.1276127612762</v>
      </c>
      <c r="E161" s="20">
        <v>287.28602860286031</v>
      </c>
      <c r="F161" s="20">
        <v>46.365814208984375</v>
      </c>
      <c r="G161" s="20">
        <v>-36.711154937744141</v>
      </c>
      <c r="H161" s="20">
        <v>7.51986755197301</v>
      </c>
      <c r="I161" s="20">
        <v>0.82257679428430708</v>
      </c>
    </row>
    <row r="162" spans="1:9">
      <c r="A162" s="18">
        <v>340</v>
      </c>
      <c r="B162" s="20">
        <v>11.338781720756243</v>
      </c>
      <c r="C162" s="20">
        <v>5.3387817207562431</v>
      </c>
      <c r="D162" s="20">
        <v>1103.3663708086785</v>
      </c>
      <c r="E162" s="20">
        <v>287.97707100591714</v>
      </c>
      <c r="F162" s="20">
        <v>45.508632659912109</v>
      </c>
      <c r="G162" s="20">
        <v>-36.832752227783203</v>
      </c>
      <c r="H162" s="20">
        <v>7.4880884564195043</v>
      </c>
      <c r="I162" s="20">
        <v>0.85982541645442134</v>
      </c>
    </row>
    <row r="163" spans="1:9">
      <c r="A163" s="18">
        <v>341</v>
      </c>
      <c r="B163" s="20">
        <v>11.372131078758468</v>
      </c>
      <c r="C163" s="20">
        <v>5.3721310787584677</v>
      </c>
      <c r="D163" s="20">
        <v>1099.392926356589</v>
      </c>
      <c r="E163" s="20">
        <v>288.34508236434107</v>
      </c>
      <c r="F163" s="20">
        <v>44.793407440185547</v>
      </c>
      <c r="G163" s="20">
        <v>-36.896484375</v>
      </c>
      <c r="H163" s="20">
        <v>7.5542584180779002</v>
      </c>
      <c r="I163" s="20">
        <v>0.86486456431305747</v>
      </c>
    </row>
    <row r="164" spans="1:9">
      <c r="A164" s="18">
        <v>342</v>
      </c>
      <c r="B164" s="20">
        <v>11.405480436760692</v>
      </c>
      <c r="C164" s="20">
        <v>5.4054804367606923</v>
      </c>
      <c r="D164" s="20">
        <v>1095.7351730815783</v>
      </c>
      <c r="E164" s="20">
        <v>288.69305252965381</v>
      </c>
      <c r="F164" s="20">
        <v>44.135009765625</v>
      </c>
      <c r="G164" s="20">
        <v>-36.956813812255859</v>
      </c>
      <c r="H164" s="20">
        <v>7.5570029262222453</v>
      </c>
      <c r="I164" s="20">
        <v>0.8554399026378956</v>
      </c>
    </row>
    <row r="165" spans="1:9">
      <c r="A165" s="18">
        <v>343</v>
      </c>
      <c r="B165" s="20">
        <v>11.438829794762915</v>
      </c>
      <c r="C165" s="20">
        <v>5.4388297947629152</v>
      </c>
      <c r="D165" s="20">
        <v>1093.0554542137907</v>
      </c>
      <c r="E165" s="20">
        <v>290.12221816855163</v>
      </c>
      <c r="F165" s="20">
        <v>43.652027130126953</v>
      </c>
      <c r="G165" s="20">
        <v>-37.213394165039063</v>
      </c>
      <c r="H165" s="20">
        <v>7.5391457644770172</v>
      </c>
      <c r="I165" s="20">
        <v>0.85845881431567039</v>
      </c>
    </row>
    <row r="166" spans="1:9">
      <c r="A166" s="18">
        <v>344</v>
      </c>
      <c r="B166" s="20">
        <v>11.47217915276514</v>
      </c>
      <c r="C166" s="20">
        <v>5.4721791527651398</v>
      </c>
      <c r="D166" s="20">
        <v>1087.7232773313854</v>
      </c>
      <c r="E166" s="20">
        <v>290.27854881908934</v>
      </c>
      <c r="F166" s="20">
        <v>42.692432403564453</v>
      </c>
      <c r="G166" s="20">
        <v>-37.237865447998047</v>
      </c>
      <c r="H166" s="20">
        <v>7.5350188711300268</v>
      </c>
      <c r="I166" s="20">
        <v>0.83264013085123567</v>
      </c>
    </row>
    <row r="167" spans="1:9">
      <c r="A167" s="18">
        <v>345</v>
      </c>
      <c r="B167" s="20">
        <v>11.505528510767364</v>
      </c>
      <c r="C167" s="20">
        <v>5.5055285107673644</v>
      </c>
      <c r="D167" s="20">
        <v>1079.2592860588518</v>
      </c>
      <c r="E167" s="20">
        <v>289.81210805595754</v>
      </c>
      <c r="F167" s="20">
        <v>41.169681549072266</v>
      </c>
      <c r="G167" s="20">
        <v>-37.147472381591797</v>
      </c>
      <c r="H167" s="20">
        <v>7.5707105430128072</v>
      </c>
      <c r="I167" s="20">
        <v>0.78317774410684438</v>
      </c>
    </row>
    <row r="168" spans="1:9">
      <c r="A168" s="18">
        <v>346</v>
      </c>
      <c r="B168" s="20">
        <v>11.538877868769589</v>
      </c>
      <c r="C168" s="20">
        <v>5.538877868769589</v>
      </c>
      <c r="D168" s="20">
        <v>1071.7438890915723</v>
      </c>
      <c r="E168" s="20">
        <v>288.99391949410187</v>
      </c>
      <c r="F168" s="20">
        <v>39.817897796630859</v>
      </c>
      <c r="G168" s="20">
        <v>-36.994148254394531</v>
      </c>
      <c r="H168" s="20">
        <v>7.5391457644770172</v>
      </c>
      <c r="I168" s="20">
        <v>0.85431436450002962</v>
      </c>
    </row>
    <row r="169" spans="1:9">
      <c r="A169" s="18">
        <v>347</v>
      </c>
      <c r="B169" s="20">
        <v>11.572227226771814</v>
      </c>
      <c r="C169" s="20">
        <v>5.5722272267718136</v>
      </c>
      <c r="D169" s="20">
        <v>1068.9651669085631</v>
      </c>
      <c r="E169" s="20">
        <v>289.9158200290276</v>
      </c>
      <c r="F169" s="20">
        <v>39.317424774169922</v>
      </c>
      <c r="G169" s="20">
        <v>-37.158897399902344</v>
      </c>
      <c r="H169" s="20">
        <v>7.5597464379939563</v>
      </c>
      <c r="I169" s="20">
        <v>0.84213000189521514</v>
      </c>
    </row>
    <row r="170" spans="1:9">
      <c r="A170" s="18">
        <v>348</v>
      </c>
      <c r="B170" s="20">
        <v>11.605576584774036</v>
      </c>
      <c r="C170" s="20">
        <v>5.6055765847740364</v>
      </c>
      <c r="D170" s="20">
        <v>1064.4871053265847</v>
      </c>
      <c r="E170" s="20">
        <v>290.37189684261267</v>
      </c>
      <c r="F170" s="20">
        <v>38.511451721191406</v>
      </c>
      <c r="G170" s="20">
        <v>-37.238185882568359</v>
      </c>
      <c r="H170" s="20">
        <v>7.5734490891479567</v>
      </c>
      <c r="I170" s="20">
        <v>0.83550406386567877</v>
      </c>
    </row>
    <row r="171" spans="1:9">
      <c r="A171" s="18">
        <v>349</v>
      </c>
      <c r="B171" s="20">
        <v>11.638925942776261</v>
      </c>
      <c r="C171" s="20">
        <v>5.638925942776261</v>
      </c>
      <c r="D171" s="20">
        <v>1058.9386695641674</v>
      </c>
      <c r="E171" s="20">
        <v>290.45490764215862</v>
      </c>
      <c r="F171" s="20">
        <v>37.513168334960938</v>
      </c>
      <c r="G171" s="20">
        <v>-37.249240875244141</v>
      </c>
      <c r="H171" s="20">
        <v>7.5666008654044363</v>
      </c>
      <c r="I171" s="20">
        <v>0.86472265243169477</v>
      </c>
    </row>
    <row r="172" spans="1:9">
      <c r="A172" s="18">
        <v>350</v>
      </c>
      <c r="B172" s="20">
        <v>11.672275300778486</v>
      </c>
      <c r="C172" s="20">
        <v>5.6722753007784856</v>
      </c>
      <c r="D172" s="20">
        <v>1054.4450469992769</v>
      </c>
      <c r="E172" s="20">
        <v>290.92480115690529</v>
      </c>
      <c r="F172" s="20">
        <v>36.704433441162109</v>
      </c>
      <c r="G172" s="20">
        <v>-37.331020355224609</v>
      </c>
      <c r="H172" s="20">
        <v>7.5734490891479567</v>
      </c>
      <c r="I172" s="20">
        <v>0.84924521664282082</v>
      </c>
    </row>
    <row r="173" spans="1:9">
      <c r="A173" s="18">
        <v>351</v>
      </c>
      <c r="B173" s="20">
        <v>11.70562465878071</v>
      </c>
      <c r="C173" s="20">
        <v>5.7056246587807102</v>
      </c>
      <c r="D173" s="20">
        <v>1049.1400073882526</v>
      </c>
      <c r="E173" s="20">
        <v>290.98313015638468</v>
      </c>
      <c r="F173" s="20">
        <v>35.749992370605469</v>
      </c>
      <c r="G173" s="20">
        <v>-37.337783813476563</v>
      </c>
      <c r="H173" s="20">
        <v>7.4922412001289125</v>
      </c>
      <c r="I173" s="20">
        <v>0.88271237901307287</v>
      </c>
    </row>
    <row r="174" spans="1:9">
      <c r="A174" s="18">
        <v>352</v>
      </c>
      <c r="B174" s="20">
        <v>11.738974016782935</v>
      </c>
      <c r="C174" s="20">
        <v>5.7389740167829348</v>
      </c>
      <c r="D174" s="20">
        <v>1045.3437730287399</v>
      </c>
      <c r="E174" s="20">
        <v>291.67845738147872</v>
      </c>
      <c r="F174" s="20">
        <v>35.066616058349609</v>
      </c>
      <c r="G174" s="20">
        <v>-37.460826873779297</v>
      </c>
      <c r="H174" s="20">
        <v>7.501921995749937</v>
      </c>
      <c r="I174" s="20">
        <v>0.86300524417799529</v>
      </c>
    </row>
    <row r="175" spans="1:9">
      <c r="A175" s="18">
        <v>353</v>
      </c>
      <c r="B175" s="20">
        <v>11.772323374785158</v>
      </c>
      <c r="C175" s="20">
        <v>5.7723233747851577</v>
      </c>
      <c r="D175" s="20">
        <v>1037.4677458915869</v>
      </c>
      <c r="E175" s="20">
        <v>290.90311503556535</v>
      </c>
      <c r="F175" s="20">
        <v>33.650249481201172</v>
      </c>
      <c r="G175" s="20">
        <v>-37.314990997314453</v>
      </c>
      <c r="H175" s="20">
        <v>7.5074482742126314</v>
      </c>
      <c r="I175" s="20">
        <v>0.82655802754106611</v>
      </c>
    </row>
    <row r="176" spans="1:9">
      <c r="A176" s="18">
        <v>354</v>
      </c>
      <c r="B176" s="20">
        <v>11.805672732787382</v>
      </c>
      <c r="C176" s="20">
        <v>5.8056727327873823</v>
      </c>
      <c r="D176" s="20">
        <v>1034.2113313754282</v>
      </c>
      <c r="E176" s="20">
        <v>291.81008321096425</v>
      </c>
      <c r="F176" s="20">
        <v>33.063880920410156</v>
      </c>
      <c r="G176" s="20">
        <v>-37.476688385009766</v>
      </c>
      <c r="H176" s="20">
        <v>7.5157300729516914</v>
      </c>
      <c r="I176" s="20">
        <v>0.81504229482948565</v>
      </c>
    </row>
    <row r="177" spans="1:9">
      <c r="A177" s="18">
        <v>355</v>
      </c>
      <c r="B177" s="20">
        <v>11.839022090789607</v>
      </c>
      <c r="C177" s="20">
        <v>5.8390220907896069</v>
      </c>
      <c r="D177" s="20">
        <v>1028.6260162601627</v>
      </c>
      <c r="E177" s="20">
        <v>292.12687854151267</v>
      </c>
      <c r="F177" s="20">
        <v>32.058967590332031</v>
      </c>
      <c r="G177" s="20">
        <v>-37.529991149902344</v>
      </c>
      <c r="H177" s="20">
        <v>7.4908572080232423</v>
      </c>
      <c r="I177" s="20">
        <v>0.85627572443067546</v>
      </c>
    </row>
    <row r="178" spans="1:9">
      <c r="A178" s="18">
        <v>356</v>
      </c>
      <c r="B178" s="20">
        <v>11.872371448791831</v>
      </c>
      <c r="C178" s="20">
        <v>5.8723714487918315</v>
      </c>
      <c r="D178" s="20">
        <v>1021.389449651526</v>
      </c>
      <c r="E178" s="20">
        <v>292.4384763278058</v>
      </c>
      <c r="F178" s="20">
        <v>30.757080078125</v>
      </c>
      <c r="G178" s="20">
        <v>-37.581172943115234</v>
      </c>
      <c r="H178" s="20">
        <v>7.5843933854487648</v>
      </c>
      <c r="I178" s="20">
        <v>0.86582514652420006</v>
      </c>
    </row>
    <row r="179" spans="1:9">
      <c r="A179" s="18">
        <v>357</v>
      </c>
      <c r="B179" s="20">
        <v>11.905720806794056</v>
      </c>
      <c r="C179" s="20">
        <v>5.9057208067940561</v>
      </c>
      <c r="D179" s="20">
        <v>1019.0932265112891</v>
      </c>
      <c r="E179" s="20">
        <v>292.58266569555718</v>
      </c>
      <c r="F179" s="20">
        <v>30.343950271606445</v>
      </c>
      <c r="G179" s="20">
        <v>-37.605609893798828</v>
      </c>
      <c r="H179" s="20">
        <v>7.5460189045355959</v>
      </c>
      <c r="I179" s="20">
        <v>0.89230748491750567</v>
      </c>
    </row>
    <row r="180" spans="1:9">
      <c r="A180" s="18">
        <v>358</v>
      </c>
      <c r="B180" s="20">
        <v>11.939070164796279</v>
      </c>
      <c r="C180" s="20">
        <v>5.9390701647962789</v>
      </c>
      <c r="D180" s="20">
        <v>1014.7846209912536</v>
      </c>
      <c r="E180" s="20">
        <v>293.0764091350826</v>
      </c>
      <c r="F180" s="20">
        <v>29.568639755249023</v>
      </c>
      <c r="G180" s="20">
        <v>-37.691818237304688</v>
      </c>
      <c r="H180" s="20">
        <v>7.5432704000173461</v>
      </c>
      <c r="I180" s="20">
        <v>0.86655125502142838</v>
      </c>
    </row>
    <row r="181" spans="1:9">
      <c r="A181" s="18">
        <v>359</v>
      </c>
      <c r="B181" s="20">
        <v>11.972419522798504</v>
      </c>
      <c r="C181" s="20">
        <v>5.9724195227985035</v>
      </c>
      <c r="D181" s="20">
        <v>1011.2384962773098</v>
      </c>
      <c r="E181" s="20">
        <v>293.83705602343463</v>
      </c>
      <c r="F181" s="20">
        <v>28.930313110351563</v>
      </c>
      <c r="G181" s="20">
        <v>-37.826839447021484</v>
      </c>
      <c r="H181" s="20">
        <v>7.5253806520918287</v>
      </c>
      <c r="I181" s="20">
        <v>0.86542070415119277</v>
      </c>
    </row>
    <row r="182" spans="1:9">
      <c r="A182" s="18">
        <v>360</v>
      </c>
      <c r="B182" s="20">
        <v>12.005768880800728</v>
      </c>
      <c r="C182" s="20">
        <v>6.0057688808007281</v>
      </c>
      <c r="D182" s="20">
        <v>1004.7952189291376</v>
      </c>
      <c r="E182" s="20">
        <v>294.08098548603488</v>
      </c>
      <c r="F182" s="20">
        <v>27.771247863769531</v>
      </c>
      <c r="G182" s="20">
        <v>-37.866344451904297</v>
      </c>
      <c r="H182" s="20">
        <v>7.528135688117529</v>
      </c>
      <c r="I182" s="20">
        <v>0.85182091885266731</v>
      </c>
    </row>
    <row r="183" spans="1:9">
      <c r="A183" s="18">
        <v>361</v>
      </c>
      <c r="B183" s="20">
        <v>12.039118238802953</v>
      </c>
      <c r="C183" s="20">
        <v>6.0391182388029527</v>
      </c>
      <c r="D183" s="20">
        <v>999.58472376714872</v>
      </c>
      <c r="E183" s="20">
        <v>294.0845383759733</v>
      </c>
      <c r="F183" s="20">
        <v>26.834108352661133</v>
      </c>
      <c r="G183" s="20">
        <v>-37.863258361816406</v>
      </c>
      <c r="H183" s="20">
        <v>7.4783897532661019</v>
      </c>
      <c r="I183" s="20">
        <v>0.87511953563331535</v>
      </c>
    </row>
    <row r="184" spans="1:9">
      <c r="A184" s="18">
        <v>362</v>
      </c>
      <c r="B184" s="20">
        <v>12.072467596805177</v>
      </c>
      <c r="C184" s="20">
        <v>6.0724675968051773</v>
      </c>
      <c r="D184" s="20">
        <v>991.79789734075439</v>
      </c>
      <c r="E184" s="20">
        <v>293.41187384044525</v>
      </c>
      <c r="F184" s="20">
        <v>25.434139251708984</v>
      </c>
      <c r="G184" s="20">
        <v>-37.736061096191406</v>
      </c>
      <c r="H184" s="20">
        <v>7.4756163840799568</v>
      </c>
      <c r="I184" s="20">
        <v>0.81292425996850015</v>
      </c>
    </row>
    <row r="185" spans="1:9">
      <c r="A185" s="18">
        <v>363</v>
      </c>
      <c r="B185" s="20">
        <v>12.1058169548074</v>
      </c>
      <c r="C185" s="20">
        <v>6.1058169548074002</v>
      </c>
      <c r="D185" s="20">
        <v>988.63309885227693</v>
      </c>
      <c r="E185" s="20">
        <v>293.49500185116625</v>
      </c>
      <c r="F185" s="20">
        <v>24.864921569824219</v>
      </c>
      <c r="G185" s="20">
        <v>-37.748832702636719</v>
      </c>
      <c r="H185" s="20">
        <v>7.4839334084034252</v>
      </c>
      <c r="I185" s="20">
        <v>0.80166615063017299</v>
      </c>
    </row>
    <row r="186" spans="1:9">
      <c r="A186" s="18">
        <v>364</v>
      </c>
      <c r="B186" s="20">
        <v>12.139166312809625</v>
      </c>
      <c r="C186" s="20">
        <v>6.1391663128096248</v>
      </c>
      <c r="D186" s="20">
        <v>981.11388991050626</v>
      </c>
      <c r="E186" s="20">
        <v>293.43802868701727</v>
      </c>
      <c r="F186" s="20">
        <v>23.512744903564453</v>
      </c>
      <c r="G186" s="20">
        <v>-37.733158111572266</v>
      </c>
      <c r="H186" s="20">
        <v>7.5088292083315888</v>
      </c>
      <c r="I186" s="20">
        <v>0.87184644610909046</v>
      </c>
    </row>
    <row r="187" spans="1:9">
      <c r="A187" s="18">
        <v>365</v>
      </c>
      <c r="B187" s="20">
        <v>12.172515670811849</v>
      </c>
      <c r="C187" s="20">
        <v>6.1725156708118494</v>
      </c>
      <c r="D187" s="20">
        <v>975.04137763173901</v>
      </c>
      <c r="E187" s="20">
        <v>293.72848971644152</v>
      </c>
      <c r="F187" s="20">
        <v>22.4205322265625</v>
      </c>
      <c r="G187" s="20">
        <v>-37.781341552734375</v>
      </c>
      <c r="H187" s="20">
        <v>7.5363947533420124</v>
      </c>
      <c r="I187" s="20">
        <v>0.84381545180753315</v>
      </c>
    </row>
    <row r="188" spans="1:9">
      <c r="A188" s="18">
        <v>366</v>
      </c>
      <c r="B188" s="20">
        <v>12.205865028814074</v>
      </c>
      <c r="C188" s="20">
        <v>6.205865028814074</v>
      </c>
      <c r="D188" s="20">
        <v>974.25435073627841</v>
      </c>
      <c r="E188" s="20">
        <v>294.20713155652913</v>
      </c>
      <c r="F188" s="20">
        <v>22.278652191162109</v>
      </c>
      <c r="G188" s="20">
        <v>-37.867324829101563</v>
      </c>
      <c r="H188" s="20">
        <v>7.5363947533420124</v>
      </c>
      <c r="I188" s="20">
        <v>0.85783243353756244</v>
      </c>
    </row>
    <row r="189" spans="1:9">
      <c r="A189" s="18">
        <v>367</v>
      </c>
      <c r="B189" s="20">
        <v>12.239214386816299</v>
      </c>
      <c r="C189" s="20">
        <v>6.2392143868162986</v>
      </c>
      <c r="D189" s="20">
        <v>967.21769211761784</v>
      </c>
      <c r="E189" s="20">
        <v>294.11737089201876</v>
      </c>
      <c r="F189" s="20">
        <v>21.013391494750977</v>
      </c>
      <c r="G189" s="20">
        <v>-37.8460693359375</v>
      </c>
      <c r="H189" s="20">
        <v>7.4797760522405206</v>
      </c>
      <c r="I189" s="20">
        <v>0.86212148066907079</v>
      </c>
    </row>
    <row r="190" spans="1:9">
      <c r="A190" s="18">
        <v>368</v>
      </c>
      <c r="B190" s="20">
        <v>12.272563744818521</v>
      </c>
      <c r="C190" s="20">
        <v>6.2725637448185214</v>
      </c>
      <c r="D190" s="20">
        <v>961.83475046210719</v>
      </c>
      <c r="E190" s="20">
        <v>294.10536044362294</v>
      </c>
      <c r="F190" s="20">
        <v>20.045480728149414</v>
      </c>
      <c r="G190" s="20">
        <v>-37.840045928955078</v>
      </c>
      <c r="H190" s="20">
        <v>7.489472960167384</v>
      </c>
      <c r="I190" s="20">
        <v>0.82935061938345633</v>
      </c>
    </row>
    <row r="191" spans="1:9">
      <c r="A191" s="18">
        <v>369</v>
      </c>
      <c r="B191" s="20">
        <v>12.305913102820746</v>
      </c>
      <c r="C191" s="20">
        <v>6.305913102820746</v>
      </c>
      <c r="D191" s="20">
        <v>953.60942267789562</v>
      </c>
      <c r="E191" s="20">
        <v>294.06713047723662</v>
      </c>
      <c r="F191" s="20">
        <v>18.566549301147461</v>
      </c>
      <c r="G191" s="20">
        <v>-37.827262878417969</v>
      </c>
      <c r="H191" s="20">
        <v>7.5253806520918287</v>
      </c>
      <c r="I191" s="20">
        <v>0.82771459120741164</v>
      </c>
    </row>
    <row r="192" spans="1:9">
      <c r="A192" s="18">
        <v>370</v>
      </c>
      <c r="B192" s="20">
        <v>12.339262460822971</v>
      </c>
      <c r="C192" s="20">
        <v>6.3392624608229706</v>
      </c>
      <c r="D192" s="20">
        <v>951.51518532292039</v>
      </c>
      <c r="E192" s="20">
        <v>294.35515061361099</v>
      </c>
      <c r="F192" s="20">
        <v>18.189785003662109</v>
      </c>
      <c r="G192" s="20">
        <v>-37.877841949462891</v>
      </c>
      <c r="H192" s="20">
        <v>7.4672900963088642</v>
      </c>
      <c r="I192" s="20">
        <v>0.83407055501628213</v>
      </c>
    </row>
    <row r="193" spans="1:9">
      <c r="A193" s="18">
        <v>371</v>
      </c>
      <c r="B193" s="20">
        <v>12.372611818825195</v>
      </c>
      <c r="C193" s="20">
        <v>6.3726118188251952</v>
      </c>
      <c r="D193" s="20">
        <v>951.05065480602912</v>
      </c>
      <c r="E193" s="20">
        <v>294.33419817148501</v>
      </c>
      <c r="F193" s="20">
        <v>18.106277465820313</v>
      </c>
      <c r="G193" s="20">
        <v>-37.87371826171875</v>
      </c>
      <c r="H193" s="20">
        <v>7.4797760522405206</v>
      </c>
      <c r="I193" s="20">
        <v>0.82047592148890935</v>
      </c>
    </row>
    <row r="194" spans="1:9">
      <c r="A194" s="18">
        <v>372</v>
      </c>
      <c r="B194" s="20">
        <v>12.40596117682742</v>
      </c>
      <c r="C194" s="20">
        <v>6.4059611768274198</v>
      </c>
      <c r="D194" s="20">
        <v>943.36108146567062</v>
      </c>
      <c r="E194" s="20">
        <v>294.7130321356575</v>
      </c>
      <c r="F194" s="20">
        <v>16.723440170288086</v>
      </c>
      <c r="G194" s="20">
        <v>-37.936717987060547</v>
      </c>
      <c r="H194" s="20">
        <v>7.6348066872781866</v>
      </c>
      <c r="I194" s="20">
        <v>0.82877683449234862</v>
      </c>
    </row>
    <row r="195" spans="1:9">
      <c r="A195" s="18">
        <v>373</v>
      </c>
      <c r="B195" s="20">
        <v>12.439310534829643</v>
      </c>
      <c r="C195" s="20">
        <v>6.4393105348296427</v>
      </c>
      <c r="D195" s="20">
        <v>935.34033816425108</v>
      </c>
      <c r="E195" s="20">
        <v>294.97741545893717</v>
      </c>
      <c r="F195" s="20">
        <v>15.28121280670166</v>
      </c>
      <c r="G195" s="20">
        <v>-37.978782653808594</v>
      </c>
      <c r="H195" s="20">
        <v>7.5652304767550733</v>
      </c>
      <c r="I195" s="20">
        <v>0.85730360325521127</v>
      </c>
    </row>
    <row r="196" spans="1:9">
      <c r="A196" s="18">
        <v>374</v>
      </c>
      <c r="B196" s="20">
        <v>12.472659892831867</v>
      </c>
      <c r="C196" s="20">
        <v>6.4726598928318673</v>
      </c>
      <c r="D196" s="20">
        <v>932.66739873108827</v>
      </c>
      <c r="E196" s="20">
        <v>295.16007808687164</v>
      </c>
      <c r="F196" s="20">
        <v>14.800529479980469</v>
      </c>
      <c r="G196" s="20">
        <v>-38.009895324707031</v>
      </c>
      <c r="H196" s="20">
        <v>7.5267582961586736</v>
      </c>
      <c r="I196" s="20">
        <v>0.84452624778299257</v>
      </c>
    </row>
    <row r="197" spans="1:9">
      <c r="A197" s="18">
        <v>375</v>
      </c>
      <c r="B197" s="20">
        <v>12.506009250834092</v>
      </c>
      <c r="C197" s="20">
        <v>6.5060092508340919</v>
      </c>
      <c r="D197" s="20">
        <v>931.87003786490766</v>
      </c>
      <c r="E197" s="20">
        <v>295.04482716501769</v>
      </c>
      <c r="F197" s="20">
        <v>14.657273292541504</v>
      </c>
      <c r="G197" s="20">
        <v>-37.988491058349609</v>
      </c>
      <c r="H197" s="20">
        <v>7.5226246070801173</v>
      </c>
      <c r="I197" s="20">
        <v>0.85470051375809308</v>
      </c>
    </row>
    <row r="198" spans="1:9">
      <c r="A198" s="18">
        <v>376</v>
      </c>
      <c r="B198" s="20">
        <v>12.539358608836316</v>
      </c>
      <c r="C198" s="20">
        <v>6.5393586088363165</v>
      </c>
      <c r="D198" s="20">
        <v>924.65665701881335</v>
      </c>
      <c r="E198" s="20">
        <v>295.60166425470334</v>
      </c>
      <c r="F198" s="20">
        <v>13.360041618347168</v>
      </c>
      <c r="G198" s="20">
        <v>-38.084003448486328</v>
      </c>
      <c r="H198" s="20">
        <v>7.5707105430128072</v>
      </c>
      <c r="I198" s="20">
        <v>0.84863115930043009</v>
      </c>
    </row>
    <row r="199" spans="1:9">
      <c r="A199" s="18">
        <v>377</v>
      </c>
      <c r="B199" s="20">
        <v>12.572707966838541</v>
      </c>
      <c r="C199" s="20">
        <v>6.5727079668385411</v>
      </c>
      <c r="D199" s="20">
        <v>919.13721212121197</v>
      </c>
      <c r="E199" s="20">
        <v>296.22387878787879</v>
      </c>
      <c r="F199" s="20">
        <v>12.367304801940918</v>
      </c>
      <c r="G199" s="20">
        <v>-38.192546844482422</v>
      </c>
      <c r="H199" s="20">
        <v>7.5515129124745641</v>
      </c>
      <c r="I199" s="20">
        <v>0.8267324102595891</v>
      </c>
    </row>
    <row r="200" spans="1:9">
      <c r="A200" s="18">
        <v>378</v>
      </c>
      <c r="B200" s="20">
        <v>12.606057324840764</v>
      </c>
      <c r="C200" s="20">
        <v>6.6060573248407639</v>
      </c>
      <c r="D200" s="20">
        <v>916.37466174661733</v>
      </c>
      <c r="E200" s="20">
        <v>296.45891758917588</v>
      </c>
      <c r="F200" s="20">
        <v>11.870497703552246</v>
      </c>
      <c r="G200" s="20">
        <v>-38.233062744140625</v>
      </c>
      <c r="H200" s="20">
        <v>7.4963916433611733</v>
      </c>
      <c r="I200" s="20">
        <v>0.82020441950623779</v>
      </c>
    </row>
    <row r="201" spans="1:9">
      <c r="A201" s="18">
        <v>379</v>
      </c>
      <c r="B201" s="20">
        <v>12.639406682842989</v>
      </c>
      <c r="C201" s="20">
        <v>6.6394066828429885</v>
      </c>
      <c r="D201" s="20">
        <v>910.4269133115705</v>
      </c>
      <c r="E201" s="20">
        <v>296.61213879821059</v>
      </c>
      <c r="F201" s="20">
        <v>10.801214218139648</v>
      </c>
      <c r="G201" s="20">
        <v>-38.256507873535156</v>
      </c>
      <c r="H201" s="20">
        <v>7.5611178205790228</v>
      </c>
      <c r="I201" s="20">
        <v>0.82606160903514114</v>
      </c>
    </row>
    <row r="202" spans="1:9">
      <c r="A202" s="18">
        <v>380</v>
      </c>
      <c r="B202" s="20">
        <v>12.672756040845213</v>
      </c>
      <c r="C202" s="20">
        <v>6.6727560408452131</v>
      </c>
      <c r="D202" s="20">
        <v>905.39336316181959</v>
      </c>
      <c r="E202" s="20">
        <v>295.99776286353466</v>
      </c>
      <c r="F202" s="20">
        <v>9.8969345092773438</v>
      </c>
      <c r="G202" s="20">
        <v>-38.141838073730469</v>
      </c>
      <c r="H202" s="20">
        <v>7.4575643445447293</v>
      </c>
      <c r="I202" s="20">
        <v>0.82114542171647198</v>
      </c>
    </row>
    <row r="203" spans="1:9">
      <c r="A203" s="18">
        <v>381</v>
      </c>
      <c r="B203" s="20">
        <v>12.706105398847438</v>
      </c>
      <c r="C203" s="20">
        <v>6.7061053988474377</v>
      </c>
      <c r="D203" s="20">
        <v>900.58651630896077</v>
      </c>
      <c r="E203" s="20">
        <v>295.97865890626889</v>
      </c>
      <c r="F203" s="20">
        <v>9.0329265594482422</v>
      </c>
      <c r="G203" s="20">
        <v>-38.134944915771484</v>
      </c>
      <c r="H203" s="20">
        <v>7.5501397852857473</v>
      </c>
      <c r="I203" s="20">
        <v>0.81977492330042223</v>
      </c>
    </row>
    <row r="204" spans="1:9">
      <c r="A204" s="18">
        <v>382</v>
      </c>
      <c r="B204" s="20">
        <v>12.739454756849662</v>
      </c>
      <c r="C204" s="20">
        <v>6.7394547568496623</v>
      </c>
      <c r="D204" s="20">
        <v>892.84112490869245</v>
      </c>
      <c r="E204" s="20">
        <v>296.93170197224254</v>
      </c>
      <c r="F204" s="20">
        <v>7.6399435997009277</v>
      </c>
      <c r="G204" s="20">
        <v>-38.301689147949219</v>
      </c>
      <c r="H204" s="20">
        <v>7.5350188711300268</v>
      </c>
      <c r="I204" s="20">
        <v>0.8749031171454742</v>
      </c>
    </row>
    <row r="205" spans="1:9">
      <c r="A205" s="18">
        <v>383</v>
      </c>
      <c r="B205" s="20">
        <v>12.772804114851885</v>
      </c>
      <c r="C205" s="20">
        <v>6.7728041148518852</v>
      </c>
      <c r="D205" s="20">
        <v>889.21725433175811</v>
      </c>
      <c r="E205" s="20">
        <v>297.1100205985702</v>
      </c>
      <c r="F205" s="20">
        <v>6.9884443283081055</v>
      </c>
      <c r="G205" s="20">
        <v>-38.331329345703125</v>
      </c>
      <c r="H205" s="20">
        <v>7.5528857900265809</v>
      </c>
      <c r="I205" s="20">
        <v>0.8717584669513837</v>
      </c>
    </row>
    <row r="206" spans="1:9">
      <c r="A206" s="18">
        <v>384</v>
      </c>
      <c r="B206" s="20">
        <v>12.80615347285411</v>
      </c>
      <c r="C206" s="20">
        <v>6.8061534728541098</v>
      </c>
      <c r="D206" s="20">
        <v>881.14648127820453</v>
      </c>
      <c r="E206" s="20">
        <v>296.59446273935845</v>
      </c>
      <c r="F206" s="20">
        <v>5.538358211517334</v>
      </c>
      <c r="G206" s="20">
        <v>-38.232353210449219</v>
      </c>
      <c r="H206" s="20">
        <v>7.528135688117529</v>
      </c>
      <c r="I206" s="20">
        <v>0.81887064565073775</v>
      </c>
    </row>
    <row r="207" spans="1:9">
      <c r="A207" s="18">
        <v>385</v>
      </c>
      <c r="B207" s="20">
        <v>12.839502830856334</v>
      </c>
      <c r="C207" s="20">
        <v>6.8395028308563344</v>
      </c>
      <c r="D207" s="20">
        <v>878.51102850061955</v>
      </c>
      <c r="E207" s="20">
        <v>295.84522924411397</v>
      </c>
      <c r="F207" s="20">
        <v>5.0653843879699707</v>
      </c>
      <c r="G207" s="20">
        <v>-38.09503173828125</v>
      </c>
      <c r="H207" s="20">
        <v>7.4686784555467254</v>
      </c>
      <c r="I207" s="20">
        <v>0.81415125305298763</v>
      </c>
    </row>
    <row r="208" spans="1:9">
      <c r="A208" s="18">
        <v>386</v>
      </c>
      <c r="B208" s="20">
        <v>12.872852188858559</v>
      </c>
      <c r="C208" s="20">
        <v>6.872852188858559</v>
      </c>
      <c r="D208" s="20">
        <v>875.05906238464377</v>
      </c>
      <c r="E208" s="20">
        <v>295.03949796973052</v>
      </c>
      <c r="F208" s="20">
        <v>4.4457335472106934</v>
      </c>
      <c r="G208" s="20">
        <v>-37.946918487548828</v>
      </c>
      <c r="H208" s="20">
        <v>7.495008417656372</v>
      </c>
      <c r="I208" s="20">
        <v>0.80404058096055908</v>
      </c>
    </row>
    <row r="209" spans="1:9">
      <c r="A209" s="18">
        <v>387</v>
      </c>
      <c r="B209" s="20">
        <v>12.906201546860784</v>
      </c>
      <c r="C209" s="20">
        <v>6.9062015468607836</v>
      </c>
      <c r="D209" s="20">
        <v>868.5214846036763</v>
      </c>
      <c r="E209" s="20">
        <v>294.72836904343751</v>
      </c>
      <c r="F209" s="20">
        <v>3.2711436748504639</v>
      </c>
      <c r="G209" s="20">
        <v>-37.886009216308594</v>
      </c>
      <c r="H209" s="20">
        <v>7.6835399907243964</v>
      </c>
      <c r="I209" s="20">
        <v>0.79521522121089416</v>
      </c>
    </row>
    <row r="210" spans="1:9">
      <c r="A210" s="18">
        <v>388</v>
      </c>
      <c r="B210" s="20">
        <v>12.939550904863006</v>
      </c>
      <c r="C210" s="20">
        <v>6.9395509048630064</v>
      </c>
      <c r="D210" s="20">
        <v>858.26420664206637</v>
      </c>
      <c r="E210" s="20">
        <v>295.80701107011072</v>
      </c>
      <c r="F210" s="20">
        <v>1.426903247833252</v>
      </c>
      <c r="G210" s="20">
        <v>-38.073646545410156</v>
      </c>
      <c r="H210" s="20">
        <v>7.4963916433611733</v>
      </c>
      <c r="I210" s="20">
        <v>0.80166135449639842</v>
      </c>
    </row>
    <row r="211" spans="1:9">
      <c r="A211" s="18">
        <v>389</v>
      </c>
      <c r="B211" s="20">
        <v>12.972900262865231</v>
      </c>
      <c r="C211" s="20">
        <v>6.972900262865231</v>
      </c>
      <c r="D211" s="20">
        <v>854.4065852756197</v>
      </c>
      <c r="E211" s="20">
        <v>295.25366876310272</v>
      </c>
      <c r="F211" s="20">
        <v>0.7342216968536377</v>
      </c>
      <c r="G211" s="20">
        <v>-37.970870971679688</v>
      </c>
      <c r="H211" s="20">
        <v>7.4867036966376359</v>
      </c>
      <c r="I211" s="20">
        <v>0.82477864074690976</v>
      </c>
    </row>
    <row r="212" spans="1:9">
      <c r="A212" s="18">
        <v>390</v>
      </c>
      <c r="B212" s="20">
        <v>13.006249620867456</v>
      </c>
      <c r="C212" s="20">
        <v>7.0062496208674556</v>
      </c>
      <c r="D212" s="20">
        <v>851.25476453953024</v>
      </c>
      <c r="E212" s="20">
        <v>294.92475101438583</v>
      </c>
      <c r="F212" s="20">
        <v>0.16818778216838837</v>
      </c>
      <c r="G212" s="20">
        <v>-37.909168243408203</v>
      </c>
      <c r="H212" s="20">
        <v>7.4977746138818162</v>
      </c>
      <c r="I212" s="20">
        <v>0.77066967853874146</v>
      </c>
    </row>
    <row r="213" spans="1:9">
      <c r="A213" s="18">
        <v>391</v>
      </c>
      <c r="B213" s="20">
        <v>13.03959897886968</v>
      </c>
      <c r="C213" s="20">
        <v>7.0395989788696802</v>
      </c>
      <c r="D213" s="20">
        <v>847.80849478390462</v>
      </c>
      <c r="E213" s="20">
        <v>293.97218082463979</v>
      </c>
      <c r="F213" s="20">
        <v>-0.45015448331832886</v>
      </c>
      <c r="G213" s="20">
        <v>-37.734535217285156</v>
      </c>
      <c r="H213" s="20">
        <v>7.4603444245460686</v>
      </c>
      <c r="I213" s="20">
        <v>0.77771999284362892</v>
      </c>
    </row>
    <row r="214" spans="1:9">
      <c r="A214" s="18">
        <v>392</v>
      </c>
      <c r="B214" s="20">
        <v>13.072948336871905</v>
      </c>
      <c r="C214" s="20">
        <v>7.0729483368719048</v>
      </c>
      <c r="D214" s="20">
        <v>843.44745301681496</v>
      </c>
      <c r="E214" s="20">
        <v>293.72774480712167</v>
      </c>
      <c r="F214" s="20">
        <v>-1.2335057258605957</v>
      </c>
      <c r="G214" s="20">
        <v>-37.687244415283203</v>
      </c>
      <c r="H214" s="20">
        <v>7.4770031972602533</v>
      </c>
      <c r="I214" s="20">
        <v>0.7811971314107391</v>
      </c>
    </row>
    <row r="215" spans="1:9">
      <c r="A215" s="18">
        <v>393</v>
      </c>
      <c r="B215" s="20">
        <v>13.106297694874128</v>
      </c>
      <c r="C215" s="20">
        <v>7.1062976948741277</v>
      </c>
      <c r="D215" s="20">
        <v>838.71067311268132</v>
      </c>
      <c r="E215" s="20">
        <v>292.9133506879881</v>
      </c>
      <c r="F215" s="20">
        <v>-2.083789587020874</v>
      </c>
      <c r="G215" s="20">
        <v>-37.536678314208984</v>
      </c>
      <c r="H215" s="20">
        <v>7.4672900963088642</v>
      </c>
      <c r="I215" s="20">
        <v>0.77660736824855847</v>
      </c>
    </row>
    <row r="216" spans="1:9">
      <c r="A216" s="18">
        <v>394</v>
      </c>
      <c r="B216" s="20">
        <v>13.139647052876352</v>
      </c>
      <c r="C216" s="20">
        <v>7.1396470528763523</v>
      </c>
      <c r="D216" s="20">
        <v>834.96376281112737</v>
      </c>
      <c r="E216" s="20">
        <v>292.61163982430452</v>
      </c>
      <c r="F216" s="20">
        <v>-2.7567014694213867</v>
      </c>
      <c r="G216" s="20">
        <v>-37.479473114013672</v>
      </c>
      <c r="H216" s="20">
        <v>7.5267582961586736</v>
      </c>
      <c r="I216" s="20">
        <v>0.77411056327782157</v>
      </c>
    </row>
    <row r="217" spans="1:9">
      <c r="A217" s="18">
        <v>395</v>
      </c>
      <c r="B217" s="20">
        <v>13.172996410878577</v>
      </c>
      <c r="C217" s="20">
        <v>7.1729964108785769</v>
      </c>
      <c r="D217" s="20">
        <v>823.12890484739683</v>
      </c>
      <c r="E217" s="20">
        <v>294.06211849192101</v>
      </c>
      <c r="F217" s="20">
        <v>-4.8843679428100586</v>
      </c>
      <c r="G217" s="20">
        <v>-37.733169555664063</v>
      </c>
      <c r="H217" s="20">
        <v>7.5994160574552083</v>
      </c>
      <c r="I217" s="20">
        <v>0.74739982345227007</v>
      </c>
    </row>
    <row r="218" spans="1:9">
      <c r="A218" s="18">
        <v>396</v>
      </c>
      <c r="B218" s="20">
        <v>13.206345768880801</v>
      </c>
      <c r="C218" s="20">
        <v>7.2063457688808015</v>
      </c>
      <c r="D218" s="20">
        <v>813.41770244821089</v>
      </c>
      <c r="E218" s="20">
        <v>295.54287507846828</v>
      </c>
      <c r="F218" s="20">
        <v>-6.6304640769958496</v>
      </c>
      <c r="G218" s="20">
        <v>-37.993850708007813</v>
      </c>
      <c r="H218" s="20">
        <v>7.419931315403792</v>
      </c>
      <c r="I218" s="20">
        <v>0.78063155856765298</v>
      </c>
    </row>
    <row r="219" spans="1:9">
      <c r="A219" s="18">
        <v>397</v>
      </c>
      <c r="B219" s="20">
        <v>13.239695126883026</v>
      </c>
      <c r="C219" s="20">
        <v>7.2396951268830261</v>
      </c>
      <c r="D219" s="20">
        <v>808.67343923162173</v>
      </c>
      <c r="E219" s="20">
        <v>295.3777859869474</v>
      </c>
      <c r="F219" s="20">
        <v>-7.4825701713562012</v>
      </c>
      <c r="G219" s="20">
        <v>-37.960624694824219</v>
      </c>
      <c r="H219" s="20">
        <v>7.4922412001289125</v>
      </c>
      <c r="I219" s="20">
        <v>0.76599249393890712</v>
      </c>
    </row>
    <row r="220" spans="1:9">
      <c r="A220" s="18">
        <v>398</v>
      </c>
      <c r="B220" s="20">
        <v>13.273044484885249</v>
      </c>
      <c r="C220" s="20">
        <v>7.2730444848852489</v>
      </c>
      <c r="D220" s="20">
        <v>801.96327683615812</v>
      </c>
      <c r="E220" s="20">
        <v>295.64431343650205</v>
      </c>
      <c r="F220" s="20">
        <v>-8.6882419586181641</v>
      </c>
      <c r="G220" s="20">
        <v>-38.003997802734375</v>
      </c>
      <c r="H220" s="20">
        <v>7.501921995749937</v>
      </c>
      <c r="I220" s="20">
        <v>0.7228009396573043</v>
      </c>
    </row>
    <row r="221" spans="1:9">
      <c r="A221" s="18">
        <v>399</v>
      </c>
      <c r="B221" s="20">
        <v>13.306393842887474</v>
      </c>
      <c r="C221" s="20">
        <v>7.3063938428874735</v>
      </c>
      <c r="D221" s="20">
        <v>797.86068563092635</v>
      </c>
      <c r="E221" s="20">
        <v>295.74142961342085</v>
      </c>
      <c r="F221" s="20">
        <v>-9.4252958297729492</v>
      </c>
      <c r="G221" s="20">
        <v>-38.01861572265625</v>
      </c>
      <c r="H221" s="20">
        <v>7.5405208936748602</v>
      </c>
      <c r="I221" s="20">
        <v>0.74152687994525457</v>
      </c>
    </row>
    <row r="222" spans="1:9">
      <c r="A222" s="18">
        <v>400</v>
      </c>
      <c r="B222" s="20">
        <v>13.339743200889698</v>
      </c>
      <c r="C222" s="20">
        <v>7.3397432008896981</v>
      </c>
      <c r="D222" s="20">
        <v>791.24749123443348</v>
      </c>
      <c r="E222" s="20">
        <v>295.72663523153182</v>
      </c>
      <c r="F222" s="20">
        <v>-10.61316967010498</v>
      </c>
      <c r="G222" s="20">
        <v>-38.011215209960938</v>
      </c>
      <c r="H222" s="20">
        <v>7.5611178205790228</v>
      </c>
      <c r="I222" s="20">
        <v>0.72091641752617119</v>
      </c>
    </row>
    <row r="223" spans="1:9">
      <c r="A223" s="18">
        <v>401</v>
      </c>
      <c r="B223" s="20">
        <v>13.373092558891923</v>
      </c>
      <c r="C223" s="20">
        <v>7.3730925588919227</v>
      </c>
      <c r="D223" s="20">
        <v>784.87694363459661</v>
      </c>
      <c r="E223" s="20">
        <v>296.08758503401356</v>
      </c>
      <c r="F223" s="20">
        <v>-11.757813453674316</v>
      </c>
      <c r="G223" s="20">
        <v>-38.071891784667969</v>
      </c>
      <c r="H223" s="20">
        <v>7.5432704000173461</v>
      </c>
      <c r="I223" s="20">
        <v>0.76541939834189687</v>
      </c>
    </row>
    <row r="224" spans="1:9">
      <c r="A224" s="18">
        <v>402</v>
      </c>
      <c r="B224" s="20">
        <v>13.406441916894146</v>
      </c>
      <c r="C224" s="20">
        <v>7.4064419168941455</v>
      </c>
      <c r="D224" s="20">
        <v>779.13008423586029</v>
      </c>
      <c r="E224" s="20">
        <v>296.53381468110706</v>
      </c>
      <c r="F224" s="20">
        <v>-12.790497779846191</v>
      </c>
      <c r="G224" s="20">
        <v>-38.148422241210938</v>
      </c>
      <c r="H224" s="20">
        <v>7.5789232128038808</v>
      </c>
      <c r="I224" s="20">
        <v>0.77267191573439153</v>
      </c>
    </row>
    <row r="225" spans="1:9">
      <c r="A225" s="18">
        <v>403</v>
      </c>
      <c r="B225" s="20">
        <v>13.43979127489637</v>
      </c>
      <c r="C225" s="20">
        <v>7.4397912748963702</v>
      </c>
      <c r="D225" s="20">
        <v>774.81134432783597</v>
      </c>
      <c r="E225" s="20">
        <v>297.02536231884056</v>
      </c>
      <c r="F225" s="20">
        <v>-13.56669807434082</v>
      </c>
      <c r="G225" s="20">
        <v>-38.234161376953125</v>
      </c>
      <c r="H225" s="20">
        <v>7.4380746900128436</v>
      </c>
      <c r="I225" s="20">
        <v>0.80366024459381269</v>
      </c>
    </row>
    <row r="226" spans="1:9">
      <c r="A226" s="18">
        <v>404</v>
      </c>
      <c r="B226" s="20">
        <v>13.473140632898595</v>
      </c>
      <c r="C226" s="20">
        <v>7.4731406328985948</v>
      </c>
      <c r="D226" s="20">
        <v>774.54019607843122</v>
      </c>
      <c r="E226" s="20">
        <v>297.0969362745098</v>
      </c>
      <c r="F226" s="20">
        <v>-13.615469932556152</v>
      </c>
      <c r="G226" s="20">
        <v>-38.246898651123047</v>
      </c>
      <c r="H226" s="20">
        <v>7.5102098885323407</v>
      </c>
      <c r="I226" s="20">
        <v>0.81384546058787133</v>
      </c>
    </row>
    <row r="227" spans="1:9">
      <c r="A227" s="18">
        <v>405</v>
      </c>
      <c r="B227" s="20">
        <v>13.506489990900819</v>
      </c>
      <c r="C227" s="20">
        <v>7.5064899909008194</v>
      </c>
      <c r="D227" s="20">
        <v>775.73837638376381</v>
      </c>
      <c r="E227" s="20">
        <v>297.18118081180813</v>
      </c>
      <c r="F227" s="20">
        <v>-13.400360107421875</v>
      </c>
      <c r="G227" s="20">
        <v>-38.262981414794922</v>
      </c>
      <c r="H227" s="20">
        <v>7.4963916433611733</v>
      </c>
      <c r="I227" s="20">
        <v>0.80702683472833825</v>
      </c>
    </row>
    <row r="228" spans="1:9">
      <c r="A228" s="18">
        <v>406</v>
      </c>
      <c r="B228" s="20">
        <v>13.539839348903044</v>
      </c>
      <c r="C228" s="20">
        <v>7.539839348903044</v>
      </c>
      <c r="D228" s="20">
        <v>758.05472636815909</v>
      </c>
      <c r="E228" s="20">
        <v>306.84079601990049</v>
      </c>
      <c r="F228" s="20">
        <v>-16.586952209472656</v>
      </c>
      <c r="G228" s="20">
        <v>-39.995994567871094</v>
      </c>
      <c r="H228" s="20">
        <v>7.7292837602318407</v>
      </c>
      <c r="I228" s="20">
        <v>0.80104238602408562</v>
      </c>
    </row>
    <row r="229" spans="1:9">
      <c r="A229" s="18">
        <v>407</v>
      </c>
      <c r="B229" s="20">
        <v>13.573188706905267</v>
      </c>
      <c r="C229" s="20">
        <v>7.5731887069052668</v>
      </c>
      <c r="D229" s="20">
        <v>768.3770414757372</v>
      </c>
      <c r="E229" s="20">
        <v>306.973563623546</v>
      </c>
      <c r="F229" s="20">
        <v>-14.733124732971191</v>
      </c>
      <c r="G229" s="20">
        <v>-40.027435302734375</v>
      </c>
      <c r="H229" s="20">
        <v>7.6700340214308929</v>
      </c>
      <c r="I229" s="20">
        <v>0.84601726629440177</v>
      </c>
    </row>
    <row r="230" spans="1:9">
      <c r="A230" s="18">
        <v>408</v>
      </c>
      <c r="B230" s="20">
        <v>13.606538064907491</v>
      </c>
      <c r="C230" s="20">
        <v>7.6065380649074914</v>
      </c>
      <c r="D230" s="20">
        <v>767.20941502249912</v>
      </c>
      <c r="E230" s="20">
        <v>312.40279220029998</v>
      </c>
      <c r="F230" s="20">
        <v>-14.948756217956543</v>
      </c>
      <c r="G230" s="20">
        <v>-41.007926940917969</v>
      </c>
      <c r="H230" s="20">
        <v>7.7400077109462018</v>
      </c>
      <c r="I230" s="20">
        <v>0.86561189281919582</v>
      </c>
    </row>
    <row r="231" spans="1:9">
      <c r="A231" s="18">
        <v>409</v>
      </c>
      <c r="B231" s="20">
        <v>13.639887422909716</v>
      </c>
      <c r="C231" s="20">
        <v>7.639887422909716</v>
      </c>
      <c r="D231" s="20">
        <v>766.42563218390796</v>
      </c>
      <c r="E231" s="20">
        <v>317.90643678160916</v>
      </c>
      <c r="F231" s="20">
        <v>-15.095537185668945</v>
      </c>
      <c r="G231" s="20">
        <v>-42.002239227294922</v>
      </c>
      <c r="H231" s="20">
        <v>7.7547289285039307</v>
      </c>
      <c r="I231" s="20">
        <v>0.84819622327969824</v>
      </c>
    </row>
    <row r="232" spans="1:9">
      <c r="A232" s="18">
        <v>410</v>
      </c>
      <c r="B232" s="20">
        <v>13.673236780911941</v>
      </c>
      <c r="C232" s="20">
        <v>7.6732367809119406</v>
      </c>
      <c r="D232" s="20">
        <v>773.15383693045555</v>
      </c>
      <c r="E232" s="20">
        <v>320.06510791366907</v>
      </c>
      <c r="F232" s="20">
        <v>-13.889252662658691</v>
      </c>
      <c r="G232" s="20">
        <v>-42.397388458251953</v>
      </c>
      <c r="H232" s="20">
        <v>7.5925912549492098</v>
      </c>
      <c r="I232" s="20">
        <v>0.81850956549477583</v>
      </c>
    </row>
    <row r="233" spans="1:9">
      <c r="A233" s="18">
        <v>411</v>
      </c>
      <c r="B233" s="20">
        <v>13.706586138914165</v>
      </c>
      <c r="C233" s="20">
        <v>7.7065861389141652</v>
      </c>
      <c r="D233" s="20">
        <v>773.46152922818385</v>
      </c>
      <c r="E233" s="20">
        <v>323.02340655383506</v>
      </c>
      <c r="F233" s="20">
        <v>-13.837160110473633</v>
      </c>
      <c r="G233" s="20">
        <v>-42.932456970214844</v>
      </c>
      <c r="H233" s="20">
        <v>7.5884934272215778</v>
      </c>
      <c r="I233" s="20">
        <v>0.8281247642641465</v>
      </c>
    </row>
    <row r="234" spans="1:9">
      <c r="A234" s="18">
        <v>412</v>
      </c>
      <c r="B234" s="20">
        <v>13.739935496916388</v>
      </c>
      <c r="C234" s="20">
        <v>7.739935496916388</v>
      </c>
      <c r="D234" s="20">
        <v>779.39520019295696</v>
      </c>
      <c r="E234" s="20">
        <v>323.06596719729856</v>
      </c>
      <c r="F234" s="20">
        <v>-12.771215438842773</v>
      </c>
      <c r="G234" s="20">
        <v>-42.944488525390625</v>
      </c>
      <c r="H234" s="20">
        <v>7.5707105430128072</v>
      </c>
      <c r="I234" s="20">
        <v>0.80090091662436314</v>
      </c>
    </row>
    <row r="235" spans="1:9">
      <c r="A235" s="18">
        <v>413</v>
      </c>
      <c r="B235" s="20">
        <v>13.773284854918613</v>
      </c>
      <c r="C235" s="20">
        <v>7.7732848549186127</v>
      </c>
      <c r="D235" s="20">
        <v>785.45421925266021</v>
      </c>
      <c r="E235" s="20">
        <v>323.64451868349414</v>
      </c>
      <c r="F235" s="20">
        <v>-11.683273315429688</v>
      </c>
      <c r="G235" s="20">
        <v>-43.053520202636719</v>
      </c>
      <c r="H235" s="20">
        <v>7.4742293135820566</v>
      </c>
      <c r="I235" s="20">
        <v>0.81536188688652378</v>
      </c>
    </row>
    <row r="236" spans="1:9">
      <c r="A236" s="18">
        <v>414</v>
      </c>
      <c r="B236" s="20">
        <v>13.806634212920837</v>
      </c>
      <c r="C236" s="20">
        <v>7.8066342129208373</v>
      </c>
      <c r="D236" s="20">
        <v>790.13184634448567</v>
      </c>
      <c r="E236" s="20">
        <v>323.82577447335808</v>
      </c>
      <c r="F236" s="20">
        <v>-10.843058586120605</v>
      </c>
      <c r="G236" s="20">
        <v>-43.089706420898438</v>
      </c>
      <c r="H236" s="20">
        <v>7.4686784555467254</v>
      </c>
      <c r="I236" s="20">
        <v>0.81028712683230453</v>
      </c>
    </row>
    <row r="237" spans="1:9">
      <c r="A237" s="18">
        <v>415</v>
      </c>
      <c r="B237" s="20">
        <v>13.839983570923062</v>
      </c>
      <c r="C237" s="20">
        <v>7.8399835709230619</v>
      </c>
      <c r="D237" s="20">
        <v>794.81519607843131</v>
      </c>
      <c r="E237" s="20">
        <v>324.28700980392153</v>
      </c>
      <c r="F237" s="20">
        <v>-10.002077102661133</v>
      </c>
      <c r="G237" s="20">
        <v>-43.176528930664063</v>
      </c>
      <c r="H237" s="20">
        <v>7.5102098885323407</v>
      </c>
      <c r="I237" s="20">
        <v>0.81384546192686547</v>
      </c>
    </row>
    <row r="238" spans="1:9">
      <c r="A238" s="18">
        <v>416</v>
      </c>
      <c r="B238" s="20">
        <v>13.873332928925286</v>
      </c>
      <c r="C238" s="20">
        <v>7.8733329289252865</v>
      </c>
      <c r="D238" s="20">
        <v>799.12509225092253</v>
      </c>
      <c r="E238" s="20">
        <v>324.47330873308732</v>
      </c>
      <c r="F238" s="20">
        <v>-9.227874755859375</v>
      </c>
      <c r="G238" s="20">
        <v>-43.213363647460938</v>
      </c>
      <c r="H238" s="20">
        <v>7.4963916433611733</v>
      </c>
      <c r="I238" s="20">
        <v>0.79789961110454732</v>
      </c>
    </row>
    <row r="239" spans="1:9">
      <c r="A239" s="18">
        <v>417</v>
      </c>
      <c r="B239" s="20">
        <v>13.906682286927509</v>
      </c>
      <c r="C239" s="20">
        <v>7.9066822869275093</v>
      </c>
      <c r="D239" s="20">
        <v>804.78654862904204</v>
      </c>
      <c r="E239" s="20">
        <v>325.07180622156642</v>
      </c>
      <c r="F239" s="20">
        <v>-8.2112255096435547</v>
      </c>
      <c r="G239" s="20">
        <v>-43.325725555419922</v>
      </c>
      <c r="H239" s="20">
        <v>7.4977746138818162</v>
      </c>
      <c r="I239" s="20">
        <v>0.76712436315787857</v>
      </c>
    </row>
    <row r="240" spans="1:9">
      <c r="A240" s="18">
        <v>418</v>
      </c>
      <c r="B240" s="20">
        <v>13.940031644929734</v>
      </c>
      <c r="C240" s="20">
        <v>7.9400316449297339</v>
      </c>
      <c r="D240" s="20">
        <v>807.62616002006507</v>
      </c>
      <c r="E240" s="20">
        <v>325.4485828944068</v>
      </c>
      <c r="F240" s="20">
        <v>-7.7013659477233887</v>
      </c>
      <c r="G240" s="20">
        <v>-43.39593505859375</v>
      </c>
      <c r="H240" s="20">
        <v>7.4241221834676159</v>
      </c>
      <c r="I240" s="20">
        <v>0.80991266292942798</v>
      </c>
    </row>
    <row r="241" spans="1:9">
      <c r="A241" s="18">
        <v>419</v>
      </c>
      <c r="B241" s="20">
        <v>13.973381002931959</v>
      </c>
      <c r="C241" s="20">
        <v>7.9733810029319585</v>
      </c>
      <c r="D241" s="20">
        <v>816.58751515151505</v>
      </c>
      <c r="E241" s="20">
        <v>324.25200000000001</v>
      </c>
      <c r="F241" s="20">
        <v>-6.0898447036743164</v>
      </c>
      <c r="G241" s="20">
        <v>-43.186115264892578</v>
      </c>
      <c r="H241" s="20">
        <v>7.5515129124745641</v>
      </c>
      <c r="I241" s="20">
        <v>0.77563206706760113</v>
      </c>
    </row>
    <row r="242" spans="1:9">
      <c r="A242" s="18">
        <v>420</v>
      </c>
      <c r="B242" s="20">
        <v>14.006730360934183</v>
      </c>
      <c r="C242" s="20">
        <v>8.0067303609341831</v>
      </c>
      <c r="D242" s="20">
        <v>823.34714147286809</v>
      </c>
      <c r="E242" s="20">
        <v>323.97371608527129</v>
      </c>
      <c r="F242" s="20">
        <v>-4.8748435974121094</v>
      </c>
      <c r="G242" s="20">
        <v>-43.140735626220703</v>
      </c>
      <c r="H242" s="20">
        <v>7.5542584180779002</v>
      </c>
      <c r="I242" s="20">
        <v>0.77977755254444214</v>
      </c>
    </row>
    <row r="243" spans="1:9">
      <c r="A243" s="18">
        <v>421</v>
      </c>
      <c r="B243" s="20">
        <v>14.040079718936408</v>
      </c>
      <c r="C243" s="20">
        <v>8.0400797189364077</v>
      </c>
      <c r="D243" s="20">
        <v>831.2601297588443</v>
      </c>
      <c r="E243" s="20">
        <v>324.46064389766184</v>
      </c>
      <c r="F243" s="20">
        <v>-3.4532790184020996</v>
      </c>
      <c r="G243" s="20">
        <v>-43.234569549560547</v>
      </c>
      <c r="H243" s="20">
        <v>7.5143504070248861</v>
      </c>
      <c r="I243" s="20">
        <v>0.78642687383444565</v>
      </c>
    </row>
    <row r="244" spans="1:9">
      <c r="A244" s="18">
        <v>422</v>
      </c>
      <c r="B244" s="20">
        <v>14.073429076938631</v>
      </c>
      <c r="C244" s="20">
        <v>8.0734290769386305</v>
      </c>
      <c r="D244" s="20">
        <v>837.88876570583886</v>
      </c>
      <c r="E244" s="20">
        <v>324.16001478196603</v>
      </c>
      <c r="F244" s="20">
        <v>-2.2616896629333496</v>
      </c>
      <c r="G244" s="20">
        <v>-43.185050964355469</v>
      </c>
      <c r="H244" s="20">
        <v>7.4908572080232423</v>
      </c>
      <c r="I244" s="20">
        <v>0.77176542200783804</v>
      </c>
    </row>
    <row r="245" spans="1:9">
      <c r="A245" s="18">
        <v>423</v>
      </c>
      <c r="B245" s="20">
        <v>14.106778434940855</v>
      </c>
      <c r="C245" s="20">
        <v>8.1067784349408551</v>
      </c>
      <c r="D245" s="20">
        <v>843.22051282051279</v>
      </c>
      <c r="E245" s="20">
        <v>324.22857142857146</v>
      </c>
      <c r="F245" s="20">
        <v>-1.3035084009170532</v>
      </c>
      <c r="G245" s="20">
        <v>-43.201351165771484</v>
      </c>
      <c r="H245" s="20">
        <v>7.5240027557785139</v>
      </c>
      <c r="I245" s="20">
        <v>0.76999110534985871</v>
      </c>
    </row>
    <row r="246" spans="1:9">
      <c r="A246" s="18">
        <v>424</v>
      </c>
      <c r="B246" s="20">
        <v>14.14012779294308</v>
      </c>
      <c r="C246" s="20">
        <v>8.1401277929430798</v>
      </c>
      <c r="D246" s="20">
        <v>850.54237496920416</v>
      </c>
      <c r="E246" s="20">
        <v>323.69475240206947</v>
      </c>
      <c r="F246" s="20">
        <v>1.2970464304089546E-2</v>
      </c>
      <c r="G246" s="20">
        <v>-43.110164642333984</v>
      </c>
      <c r="H246" s="20">
        <v>7.4908572080232423</v>
      </c>
      <c r="I246" s="20">
        <v>0.80583565120844391</v>
      </c>
    </row>
    <row r="247" spans="1:9">
      <c r="A247" s="18">
        <v>425</v>
      </c>
      <c r="B247" s="20">
        <v>14.173477150945304</v>
      </c>
      <c r="C247" s="20">
        <v>8.1734771509453044</v>
      </c>
      <c r="D247" s="20">
        <v>857.6564663023679</v>
      </c>
      <c r="E247" s="20">
        <v>322.954584092289</v>
      </c>
      <c r="F247" s="20">
        <v>1.2923555374145508</v>
      </c>
      <c r="G247" s="20">
        <v>-42.98150634765625</v>
      </c>
      <c r="H247" s="20">
        <v>7.5446447774360612</v>
      </c>
      <c r="I247" s="20">
        <v>0.78033503171576013</v>
      </c>
    </row>
    <row r="248" spans="1:9">
      <c r="A248" s="18">
        <v>426</v>
      </c>
      <c r="B248" s="20">
        <v>14.206826508947529</v>
      </c>
      <c r="C248" s="20">
        <v>8.206826508947529</v>
      </c>
      <c r="D248" s="20">
        <v>864.98980969920183</v>
      </c>
      <c r="E248" s="20">
        <v>322.8271332105586</v>
      </c>
      <c r="F248" s="20">
        <v>2.6106119155883789</v>
      </c>
      <c r="G248" s="20">
        <v>-42.963813781738281</v>
      </c>
      <c r="H248" s="20">
        <v>7.5033039469444454</v>
      </c>
      <c r="I248" s="20">
        <v>0.79299922610122364</v>
      </c>
    </row>
    <row r="249" spans="1:9">
      <c r="A249" s="18">
        <v>427</v>
      </c>
      <c r="B249" s="20">
        <v>14.240175866949752</v>
      </c>
      <c r="C249" s="20">
        <v>8.2401758669497518</v>
      </c>
      <c r="D249" s="20">
        <v>870.66569343065692</v>
      </c>
      <c r="E249" s="20">
        <v>322.98527980535277</v>
      </c>
      <c r="F249" s="20">
        <v>3.6307330131530762</v>
      </c>
      <c r="G249" s="20">
        <v>-42.996562957763672</v>
      </c>
      <c r="H249" s="20">
        <v>7.53777038441185</v>
      </c>
      <c r="I249" s="20">
        <v>0.76082061595962702</v>
      </c>
    </row>
    <row r="250" spans="1:9">
      <c r="A250" s="18">
        <v>428</v>
      </c>
      <c r="B250" s="20">
        <v>14.273525224951976</v>
      </c>
      <c r="C250" s="20">
        <v>8.2735252249519764</v>
      </c>
      <c r="D250" s="20">
        <v>875.06787221217598</v>
      </c>
      <c r="E250" s="20">
        <v>322.69246534056657</v>
      </c>
      <c r="F250" s="20">
        <v>4.4223289489746094</v>
      </c>
      <c r="G250" s="20">
        <v>-42.946819305419922</v>
      </c>
      <c r="H250" s="20">
        <v>7.5720799398844596</v>
      </c>
      <c r="I250" s="20">
        <v>0.77024524469000111</v>
      </c>
    </row>
    <row r="251" spans="1:9">
      <c r="A251" s="18">
        <v>429</v>
      </c>
      <c r="B251" s="20">
        <v>14.306874582954201</v>
      </c>
      <c r="C251" s="20">
        <v>8.306874582954201</v>
      </c>
      <c r="D251" s="20">
        <v>882.0609149375075</v>
      </c>
      <c r="E251" s="20">
        <v>323.12110180803302</v>
      </c>
      <c r="F251" s="20">
        <v>5.6790552139282227</v>
      </c>
      <c r="G251" s="20">
        <v>-43.029449462890625</v>
      </c>
      <c r="H251" s="20">
        <v>7.5473927814526762</v>
      </c>
      <c r="I251" s="20">
        <v>0.76030955172381109</v>
      </c>
    </row>
    <row r="252" spans="1:9">
      <c r="A252" s="18">
        <v>430</v>
      </c>
      <c r="B252" s="20">
        <v>14.340223940956426</v>
      </c>
      <c r="C252" s="20">
        <v>8.3402239409564256</v>
      </c>
      <c r="D252" s="20">
        <v>888.1076363636364</v>
      </c>
      <c r="E252" s="20">
        <v>322.96315151515148</v>
      </c>
      <c r="F252" s="20">
        <v>6.7662415504455566</v>
      </c>
      <c r="G252" s="20">
        <v>-43.005302429199219</v>
      </c>
      <c r="H252" s="20">
        <v>7.5515129124745641</v>
      </c>
      <c r="I252" s="20">
        <v>0.75184053936533712</v>
      </c>
    </row>
    <row r="253" spans="1:9">
      <c r="A253" s="18">
        <v>431</v>
      </c>
      <c r="B253" s="20">
        <v>14.37357329895865</v>
      </c>
      <c r="C253" s="20">
        <v>8.3735732989586502</v>
      </c>
      <c r="D253" s="20">
        <v>889.39389481426997</v>
      </c>
      <c r="E253" s="20">
        <v>323.28895427240406</v>
      </c>
      <c r="F253" s="20">
        <v>6.9971952438354492</v>
      </c>
      <c r="G253" s="20">
        <v>-43.065166473388672</v>
      </c>
      <c r="H253" s="20">
        <v>7.5088292083315888</v>
      </c>
      <c r="I253" s="20">
        <v>0.81241893751029626</v>
      </c>
    </row>
    <row r="254" spans="1:9">
      <c r="A254" s="18">
        <v>432</v>
      </c>
      <c r="B254" s="20">
        <v>14.406922656960873</v>
      </c>
      <c r="C254" s="20">
        <v>8.406922656960873</v>
      </c>
      <c r="D254" s="20">
        <v>894.94408907841739</v>
      </c>
      <c r="E254" s="20">
        <v>322.58659085524755</v>
      </c>
      <c r="F254" s="20">
        <v>7.9956259727478027</v>
      </c>
      <c r="G254" s="20">
        <v>-42.942184448242188</v>
      </c>
      <c r="H254" s="20">
        <v>7.6388796705965873</v>
      </c>
      <c r="I254" s="20">
        <v>0.79368314189627087</v>
      </c>
    </row>
    <row r="255" spans="1:9">
      <c r="A255" s="18">
        <v>433</v>
      </c>
      <c r="B255" s="20">
        <v>14.440272014963098</v>
      </c>
      <c r="C255" s="20">
        <v>8.4402720149630976</v>
      </c>
      <c r="D255" s="20">
        <v>901.90730067243032</v>
      </c>
      <c r="E255" s="20">
        <v>322.94548511047071</v>
      </c>
      <c r="F255" s="20">
        <v>9.2472152709960938</v>
      </c>
      <c r="G255" s="20">
        <v>-43.012191772460938</v>
      </c>
      <c r="H255" s="20">
        <v>7.5871269928128733</v>
      </c>
      <c r="I255" s="20">
        <v>0.77937752321739229</v>
      </c>
    </row>
    <row r="256" spans="1:9">
      <c r="A256" s="18">
        <v>434</v>
      </c>
      <c r="B256" s="20">
        <v>14.473621372965322</v>
      </c>
      <c r="C256" s="20">
        <v>8.4736213729653223</v>
      </c>
      <c r="D256" s="20">
        <v>908.90401146131808</v>
      </c>
      <c r="E256" s="20">
        <v>322.79202483285576</v>
      </c>
      <c r="F256" s="20">
        <v>10.505326271057129</v>
      </c>
      <c r="G256" s="20">
        <v>-42.989543914794922</v>
      </c>
      <c r="H256" s="20">
        <v>7.6089604969217488</v>
      </c>
      <c r="I256" s="20">
        <v>0.79629307655888071</v>
      </c>
    </row>
    <row r="257" spans="1:9">
      <c r="A257" s="18">
        <v>435</v>
      </c>
      <c r="B257" s="20">
        <v>14.506970730967547</v>
      </c>
      <c r="C257" s="20">
        <v>8.5069707309675469</v>
      </c>
      <c r="D257" s="20">
        <v>912.31522271169842</v>
      </c>
      <c r="E257" s="20">
        <v>322.7626040137053</v>
      </c>
      <c r="F257" s="20">
        <v>11.118700981140137</v>
      </c>
      <c r="G257" s="20">
        <v>-42.986713409423828</v>
      </c>
      <c r="H257" s="20">
        <v>7.5157300729516914</v>
      </c>
      <c r="I257" s="20">
        <v>0.77331932279742788</v>
      </c>
    </row>
    <row r="258" spans="1:9">
      <c r="A258" s="18">
        <v>436</v>
      </c>
      <c r="B258" s="20">
        <v>14.540320088969771</v>
      </c>
      <c r="C258" s="20">
        <v>8.5403200889697715</v>
      </c>
      <c r="D258" s="20">
        <v>915.33321424318206</v>
      </c>
      <c r="E258" s="20">
        <v>322.23591758961533</v>
      </c>
      <c r="F258" s="20">
        <v>11.661783218383789</v>
      </c>
      <c r="G258" s="20">
        <v>-42.893657684326172</v>
      </c>
      <c r="H258" s="20">
        <v>7.6184929791346043</v>
      </c>
      <c r="I258" s="20">
        <v>0.77470201747723888</v>
      </c>
    </row>
    <row r="259" spans="1:9">
      <c r="A259" s="18">
        <v>437</v>
      </c>
      <c r="B259" s="20">
        <v>14.573669446971994</v>
      </c>
      <c r="C259" s="20">
        <v>8.5736694469719943</v>
      </c>
      <c r="D259" s="20">
        <v>923.03084472485102</v>
      </c>
      <c r="E259" s="20">
        <v>322.6112863652296</v>
      </c>
      <c r="F259" s="20">
        <v>13.045589447021484</v>
      </c>
      <c r="G259" s="20">
        <v>-42.967174530029297</v>
      </c>
      <c r="H259" s="20">
        <v>7.6916321888499901</v>
      </c>
      <c r="I259" s="20">
        <v>0.80207306536299061</v>
      </c>
    </row>
    <row r="260" spans="1:9">
      <c r="A260" s="18">
        <v>438</v>
      </c>
      <c r="B260" s="20">
        <v>14.607018804974219</v>
      </c>
      <c r="C260" s="20">
        <v>8.6070188049742189</v>
      </c>
      <c r="D260" s="20">
        <v>928.63280689160081</v>
      </c>
      <c r="E260" s="20">
        <v>322.99353912419241</v>
      </c>
      <c r="F260" s="20">
        <v>14.052620887756348</v>
      </c>
      <c r="G260" s="20">
        <v>-43.040409088134766</v>
      </c>
      <c r="H260" s="20">
        <v>7.6007802825909545</v>
      </c>
      <c r="I260" s="20">
        <v>0.83359318132272409</v>
      </c>
    </row>
    <row r="261" spans="1:9">
      <c r="A261" s="18">
        <v>439</v>
      </c>
      <c r="B261" s="20">
        <v>14.640368162976444</v>
      </c>
      <c r="C261" s="20">
        <v>8.6403681629764435</v>
      </c>
      <c r="D261" s="20">
        <v>937.15145030908218</v>
      </c>
      <c r="E261" s="20">
        <v>322.41155492154064</v>
      </c>
      <c r="F261" s="20">
        <v>15.584962844848633</v>
      </c>
      <c r="G261" s="20">
        <v>-42.941360473632813</v>
      </c>
      <c r="H261" s="20">
        <v>7.625294599076164</v>
      </c>
      <c r="I261" s="20">
        <v>0.81249137851473019</v>
      </c>
    </row>
    <row r="262" spans="1:9">
      <c r="A262" s="18">
        <v>440</v>
      </c>
      <c r="B262" s="20">
        <v>14.673717520978668</v>
      </c>
      <c r="C262" s="20">
        <v>8.6737175209786681</v>
      </c>
      <c r="D262" s="20">
        <v>942.86412512218953</v>
      </c>
      <c r="E262" s="20">
        <v>322.36559139784941</v>
      </c>
      <c r="F262" s="20">
        <v>16.612339019775391</v>
      </c>
      <c r="G262" s="20">
        <v>-42.937221527099609</v>
      </c>
      <c r="H262" s="20">
        <v>7.5212462058579037</v>
      </c>
      <c r="I262" s="20">
        <v>0.78164994060244375</v>
      </c>
    </row>
    <row r="263" spans="1:9">
      <c r="A263" s="18">
        <v>441</v>
      </c>
      <c r="B263" s="20">
        <v>14.707066878980893</v>
      </c>
      <c r="C263" s="20">
        <v>8.7070668789808927</v>
      </c>
      <c r="D263" s="20">
        <v>947.40857108462728</v>
      </c>
      <c r="E263" s="20">
        <v>322.21150836643795</v>
      </c>
      <c r="F263" s="20">
        <v>17.429729461669922</v>
      </c>
      <c r="G263" s="20">
        <v>-42.912670135498047</v>
      </c>
      <c r="H263" s="20">
        <v>7.5775550526315625</v>
      </c>
      <c r="I263" s="20">
        <v>0.81256930388157234</v>
      </c>
    </row>
    <row r="264" spans="1:9">
      <c r="A264" s="18">
        <v>442</v>
      </c>
      <c r="B264" s="20">
        <v>14.740416236983116</v>
      </c>
      <c r="C264" s="20">
        <v>8.7404162369831155</v>
      </c>
      <c r="D264" s="20">
        <v>952.29676562877137</v>
      </c>
      <c r="E264" s="20">
        <v>321.98793145063962</v>
      </c>
      <c r="F264" s="20">
        <v>18.309017181396484</v>
      </c>
      <c r="G264" s="20">
        <v>-42.875797271728516</v>
      </c>
      <c r="H264" s="20">
        <v>7.5679710059073653</v>
      </c>
      <c r="I264" s="20">
        <v>0.75855141090411382</v>
      </c>
    </row>
    <row r="265" spans="1:9">
      <c r="A265" s="18">
        <v>443</v>
      </c>
      <c r="B265" s="20">
        <v>14.77376559498534</v>
      </c>
      <c r="C265" s="20">
        <v>8.7737655949853401</v>
      </c>
      <c r="D265" s="20">
        <v>955.24122174122169</v>
      </c>
      <c r="E265" s="20">
        <v>321.76767676767679</v>
      </c>
      <c r="F265" s="20">
        <v>18.838743209838867</v>
      </c>
      <c r="G265" s="20">
        <v>-42.838100433349609</v>
      </c>
      <c r="H265" s="20">
        <v>7.5816587924680601</v>
      </c>
      <c r="I265" s="20">
        <v>0.78183712360414204</v>
      </c>
    </row>
    <row r="266" spans="1:9">
      <c r="A266" s="18">
        <v>444</v>
      </c>
      <c r="B266" s="20">
        <v>14.807114952987565</v>
      </c>
      <c r="C266" s="20">
        <v>8.8071149529875647</v>
      </c>
      <c r="D266" s="20">
        <v>957.51867919980714</v>
      </c>
      <c r="E266" s="20">
        <v>321.95866473849117</v>
      </c>
      <c r="F266" s="20">
        <v>19.248203277587891</v>
      </c>
      <c r="G266" s="20">
        <v>-42.874317169189453</v>
      </c>
      <c r="H266" s="20">
        <v>7.5734490891479567</v>
      </c>
      <c r="I266" s="20">
        <v>0.78014483670401036</v>
      </c>
    </row>
    <row r="267" spans="1:9">
      <c r="A267" s="18">
        <v>445</v>
      </c>
      <c r="B267" s="20">
        <v>14.840464310989789</v>
      </c>
      <c r="C267" s="20">
        <v>8.8404643109897894</v>
      </c>
      <c r="D267" s="20">
        <v>964.0049146086742</v>
      </c>
      <c r="E267" s="20">
        <v>322.12741122988081</v>
      </c>
      <c r="F267" s="20">
        <v>20.414674758911133</v>
      </c>
      <c r="G267" s="20">
        <v>-42.909576416015625</v>
      </c>
      <c r="H267" s="20">
        <v>7.5005397899352122</v>
      </c>
      <c r="I267" s="20">
        <v>0.810626176477243</v>
      </c>
    </row>
    <row r="268" spans="1:9">
      <c r="A268" s="18">
        <v>446</v>
      </c>
      <c r="B268" s="20">
        <v>14.873813668992014</v>
      </c>
      <c r="C268" s="20">
        <v>8.873813668992014</v>
      </c>
      <c r="D268" s="20">
        <v>969.35684298908473</v>
      </c>
      <c r="E268" s="20">
        <v>321.88856902962692</v>
      </c>
      <c r="F268" s="20">
        <v>21.377468109130859</v>
      </c>
      <c r="G268" s="20">
        <v>-42.870281219482422</v>
      </c>
      <c r="H268" s="20">
        <v>7.5912255581569861</v>
      </c>
      <c r="I268" s="20">
        <v>0.81169239518143954</v>
      </c>
    </row>
    <row r="269" spans="1:9">
      <c r="A269" s="18">
        <v>447</v>
      </c>
      <c r="B269" s="20">
        <v>14.907163026994237</v>
      </c>
      <c r="C269" s="20">
        <v>8.9071630269942368</v>
      </c>
      <c r="D269" s="20">
        <v>974.91616341030192</v>
      </c>
      <c r="E269" s="20">
        <v>321.99029011249257</v>
      </c>
      <c r="F269" s="20">
        <v>22.377336502075195</v>
      </c>
      <c r="G269" s="20">
        <v>-42.892742156982422</v>
      </c>
      <c r="H269" s="20">
        <v>7.6402368491931707</v>
      </c>
      <c r="I269" s="20">
        <v>0.82220729939087656</v>
      </c>
    </row>
    <row r="270" spans="1:9">
      <c r="A270" s="18">
        <v>448</v>
      </c>
      <c r="B270" s="20">
        <v>14.940512384996461</v>
      </c>
      <c r="C270" s="20">
        <v>8.9405123849964614</v>
      </c>
      <c r="D270" s="20">
        <v>980.99904625655688</v>
      </c>
      <c r="E270" s="20">
        <v>322.19492131616596</v>
      </c>
      <c r="F270" s="20">
        <v>23.471353530883789</v>
      </c>
      <c r="G270" s="20">
        <v>-42.934207916259766</v>
      </c>
      <c r="H270" s="20">
        <v>7.6144090908866424</v>
      </c>
      <c r="I270" s="20">
        <v>0.80113388340338443</v>
      </c>
    </row>
    <row r="271" spans="1:9">
      <c r="A271" s="18">
        <v>449</v>
      </c>
      <c r="B271" s="20">
        <v>14.973861742998686</v>
      </c>
      <c r="C271" s="20">
        <v>8.973861742998686</v>
      </c>
      <c r="D271" s="20">
        <v>987.55700517160312</v>
      </c>
      <c r="E271" s="20">
        <v>322.34426422190876</v>
      </c>
      <c r="F271" s="20">
        <v>24.650920867919922</v>
      </c>
      <c r="G271" s="20">
        <v>-42.966018676757813</v>
      </c>
      <c r="H271" s="20">
        <v>7.6686821162434411</v>
      </c>
      <c r="I271" s="20">
        <v>0.82560706697732</v>
      </c>
    </row>
    <row r="272" spans="1:9">
      <c r="A272" s="18">
        <v>450</v>
      </c>
      <c r="B272" s="20">
        <v>15.007211101000911</v>
      </c>
      <c r="C272" s="20">
        <v>9.0072111010009106</v>
      </c>
      <c r="D272" s="20">
        <v>992.94668587896251</v>
      </c>
      <c r="E272" s="20">
        <v>322.58273294908741</v>
      </c>
      <c r="F272" s="20">
        <v>25.620311737060547</v>
      </c>
      <c r="G272" s="20">
        <v>-43.013099670410156</v>
      </c>
      <c r="H272" s="20">
        <v>7.5871269928128733</v>
      </c>
      <c r="I272" s="20">
        <v>0.80437805649383243</v>
      </c>
    </row>
    <row r="273" spans="1:9">
      <c r="A273" s="18">
        <v>451</v>
      </c>
      <c r="B273" s="20">
        <v>15.040560459003135</v>
      </c>
      <c r="C273" s="20">
        <v>9.0405604590031352</v>
      </c>
      <c r="D273" s="20">
        <v>997.23067362664676</v>
      </c>
      <c r="E273" s="20">
        <v>323.69313944817299</v>
      </c>
      <c r="F273" s="20">
        <v>26.390205383300781</v>
      </c>
      <c r="G273" s="20">
        <v>-43.217136383056641</v>
      </c>
      <c r="H273" s="20">
        <v>7.4575643445447293</v>
      </c>
      <c r="I273" s="20">
        <v>0.76994696114788497</v>
      </c>
    </row>
    <row r="274" spans="1:9">
      <c r="A274" s="18">
        <v>452</v>
      </c>
      <c r="B274" s="20">
        <v>15.073909817005358</v>
      </c>
      <c r="C274" s="20">
        <v>9.073909817005358</v>
      </c>
      <c r="D274" s="20">
        <v>1002.8116580945382</v>
      </c>
      <c r="E274" s="20">
        <v>323.93913788880724</v>
      </c>
      <c r="F274" s="20">
        <v>27.394079208374023</v>
      </c>
      <c r="G274" s="20">
        <v>-43.265727996826172</v>
      </c>
      <c r="H274" s="20">
        <v>7.5129704877391674</v>
      </c>
      <c r="I274" s="20">
        <v>0.76421672247074302</v>
      </c>
    </row>
    <row r="275" spans="1:9">
      <c r="A275" s="18">
        <v>453</v>
      </c>
      <c r="B275" s="20">
        <v>15.107259175007583</v>
      </c>
      <c r="C275" s="20">
        <v>9.1072591750075826</v>
      </c>
      <c r="D275" s="20">
        <v>1009.7300704486466</v>
      </c>
      <c r="E275" s="20">
        <v>324.5355333086145</v>
      </c>
      <c r="F275" s="20">
        <v>28.638376235961914</v>
      </c>
      <c r="G275" s="20">
        <v>-43.378700256347656</v>
      </c>
      <c r="H275" s="20">
        <v>7.4783897532661019</v>
      </c>
      <c r="I275" s="20">
        <v>0.83253269348383863</v>
      </c>
    </row>
    <row r="276" spans="1:9">
      <c r="A276" s="18">
        <v>454</v>
      </c>
      <c r="B276" s="20">
        <v>15.140608533009807</v>
      </c>
      <c r="C276" s="20">
        <v>9.1406085330098072</v>
      </c>
      <c r="D276" s="20">
        <v>1014.3415310427968</v>
      </c>
      <c r="E276" s="20">
        <v>324.63459915611816</v>
      </c>
      <c r="F276" s="20">
        <v>29.468008041381836</v>
      </c>
      <c r="G276" s="20">
        <v>-43.400005340576172</v>
      </c>
      <c r="H276" s="20">
        <v>7.5720799398844596</v>
      </c>
      <c r="I276" s="20">
        <v>0.80760326472712507</v>
      </c>
    </row>
    <row r="277" spans="1:9">
      <c r="A277" s="18">
        <v>455</v>
      </c>
      <c r="B277" s="20">
        <v>15.173957891012032</v>
      </c>
      <c r="C277" s="20">
        <v>9.1739578910120319</v>
      </c>
      <c r="D277" s="20">
        <v>1023.0696750902528</v>
      </c>
      <c r="E277" s="20">
        <v>326.05691937424785</v>
      </c>
      <c r="F277" s="20">
        <v>31.037509918212891</v>
      </c>
      <c r="G277" s="20">
        <v>-43.663761138916016</v>
      </c>
      <c r="H277" s="20">
        <v>7.5789232128038808</v>
      </c>
      <c r="I277" s="20">
        <v>0.80263948720746248</v>
      </c>
    </row>
    <row r="278" spans="1:9">
      <c r="A278" s="18">
        <v>456</v>
      </c>
      <c r="B278" s="20">
        <v>15.207307249014256</v>
      </c>
      <c r="C278" s="20">
        <v>9.2073072490142565</v>
      </c>
      <c r="D278" s="20">
        <v>1029.2919952210275</v>
      </c>
      <c r="E278" s="20">
        <v>326.66881720430109</v>
      </c>
      <c r="F278" s="20">
        <v>32.156742095947266</v>
      </c>
      <c r="G278" s="20">
        <v>-43.779052734375</v>
      </c>
      <c r="H278" s="20">
        <v>7.6062347363123708</v>
      </c>
      <c r="I278" s="20">
        <v>0.82145384718869252</v>
      </c>
    </row>
    <row r="279" spans="1:9">
      <c r="A279" s="18">
        <v>457</v>
      </c>
      <c r="B279" s="20">
        <v>15.240656607016479</v>
      </c>
      <c r="C279" s="20">
        <v>9.2406566070164793</v>
      </c>
      <c r="D279" s="20">
        <v>1033.2049606775558</v>
      </c>
      <c r="E279" s="20">
        <v>325.85989110707806</v>
      </c>
      <c r="F279" s="20">
        <v>32.861366271972656</v>
      </c>
      <c r="G279" s="20">
        <v>-43.635540008544922</v>
      </c>
      <c r="H279" s="20">
        <v>7.5583748065868592</v>
      </c>
      <c r="I279" s="20">
        <v>0.79197946992052426</v>
      </c>
    </row>
    <row r="280" spans="1:9">
      <c r="A280" s="18">
        <v>458</v>
      </c>
      <c r="B280" s="20">
        <v>15.274005965018704</v>
      </c>
      <c r="C280" s="20">
        <v>9.2740059650187039</v>
      </c>
      <c r="D280" s="20">
        <v>1038.1034107402031</v>
      </c>
      <c r="E280" s="20">
        <v>326.67259313014029</v>
      </c>
      <c r="F280" s="20">
        <v>33.742324829101563</v>
      </c>
      <c r="G280" s="20">
        <v>-43.786201477050781</v>
      </c>
      <c r="H280" s="20">
        <v>7.5597464379939563</v>
      </c>
      <c r="I280" s="20">
        <v>0.82072544385999824</v>
      </c>
    </row>
    <row r="281" spans="1:9">
      <c r="A281" s="18">
        <v>459</v>
      </c>
      <c r="B281" s="20">
        <v>15.307355323020928</v>
      </c>
      <c r="C281" s="20">
        <v>9.3073553230209285</v>
      </c>
      <c r="D281" s="20">
        <v>1043.4701616737991</v>
      </c>
      <c r="E281" s="20">
        <v>325.88349976224441</v>
      </c>
      <c r="F281" s="20">
        <v>34.708591461181641</v>
      </c>
      <c r="G281" s="20">
        <v>-43.6473388671875</v>
      </c>
      <c r="H281" s="20">
        <v>7.625294599076164</v>
      </c>
      <c r="I281" s="20">
        <v>0.7908626603845651</v>
      </c>
    </row>
    <row r="282" spans="1:9">
      <c r="A282" s="18">
        <v>460</v>
      </c>
      <c r="B282" s="20">
        <v>15.340704681023153</v>
      </c>
      <c r="C282" s="20">
        <v>9.3407046810231531</v>
      </c>
      <c r="D282" s="20">
        <v>1047.0039927404719</v>
      </c>
      <c r="E282" s="20">
        <v>324.97737447065941</v>
      </c>
      <c r="F282" s="20">
        <v>35.345081329345703</v>
      </c>
      <c r="G282" s="20">
        <v>-43.485950469970703</v>
      </c>
      <c r="H282" s="20">
        <v>7.5583748065868592</v>
      </c>
      <c r="I282" s="20">
        <v>0.78680567285165792</v>
      </c>
    </row>
    <row r="283" spans="1:9">
      <c r="A283" s="18">
        <v>461</v>
      </c>
      <c r="B283" s="20">
        <v>15.374054039025378</v>
      </c>
      <c r="C283" s="20">
        <v>9.3740540390253777</v>
      </c>
      <c r="D283" s="20">
        <v>1050.9954452834711</v>
      </c>
      <c r="E283" s="20">
        <v>325.00095888769027</v>
      </c>
      <c r="F283" s="20">
        <v>36.063373565673828</v>
      </c>
      <c r="G283" s="20">
        <v>-43.493141174316406</v>
      </c>
      <c r="H283" s="20">
        <v>7.5939567061345947</v>
      </c>
      <c r="I283" s="20">
        <v>0.79056893250322391</v>
      </c>
    </row>
    <row r="284" spans="1:9">
      <c r="A284" s="18">
        <v>462</v>
      </c>
      <c r="B284" s="20">
        <v>15.407403397027601</v>
      </c>
      <c r="C284" s="20">
        <v>9.4074033970276005</v>
      </c>
      <c r="D284" s="20">
        <v>1055.8816492450637</v>
      </c>
      <c r="E284" s="20">
        <v>324.23042973286874</v>
      </c>
      <c r="F284" s="20">
        <v>36.943164825439453</v>
      </c>
      <c r="G284" s="20">
        <v>-43.357284545898438</v>
      </c>
      <c r="H284" s="20">
        <v>7.7145139870969572</v>
      </c>
      <c r="I284" s="20">
        <v>0.81321278190499613</v>
      </c>
    </row>
    <row r="285" spans="1:9">
      <c r="A285" s="18">
        <v>463</v>
      </c>
      <c r="B285" s="20">
        <v>15.440752755029825</v>
      </c>
      <c r="C285" s="20">
        <v>9.4407527550298251</v>
      </c>
      <c r="D285" s="20">
        <v>1064.5361657303372</v>
      </c>
      <c r="E285" s="20">
        <v>325.18293539325845</v>
      </c>
      <c r="F285" s="20">
        <v>38.500194549560547</v>
      </c>
      <c r="G285" s="20">
        <v>-43.535991668701172</v>
      </c>
      <c r="H285" s="20">
        <v>7.6848892821547166</v>
      </c>
      <c r="I285" s="20">
        <v>0.79807467636691465</v>
      </c>
    </row>
    <row r="286" spans="1:9">
      <c r="A286" s="18">
        <v>464</v>
      </c>
      <c r="B286" s="20">
        <v>15.47410211303205</v>
      </c>
      <c r="C286" s="20">
        <v>9.4741021130320497</v>
      </c>
      <c r="D286" s="20">
        <v>1070.0969399672972</v>
      </c>
      <c r="E286" s="20">
        <v>324.67846297594019</v>
      </c>
      <c r="F286" s="20">
        <v>39.501323699951172</v>
      </c>
      <c r="G286" s="20">
        <v>-43.448772430419922</v>
      </c>
      <c r="H286" s="20">
        <v>7.6929800609691341</v>
      </c>
      <c r="I286" s="20">
        <v>0.79610311931396482</v>
      </c>
    </row>
    <row r="287" spans="1:9">
      <c r="A287" s="18">
        <v>465</v>
      </c>
      <c r="B287" s="20">
        <v>15.507451471034274</v>
      </c>
      <c r="C287" s="20">
        <v>9.5074514710342743</v>
      </c>
      <c r="D287" s="20">
        <v>1073.5174327421885</v>
      </c>
      <c r="E287" s="20">
        <v>324.02581734829289</v>
      </c>
      <c r="F287" s="20">
        <v>40.117336273193359</v>
      </c>
      <c r="G287" s="20">
        <v>-43.333164215087891</v>
      </c>
      <c r="H287" s="20">
        <v>7.5693408983986119</v>
      </c>
      <c r="I287" s="20">
        <v>0.781838663004507</v>
      </c>
    </row>
    <row r="288" spans="1:9">
      <c r="A288" s="18">
        <v>466</v>
      </c>
      <c r="B288" s="20">
        <v>15.540800829036499</v>
      </c>
      <c r="C288" s="20">
        <v>9.540800829036499</v>
      </c>
      <c r="D288" s="20">
        <v>1078.647633172661</v>
      </c>
      <c r="E288" s="20">
        <v>324.1887282165369</v>
      </c>
      <c r="F288" s="20">
        <v>41.040618896484375</v>
      </c>
      <c r="G288" s="20">
        <v>-43.366401672363281</v>
      </c>
      <c r="H288" s="20">
        <v>7.4783897532661019</v>
      </c>
      <c r="I288" s="20">
        <v>0.79298053366881527</v>
      </c>
    </row>
    <row r="289" spans="1:9">
      <c r="A289" s="18">
        <v>467</v>
      </c>
      <c r="B289" s="20">
        <v>15.574150187038722</v>
      </c>
      <c r="C289" s="20">
        <v>9.5741501870387218</v>
      </c>
      <c r="D289" s="20">
        <v>1085.5706214689264</v>
      </c>
      <c r="E289" s="20">
        <v>324.03125375646113</v>
      </c>
      <c r="F289" s="20">
        <v>42.286838531494141</v>
      </c>
      <c r="G289" s="20">
        <v>-43.342971801757813</v>
      </c>
      <c r="H289" s="20">
        <v>7.5830262122271224</v>
      </c>
      <c r="I289" s="20">
        <v>0.78466833605193542</v>
      </c>
    </row>
    <row r="290" spans="1:9">
      <c r="A290" s="18">
        <v>468</v>
      </c>
      <c r="B290" s="20">
        <v>15.607499545040946</v>
      </c>
      <c r="C290" s="20">
        <v>9.6074995450409464</v>
      </c>
      <c r="D290" s="20">
        <v>1090.2292040694194</v>
      </c>
      <c r="E290" s="20">
        <v>323.90484739676839</v>
      </c>
      <c r="F290" s="20">
        <v>43.125465393066406</v>
      </c>
      <c r="G290" s="20">
        <v>-43.323505401611328</v>
      </c>
      <c r="H290" s="20">
        <v>7.5994160574552083</v>
      </c>
      <c r="I290" s="20">
        <v>0.80060356449061609</v>
      </c>
    </row>
    <row r="291" spans="1:9">
      <c r="A291" s="18">
        <v>469</v>
      </c>
      <c r="B291" s="20">
        <v>15.640848903043171</v>
      </c>
      <c r="C291" s="20">
        <v>9.640848903043171</v>
      </c>
      <c r="D291" s="20">
        <v>1098.2940389294404</v>
      </c>
      <c r="E291" s="20">
        <v>324.08211678832117</v>
      </c>
      <c r="F291" s="20">
        <v>44.577121734619141</v>
      </c>
      <c r="G291" s="20">
        <v>-43.361495971679688</v>
      </c>
      <c r="H291" s="20">
        <v>7.53777038441185</v>
      </c>
      <c r="I291" s="20">
        <v>0.79025928947505064</v>
      </c>
    </row>
    <row r="292" spans="1:9">
      <c r="A292" s="18">
        <v>470</v>
      </c>
      <c r="B292" s="20">
        <v>15.674198261045396</v>
      </c>
      <c r="C292" s="20">
        <v>9.6741982610453956</v>
      </c>
      <c r="D292" s="20">
        <v>1101.1327294685989</v>
      </c>
      <c r="E292" s="20">
        <v>323.41316425120772</v>
      </c>
      <c r="F292" s="20">
        <v>45.088466644287109</v>
      </c>
      <c r="G292" s="20">
        <v>-43.242504119873047</v>
      </c>
      <c r="H292" s="20">
        <v>7.5652304767550733</v>
      </c>
      <c r="I292" s="20">
        <v>0.78716650581730718</v>
      </c>
    </row>
    <row r="293" spans="1:9">
      <c r="A293" s="18">
        <v>471</v>
      </c>
      <c r="B293" s="20">
        <v>15.70754761904762</v>
      </c>
      <c r="C293" s="20">
        <v>9.7075476190476202</v>
      </c>
      <c r="D293" s="20">
        <v>1104.2097365000591</v>
      </c>
      <c r="E293" s="20">
        <v>321.48115325534678</v>
      </c>
      <c r="F293" s="20">
        <v>45.64337158203125</v>
      </c>
      <c r="G293" s="20">
        <v>-42.89508056640625</v>
      </c>
      <c r="H293" s="20">
        <v>7.6483748634112736</v>
      </c>
      <c r="I293" s="20">
        <v>0.78079113411462375</v>
      </c>
    </row>
    <row r="294" spans="1:9">
      <c r="A294" s="18">
        <v>472</v>
      </c>
      <c r="B294" s="20">
        <v>15.740896977049843</v>
      </c>
      <c r="C294" s="20">
        <v>9.740896977049843</v>
      </c>
      <c r="D294" s="20">
        <v>1109.0842464946388</v>
      </c>
      <c r="E294" s="20">
        <v>320.26381524684808</v>
      </c>
      <c r="F294" s="20">
        <v>46.521488189697266</v>
      </c>
      <c r="G294" s="20">
        <v>-42.678329467773438</v>
      </c>
      <c r="H294" s="20">
        <v>7.6592120985506327</v>
      </c>
      <c r="I294" s="20">
        <v>0.81325223839998306</v>
      </c>
    </row>
    <row r="295" spans="1:9">
      <c r="A295" s="18">
        <v>473</v>
      </c>
      <c r="B295" s="20">
        <v>15.774246335052068</v>
      </c>
      <c r="C295" s="20">
        <v>9.7742463350520676</v>
      </c>
      <c r="D295" s="20">
        <v>1114.6491351923755</v>
      </c>
      <c r="E295" s="20">
        <v>320.39145781856689</v>
      </c>
      <c r="F295" s="20">
        <v>47.523246765136719</v>
      </c>
      <c r="G295" s="20">
        <v>-42.705490112304688</v>
      </c>
      <c r="H295" s="20">
        <v>7.664624969967277</v>
      </c>
      <c r="I295" s="20">
        <v>0.81440211915965333</v>
      </c>
    </row>
    <row r="296" spans="1:9">
      <c r="A296" s="18">
        <v>474</v>
      </c>
      <c r="B296" s="20">
        <v>15.807595693054292</v>
      </c>
      <c r="C296" s="20">
        <v>9.8075956930542922</v>
      </c>
      <c r="D296" s="20">
        <v>1113.7536179882788</v>
      </c>
      <c r="E296" s="20">
        <v>317.97404616672645</v>
      </c>
      <c r="F296" s="20">
        <v>47.36322021484375</v>
      </c>
      <c r="G296" s="20">
        <v>-42.267333984375</v>
      </c>
      <c r="H296" s="20">
        <v>7.6021442629128542</v>
      </c>
      <c r="I296" s="20">
        <v>0.77993375403514142</v>
      </c>
    </row>
    <row r="297" spans="1:9">
      <c r="A297" s="18">
        <v>475</v>
      </c>
      <c r="B297" s="20">
        <v>15.840945051056517</v>
      </c>
      <c r="C297" s="20">
        <v>9.8409450510565168</v>
      </c>
      <c r="D297" s="20">
        <v>1119.1921188166248</v>
      </c>
      <c r="E297" s="20">
        <v>317.96993651934361</v>
      </c>
      <c r="F297" s="20">
        <v>48.34228515625</v>
      </c>
      <c r="G297" s="20">
        <v>-42.270553588867188</v>
      </c>
      <c r="H297" s="20">
        <v>7.5966868722145788</v>
      </c>
      <c r="I297" s="20">
        <v>0.77525949944747663</v>
      </c>
    </row>
    <row r="298" spans="1:9">
      <c r="A298" s="18">
        <v>476</v>
      </c>
      <c r="B298" s="20">
        <v>15.87429440905874</v>
      </c>
      <c r="C298" s="20">
        <v>9.8742944090587397</v>
      </c>
      <c r="D298" s="20">
        <v>1124.7946563994865</v>
      </c>
      <c r="E298" s="20">
        <v>317.29774822074438</v>
      </c>
      <c r="F298" s="20">
        <v>49.351234436035156</v>
      </c>
      <c r="G298" s="20">
        <v>-42.152984619140625</v>
      </c>
      <c r="H298" s="20">
        <v>7.6970222611224646</v>
      </c>
      <c r="I298" s="20">
        <v>0.77859959423274372</v>
      </c>
    </row>
    <row r="299" spans="1:9">
      <c r="A299" s="18">
        <v>477</v>
      </c>
      <c r="B299" s="20">
        <v>15.907643767060964</v>
      </c>
      <c r="C299" s="20">
        <v>9.9076437670609643</v>
      </c>
      <c r="D299" s="20">
        <v>1131.6904926335174</v>
      </c>
      <c r="E299" s="20">
        <v>317.42483885819519</v>
      </c>
      <c r="F299" s="20">
        <v>50.592689514160156</v>
      </c>
      <c r="G299" s="20">
        <v>-42.181007385253906</v>
      </c>
      <c r="H299" s="20">
        <v>7.7493789941461921</v>
      </c>
      <c r="I299" s="20">
        <v>0.77472945180439945</v>
      </c>
    </row>
    <row r="300" spans="1:9">
      <c r="A300" s="18">
        <v>478</v>
      </c>
      <c r="B300" s="20">
        <v>15.940993125063189</v>
      </c>
      <c r="C300" s="20">
        <v>9.9409931250631889</v>
      </c>
      <c r="D300" s="20">
        <v>1136.2988024648296</v>
      </c>
      <c r="E300" s="20">
        <v>315.55970236019067</v>
      </c>
      <c r="F300" s="20">
        <v>51.423225402832031</v>
      </c>
      <c r="G300" s="20">
        <v>-41.8468017578125</v>
      </c>
      <c r="H300" s="20">
        <v>7.7104809569422113</v>
      </c>
      <c r="I300" s="20">
        <v>0.81879196517811359</v>
      </c>
    </row>
    <row r="301" spans="1:9">
      <c r="A301" s="18">
        <v>479</v>
      </c>
      <c r="B301" s="20">
        <v>15.974342483065413</v>
      </c>
      <c r="C301" s="20">
        <v>9.9743424830654135</v>
      </c>
      <c r="D301" s="20">
        <v>1142.2489406779662</v>
      </c>
      <c r="E301" s="20">
        <v>313.30779190207153</v>
      </c>
      <c r="F301" s="20">
        <v>52.495510101318359</v>
      </c>
      <c r="G301" s="20">
        <v>-41.443584442138672</v>
      </c>
      <c r="H301" s="20">
        <v>7.6632721105498076</v>
      </c>
      <c r="I301" s="20">
        <v>0.81144891455797419</v>
      </c>
    </row>
    <row r="302" spans="1:9">
      <c r="A302" s="18">
        <v>480</v>
      </c>
      <c r="B302" s="20">
        <v>16.007691841067636</v>
      </c>
      <c r="C302" s="20">
        <v>10.007691841067636</v>
      </c>
      <c r="D302" s="20">
        <v>1136.0102527420124</v>
      </c>
      <c r="E302" s="20">
        <v>305.71220791607055</v>
      </c>
      <c r="F302" s="20">
        <v>51.375736236572266</v>
      </c>
      <c r="G302" s="20">
        <v>-40.064556121826172</v>
      </c>
      <c r="H302" s="20">
        <v>7.6144090908866424</v>
      </c>
      <c r="I302" s="20">
        <v>0.81017328613665673</v>
      </c>
    </row>
    <row r="303" spans="1:9">
      <c r="A303" s="18">
        <v>481</v>
      </c>
      <c r="B303" s="20">
        <v>16.041041199069863</v>
      </c>
      <c r="C303" s="20">
        <v>10.041041199069863</v>
      </c>
      <c r="D303" s="20">
        <v>1149.3253097345132</v>
      </c>
      <c r="E303" s="20">
        <v>304.95905604719763</v>
      </c>
      <c r="F303" s="20">
        <v>53.773212432861328</v>
      </c>
      <c r="G303" s="20">
        <v>-39.937877655029297</v>
      </c>
      <c r="H303" s="20">
        <v>7.6537953990763894</v>
      </c>
      <c r="I303" s="20">
        <v>0.78189824791356444</v>
      </c>
    </row>
    <row r="304" spans="1:9">
      <c r="A304" s="18">
        <v>482</v>
      </c>
      <c r="B304" s="20">
        <v>16.074390557072086</v>
      </c>
      <c r="C304" s="20">
        <v>10.074390557072086</v>
      </c>
      <c r="D304" s="20">
        <v>1141.5714988319191</v>
      </c>
      <c r="E304" s="20">
        <v>297.46096151481618</v>
      </c>
      <c r="F304" s="20">
        <v>52.380588531494141</v>
      </c>
      <c r="G304" s="20">
        <v>-38.575626373291016</v>
      </c>
      <c r="H304" s="20">
        <v>7.4977746138818162</v>
      </c>
      <c r="I304" s="20">
        <v>0.81387581654854035</v>
      </c>
    </row>
    <row r="305" spans="1:9">
      <c r="A305" s="18">
        <v>483</v>
      </c>
      <c r="B305" s="20">
        <v>16.107739915074312</v>
      </c>
      <c r="C305" s="20">
        <v>10.107739915074312</v>
      </c>
      <c r="D305" s="20">
        <v>1143.5396422528402</v>
      </c>
      <c r="E305" s="20">
        <v>295.08194343727337</v>
      </c>
      <c r="F305" s="20">
        <v>52.735939025878906</v>
      </c>
      <c r="G305" s="20">
        <v>-38.146625518798828</v>
      </c>
      <c r="H305" s="20">
        <v>7.5624889544774243</v>
      </c>
      <c r="I305" s="20">
        <v>0.81203215166711928</v>
      </c>
    </row>
    <row r="306" spans="1:9">
      <c r="A306" s="18">
        <v>484</v>
      </c>
      <c r="B306" s="20">
        <v>16.141089273076535</v>
      </c>
      <c r="C306" s="20">
        <v>10.141089273076535</v>
      </c>
      <c r="D306" s="20">
        <v>1137.8582571602681</v>
      </c>
      <c r="E306" s="20">
        <v>291.13991468616695</v>
      </c>
      <c r="F306" s="20">
        <v>51.714992523193359</v>
      </c>
      <c r="G306" s="20">
        <v>-37.429431915283203</v>
      </c>
      <c r="H306" s="20">
        <v>7.5308897162645749</v>
      </c>
      <c r="I306" s="20">
        <v>0.80259192839912163</v>
      </c>
    </row>
    <row r="307" spans="1:9">
      <c r="A307" s="18">
        <v>485</v>
      </c>
      <c r="B307" s="20">
        <v>16.174438631078758</v>
      </c>
      <c r="C307" s="20">
        <v>10.174438631078758</v>
      </c>
      <c r="D307" s="20">
        <v>1137.3296943231442</v>
      </c>
      <c r="E307" s="20">
        <v>290.65344492964579</v>
      </c>
      <c r="F307" s="20">
        <v>51.620067596435547</v>
      </c>
      <c r="G307" s="20">
        <v>-37.341053009033203</v>
      </c>
      <c r="H307" s="20">
        <v>7.5487664083239023</v>
      </c>
      <c r="I307" s="20">
        <v>0.86360749226920885</v>
      </c>
    </row>
    <row r="308" spans="1:9">
      <c r="A308" s="18">
        <v>486</v>
      </c>
      <c r="B308" s="20">
        <v>16.207787989080984</v>
      </c>
      <c r="C308" s="20">
        <v>10.207787989080984</v>
      </c>
      <c r="D308" s="20">
        <v>1136.1359105275953</v>
      </c>
      <c r="E308" s="20">
        <v>290.5333090201799</v>
      </c>
      <c r="F308" s="20">
        <v>51.405231475830078</v>
      </c>
      <c r="G308" s="20">
        <v>-37.318466186523438</v>
      </c>
      <c r="H308" s="20">
        <v>7.5405208936748602</v>
      </c>
      <c r="I308" s="20">
        <v>0.82042803416615562</v>
      </c>
    </row>
    <row r="309" spans="1:9">
      <c r="A309" s="18">
        <v>487</v>
      </c>
      <c r="B309" s="20">
        <v>16.241137347083207</v>
      </c>
      <c r="C309" s="20">
        <v>10.241137347083207</v>
      </c>
      <c r="D309" s="20">
        <v>1122.4628536285361</v>
      </c>
      <c r="E309" s="20">
        <v>287.36420664206639</v>
      </c>
      <c r="F309" s="20">
        <v>48.945716857910156</v>
      </c>
      <c r="G309" s="20">
        <v>-36.735485076904297</v>
      </c>
      <c r="H309" s="20">
        <v>7.4963916433611733</v>
      </c>
      <c r="I309" s="20">
        <v>0.83370742121799779</v>
      </c>
    </row>
    <row r="310" spans="1:9">
      <c r="A310" s="18">
        <v>488</v>
      </c>
      <c r="B310" s="20">
        <v>16.274486705085433</v>
      </c>
      <c r="C310" s="20">
        <v>10.274486705085433</v>
      </c>
      <c r="D310" s="20">
        <v>1115.2146975831186</v>
      </c>
      <c r="E310" s="20">
        <v>287.00539811066125</v>
      </c>
      <c r="F310" s="20">
        <v>47.641403198242188</v>
      </c>
      <c r="G310" s="20">
        <v>-36.665435791015625</v>
      </c>
      <c r="H310" s="20">
        <v>7.5060670860353254</v>
      </c>
      <c r="I310" s="20">
        <v>0.82905052006643953</v>
      </c>
    </row>
    <row r="311" spans="1:9">
      <c r="A311" s="18">
        <v>489</v>
      </c>
      <c r="B311" s="20">
        <v>16.307836063087656</v>
      </c>
      <c r="C311" s="20">
        <v>10.307836063087656</v>
      </c>
      <c r="D311" s="20">
        <v>1109.777212121212</v>
      </c>
      <c r="E311" s="20">
        <v>287.00193939393938</v>
      </c>
      <c r="F311" s="20">
        <v>46.662834167480469</v>
      </c>
      <c r="G311" s="20">
        <v>-36.660945892333984</v>
      </c>
      <c r="H311" s="20">
        <v>7.5515129124745641</v>
      </c>
      <c r="I311" s="20">
        <v>0.84029662603823918</v>
      </c>
    </row>
    <row r="312" spans="1:9">
      <c r="A312" s="18">
        <v>490</v>
      </c>
      <c r="B312" s="20">
        <v>16.341185421089879</v>
      </c>
      <c r="C312" s="20">
        <v>10.341185421089879</v>
      </c>
      <c r="D312" s="20">
        <v>1104.2348758737044</v>
      </c>
      <c r="E312" s="20">
        <v>287.15353097131839</v>
      </c>
      <c r="F312" s="20">
        <v>45.665351867675781</v>
      </c>
      <c r="G312" s="20">
        <v>-36.684417724609375</v>
      </c>
      <c r="H312" s="20">
        <v>7.5734490891479567</v>
      </c>
      <c r="I312" s="20">
        <v>0.85503645587895771</v>
      </c>
    </row>
    <row r="313" spans="1:9">
      <c r="A313" s="18">
        <v>491</v>
      </c>
      <c r="B313" s="20">
        <v>16.374534779092105</v>
      </c>
      <c r="C313" s="20">
        <v>10.374534779092105</v>
      </c>
      <c r="D313" s="20">
        <v>1100.5609844372059</v>
      </c>
      <c r="E313" s="20">
        <v>288.13523947400165</v>
      </c>
      <c r="F313" s="20">
        <v>45.003719329833984</v>
      </c>
      <c r="G313" s="20">
        <v>-36.859363555908203</v>
      </c>
      <c r="H313" s="20">
        <v>7.5693408983986119</v>
      </c>
      <c r="I313" s="20">
        <v>0.86117131313205986</v>
      </c>
    </row>
    <row r="314" spans="1:9">
      <c r="A314" s="18">
        <v>492</v>
      </c>
      <c r="B314" s="20">
        <v>16.407884137094328</v>
      </c>
      <c r="C314" s="20">
        <v>10.407884137094328</v>
      </c>
      <c r="D314" s="20">
        <v>1095.8818226120857</v>
      </c>
      <c r="E314" s="20">
        <v>288.78082358674459</v>
      </c>
      <c r="F314" s="20">
        <v>44.161346435546875</v>
      </c>
      <c r="G314" s="20">
        <v>-36.972793579101563</v>
      </c>
      <c r="H314" s="20">
        <v>7.5322663527290965</v>
      </c>
      <c r="I314" s="20">
        <v>0.8700008651698582</v>
      </c>
    </row>
    <row r="315" spans="1:9">
      <c r="A315" s="18">
        <v>493</v>
      </c>
      <c r="B315" s="20">
        <v>16.441233495096554</v>
      </c>
      <c r="C315" s="20">
        <v>10.441233495096554</v>
      </c>
      <c r="D315" s="20">
        <v>1091.2682062561094</v>
      </c>
      <c r="E315" s="20">
        <v>289.0540078201368</v>
      </c>
      <c r="F315" s="20">
        <v>43.330982208251953</v>
      </c>
      <c r="G315" s="20">
        <v>-37.0189208984375</v>
      </c>
      <c r="H315" s="20">
        <v>7.5212462058579037</v>
      </c>
      <c r="I315" s="20">
        <v>0.84736385417435689</v>
      </c>
    </row>
    <row r="316" spans="1:9">
      <c r="A316" s="18">
        <v>494</v>
      </c>
      <c r="B316" s="20">
        <v>16.474582853098777</v>
      </c>
      <c r="C316" s="20">
        <v>10.474582853098777</v>
      </c>
      <c r="D316" s="20">
        <v>1088.0295887047266</v>
      </c>
      <c r="E316" s="20">
        <v>289.7889502762431</v>
      </c>
      <c r="F316" s="20">
        <v>42.747810363769531</v>
      </c>
      <c r="G316" s="20">
        <v>-37.149532318115234</v>
      </c>
      <c r="H316" s="20">
        <v>7.5033039469444454</v>
      </c>
      <c r="I316" s="20">
        <v>0.84621068796888688</v>
      </c>
    </row>
    <row r="317" spans="1:9">
      <c r="A317" s="18">
        <v>495</v>
      </c>
      <c r="B317" s="20">
        <v>16.507932211101</v>
      </c>
      <c r="C317" s="20">
        <v>10.507932211101</v>
      </c>
      <c r="D317" s="20">
        <v>1083.7703274133139</v>
      </c>
      <c r="E317" s="20">
        <v>290.33635375135918</v>
      </c>
      <c r="F317" s="20">
        <v>41.981109619140625</v>
      </c>
      <c r="G317" s="20">
        <v>-37.245506286621094</v>
      </c>
      <c r="H317" s="20">
        <v>7.563859839824401</v>
      </c>
      <c r="I317" s="20">
        <v>0.85992459822678435</v>
      </c>
    </row>
    <row r="318" spans="1:9">
      <c r="A318" s="18">
        <v>496</v>
      </c>
      <c r="B318" s="20">
        <v>16.541281569103226</v>
      </c>
      <c r="C318" s="20">
        <v>10.541281569103226</v>
      </c>
      <c r="D318" s="20">
        <v>1074.0057156755443</v>
      </c>
      <c r="E318" s="20">
        <v>289.65645141675782</v>
      </c>
      <c r="F318" s="20">
        <v>40.224491119384766</v>
      </c>
      <c r="G318" s="20">
        <v>-37.115581512451172</v>
      </c>
      <c r="H318" s="20">
        <v>7.5391457644770172</v>
      </c>
      <c r="I318" s="20">
        <v>0.83637374880460469</v>
      </c>
    </row>
    <row r="319" spans="1:9">
      <c r="A319" s="18">
        <v>497</v>
      </c>
      <c r="B319" s="20">
        <v>16.574630927105449</v>
      </c>
      <c r="C319" s="20">
        <v>10.574630927105449</v>
      </c>
      <c r="D319" s="20">
        <v>1069.5550729882978</v>
      </c>
      <c r="E319" s="20">
        <v>289.9441428399083</v>
      </c>
      <c r="F319" s="20">
        <v>39.423534393310547</v>
      </c>
      <c r="G319" s="20">
        <v>-37.164440155029297</v>
      </c>
      <c r="H319" s="20">
        <v>7.5693408983986119</v>
      </c>
      <c r="I319" s="20">
        <v>0.86534903318555212</v>
      </c>
    </row>
    <row r="320" spans="1:9">
      <c r="A320" s="18">
        <v>498</v>
      </c>
      <c r="B320" s="20">
        <v>16.607980285107676</v>
      </c>
      <c r="C320" s="20">
        <v>10.607980285107676</v>
      </c>
      <c r="D320" s="20">
        <v>1066.6860805860806</v>
      </c>
      <c r="E320" s="20">
        <v>290.931746031746</v>
      </c>
      <c r="F320" s="20">
        <v>38.906768798828125</v>
      </c>
      <c r="G320" s="20">
        <v>-37.34100341796875</v>
      </c>
      <c r="H320" s="20">
        <v>7.5240027557785139</v>
      </c>
      <c r="I320" s="20">
        <v>0.8538015945928582</v>
      </c>
    </row>
    <row r="321" spans="1:9">
      <c r="A321" s="18">
        <v>499</v>
      </c>
      <c r="B321" s="20">
        <v>16.641329643109898</v>
      </c>
      <c r="C321" s="20">
        <v>10.641329643109898</v>
      </c>
      <c r="D321" s="20">
        <v>1061.2854725646603</v>
      </c>
      <c r="E321" s="20">
        <v>291.21972443799854</v>
      </c>
      <c r="F321" s="20">
        <v>37.934944152832031</v>
      </c>
      <c r="G321" s="20">
        <v>-37.389236450195313</v>
      </c>
      <c r="H321" s="20">
        <v>7.5624889544774243</v>
      </c>
      <c r="I321" s="20">
        <v>0.84274112811634927</v>
      </c>
    </row>
    <row r="322" spans="1:9">
      <c r="A322" s="18">
        <v>500</v>
      </c>
      <c r="B322" s="20">
        <v>16.674679001112121</v>
      </c>
      <c r="C322" s="20">
        <v>10.674679001112121</v>
      </c>
      <c r="D322" s="20">
        <v>1054.2662549945514</v>
      </c>
      <c r="E322" s="20">
        <v>290.76849497517856</v>
      </c>
      <c r="F322" s="20">
        <v>36.672355651855469</v>
      </c>
      <c r="G322" s="20">
        <v>-37.302623748779297</v>
      </c>
      <c r="H322" s="20">
        <v>7.5556307967645031</v>
      </c>
      <c r="I322" s="20">
        <v>0.88709234672079362</v>
      </c>
    </row>
    <row r="323" spans="1:9">
      <c r="A323" s="18">
        <v>501</v>
      </c>
      <c r="B323" s="20">
        <v>16.708028359114348</v>
      </c>
      <c r="C323" s="20">
        <v>10.708028359114348</v>
      </c>
      <c r="D323" s="20">
        <v>1050.7127281636651</v>
      </c>
      <c r="E323" s="20">
        <v>291.57025603332107</v>
      </c>
      <c r="F323" s="20">
        <v>36.032581329345703</v>
      </c>
      <c r="G323" s="20">
        <v>-37.445087432861328</v>
      </c>
      <c r="H323" s="20">
        <v>7.5115903149549048</v>
      </c>
      <c r="I323" s="20">
        <v>0.86225182570318404</v>
      </c>
    </row>
    <row r="324" spans="1:9">
      <c r="A324" s="18">
        <v>502</v>
      </c>
      <c r="B324" s="20">
        <v>16.741377717116571</v>
      </c>
      <c r="C324" s="20">
        <v>10.741377717116571</v>
      </c>
      <c r="D324" s="20">
        <v>1046.3948623853212</v>
      </c>
      <c r="E324" s="20">
        <v>292.07009174311929</v>
      </c>
      <c r="F324" s="20">
        <v>35.255481719970703</v>
      </c>
      <c r="G324" s="20">
        <v>-37.532402038574219</v>
      </c>
      <c r="H324" s="20">
        <v>7.517109485659085</v>
      </c>
      <c r="I324" s="20">
        <v>0.83548260317332257</v>
      </c>
    </row>
    <row r="325" spans="1:9">
      <c r="A325" s="18">
        <v>503</v>
      </c>
      <c r="B325" s="20">
        <v>16.774727075118797</v>
      </c>
      <c r="C325" s="20">
        <v>10.774727075118797</v>
      </c>
      <c r="D325" s="20">
        <v>1039.2092277325437</v>
      </c>
      <c r="E325" s="20">
        <v>291.74697754749565</v>
      </c>
      <c r="F325" s="20">
        <v>33.962997436523438</v>
      </c>
      <c r="G325" s="20">
        <v>-37.468841552734375</v>
      </c>
      <c r="H325" s="20">
        <v>7.4853186806796854</v>
      </c>
      <c r="I325" s="20">
        <v>0.84504464947539704</v>
      </c>
    </row>
    <row r="326" spans="1:9">
      <c r="A326" s="18">
        <v>504</v>
      </c>
      <c r="B326" s="20">
        <v>16.80807643312102</v>
      </c>
      <c r="C326" s="20">
        <v>10.80807643312102</v>
      </c>
      <c r="D326" s="20">
        <v>1034.9509911224613</v>
      </c>
      <c r="E326" s="20">
        <v>292.21610117961814</v>
      </c>
      <c r="F326" s="20">
        <v>33.196697235107422</v>
      </c>
      <c r="G326" s="20">
        <v>-37.550640106201172</v>
      </c>
      <c r="H326" s="20">
        <v>7.5391457644770172</v>
      </c>
      <c r="I326" s="20">
        <v>0.84038818770057433</v>
      </c>
    </row>
    <row r="327" spans="1:9">
      <c r="A327" s="18">
        <v>505</v>
      </c>
      <c r="B327" s="20">
        <v>16.841425791123243</v>
      </c>
      <c r="C327" s="20">
        <v>10.841425791123243</v>
      </c>
      <c r="D327" s="20">
        <v>1030.4237516869096</v>
      </c>
      <c r="E327" s="20">
        <v>293.18279965648384</v>
      </c>
      <c r="F327" s="20">
        <v>32.381675720214844</v>
      </c>
      <c r="G327" s="20">
        <v>-37.72222900390625</v>
      </c>
      <c r="H327" s="20">
        <v>7.5060670860353254</v>
      </c>
      <c r="I327" s="20">
        <v>0.87120515122546949</v>
      </c>
    </row>
    <row r="328" spans="1:9">
      <c r="A328" s="18">
        <v>506</v>
      </c>
      <c r="B328" s="20">
        <v>16.874775149125469</v>
      </c>
      <c r="C328" s="20">
        <v>10.874775149125469</v>
      </c>
      <c r="D328" s="20">
        <v>1024.3677450624016</v>
      </c>
      <c r="E328" s="20">
        <v>292.49836423118865</v>
      </c>
      <c r="F328" s="20">
        <v>31.292770385742188</v>
      </c>
      <c r="G328" s="20">
        <v>-37.594127655029297</v>
      </c>
      <c r="H328" s="20">
        <v>7.5528857900265809</v>
      </c>
      <c r="I328" s="20">
        <v>0.83776464577894116</v>
      </c>
    </row>
    <row r="329" spans="1:9">
      <c r="A329" s="18">
        <v>507</v>
      </c>
      <c r="B329" s="20">
        <v>16.908124507127692</v>
      </c>
      <c r="C329" s="20">
        <v>10.908124507127692</v>
      </c>
      <c r="D329" s="20">
        <v>1022.6249694301785</v>
      </c>
      <c r="E329" s="20">
        <v>293.08901932012714</v>
      </c>
      <c r="F329" s="20">
        <v>30.978887557983398</v>
      </c>
      <c r="G329" s="20">
        <v>-37.699699401855469</v>
      </c>
      <c r="H329" s="20">
        <v>7.5184886452864435</v>
      </c>
      <c r="I329" s="20">
        <v>0.8426715021070762</v>
      </c>
    </row>
    <row r="330" spans="1:9">
      <c r="A330" s="18">
        <v>508</v>
      </c>
      <c r="B330" s="20">
        <v>16.941473865129918</v>
      </c>
      <c r="C330" s="20">
        <v>10.941473865129918</v>
      </c>
      <c r="D330" s="20">
        <v>1015.8843537414965</v>
      </c>
      <c r="E330" s="20">
        <v>293.50085034013603</v>
      </c>
      <c r="F330" s="20">
        <v>29.766166687011719</v>
      </c>
      <c r="G330" s="20">
        <v>-37.769359588623047</v>
      </c>
      <c r="H330" s="20">
        <v>7.5432704000173461</v>
      </c>
      <c r="I330" s="20">
        <v>0.86655125648613107</v>
      </c>
    </row>
    <row r="331" spans="1:9">
      <c r="A331" s="18">
        <v>509</v>
      </c>
      <c r="B331" s="20">
        <v>16.974823223132141</v>
      </c>
      <c r="C331" s="20">
        <v>10.974823223132141</v>
      </c>
      <c r="D331" s="20">
        <v>1012.4562438544739</v>
      </c>
      <c r="E331" s="20">
        <v>293.98414454277287</v>
      </c>
      <c r="F331" s="20">
        <v>29.149240493774414</v>
      </c>
      <c r="G331" s="20">
        <v>-37.854301452636719</v>
      </c>
      <c r="H331" s="20">
        <v>7.4991573293594787</v>
      </c>
      <c r="I331" s="20">
        <v>0.8623692786332805</v>
      </c>
    </row>
    <row r="332" spans="1:9">
      <c r="A332" s="18">
        <v>510</v>
      </c>
      <c r="B332" s="20">
        <v>17.008172581134364</v>
      </c>
      <c r="C332" s="20">
        <v>11.008172581134364</v>
      </c>
      <c r="D332" s="20">
        <v>1007.8394973070018</v>
      </c>
      <c r="E332" s="20">
        <v>294.0421304608019</v>
      </c>
      <c r="F332" s="20">
        <v>28.318811416625977</v>
      </c>
      <c r="G332" s="20">
        <v>-37.861492156982422</v>
      </c>
      <c r="H332" s="20">
        <v>7.5994160574552083</v>
      </c>
      <c r="I332" s="20">
        <v>0.8481187009232054</v>
      </c>
    </row>
    <row r="333" spans="1:9">
      <c r="A333" s="18">
        <v>511</v>
      </c>
      <c r="B333" s="20">
        <v>17.04152193913659</v>
      </c>
      <c r="C333" s="20">
        <v>11.04152193913659</v>
      </c>
      <c r="D333" s="20">
        <v>1000.9399332591769</v>
      </c>
      <c r="E333" s="20">
        <v>294.06377456433074</v>
      </c>
      <c r="F333" s="20">
        <v>27.077863693237305</v>
      </c>
      <c r="G333" s="20">
        <v>-37.8604736328125</v>
      </c>
      <c r="H333" s="20">
        <v>7.4783897532661019</v>
      </c>
      <c r="I333" s="20">
        <v>0.84060044712893911</v>
      </c>
    </row>
    <row r="334" spans="1:9">
      <c r="A334" s="18">
        <v>512</v>
      </c>
      <c r="B334" s="20">
        <v>17.074871297138813</v>
      </c>
      <c r="C334" s="20">
        <v>11.074871297138813</v>
      </c>
      <c r="D334" s="20">
        <v>994.34231242312421</v>
      </c>
      <c r="E334" s="20">
        <v>293.75596555965558</v>
      </c>
      <c r="F334" s="20">
        <v>25.891489028930664</v>
      </c>
      <c r="G334" s="20">
        <v>-37.800098419189453</v>
      </c>
      <c r="H334" s="20">
        <v>7.4963916433611733</v>
      </c>
      <c r="I334" s="20">
        <v>0.84754663215334058</v>
      </c>
    </row>
    <row r="335" spans="1:9">
      <c r="A335" s="18">
        <v>513</v>
      </c>
      <c r="B335" s="20">
        <v>17.108220655141036</v>
      </c>
      <c r="C335" s="20">
        <v>11.108220655141036</v>
      </c>
      <c r="D335" s="20">
        <v>988.86445416970571</v>
      </c>
      <c r="E335" s="20">
        <v>293.51628981278873</v>
      </c>
      <c r="F335" s="20">
        <v>24.90650749206543</v>
      </c>
      <c r="G335" s="20">
        <v>-37.752849578857422</v>
      </c>
      <c r="H335" s="20">
        <v>7.5405208936748602</v>
      </c>
      <c r="I335" s="20">
        <v>0.81112746510447487</v>
      </c>
    </row>
    <row r="336" spans="1:9">
      <c r="A336" s="18">
        <v>514</v>
      </c>
      <c r="B336" s="20">
        <v>17.141570013143262</v>
      </c>
      <c r="C336" s="20">
        <v>11.141570013143262</v>
      </c>
      <c r="D336" s="20">
        <v>980.95341802782809</v>
      </c>
      <c r="E336" s="20">
        <v>293.34107683000605</v>
      </c>
      <c r="F336" s="20">
        <v>23.483959197998047</v>
      </c>
      <c r="G336" s="20">
        <v>-37.71551513671875</v>
      </c>
      <c r="H336" s="20">
        <v>7.5583748065868592</v>
      </c>
      <c r="I336" s="20">
        <v>0.82546235959304148</v>
      </c>
    </row>
    <row r="337" spans="1:9">
      <c r="A337" s="18">
        <v>515</v>
      </c>
      <c r="B337" s="20">
        <v>17.174919371145485</v>
      </c>
      <c r="C337" s="20">
        <v>11.174919371145485</v>
      </c>
      <c r="D337" s="20">
        <v>975.70721548450308</v>
      </c>
      <c r="E337" s="20">
        <v>293.45559230674996</v>
      </c>
      <c r="F337" s="20">
        <v>22.540464401245117</v>
      </c>
      <c r="G337" s="20">
        <v>-37.732475280761719</v>
      </c>
      <c r="H337" s="20">
        <v>7.5115903149549048</v>
      </c>
      <c r="I337" s="20">
        <v>0.87678106776190656</v>
      </c>
    </row>
    <row r="338" spans="1:9">
      <c r="A338" s="18">
        <v>516</v>
      </c>
      <c r="B338" s="20">
        <v>17.208268729147711</v>
      </c>
      <c r="C338" s="20">
        <v>11.208268729147711</v>
      </c>
      <c r="D338" s="20">
        <v>972.85773096016453</v>
      </c>
      <c r="E338" s="20">
        <v>294.34592565685915</v>
      </c>
      <c r="F338" s="20">
        <v>22.027406692504883</v>
      </c>
      <c r="G338" s="20">
        <v>-37.891422271728516</v>
      </c>
      <c r="H338" s="20">
        <v>7.5556307967645031</v>
      </c>
      <c r="I338" s="20">
        <v>0.85221898478731128</v>
      </c>
    </row>
    <row r="339" spans="1:9">
      <c r="A339" s="18">
        <v>517</v>
      </c>
      <c r="B339" s="20">
        <v>17.241618087149934</v>
      </c>
      <c r="C339" s="20">
        <v>11.241618087149934</v>
      </c>
      <c r="D339" s="20">
        <v>968.51374258384783</v>
      </c>
      <c r="E339" s="20">
        <v>294.7044436372442</v>
      </c>
      <c r="F339" s="20">
        <v>21.246002197265625</v>
      </c>
      <c r="G339" s="20">
        <v>-37.953144073486328</v>
      </c>
      <c r="H339" s="20">
        <v>7.5556307967645031</v>
      </c>
      <c r="I339" s="20">
        <v>0.87239223821392842</v>
      </c>
    </row>
    <row r="340" spans="1:9">
      <c r="A340" s="18">
        <v>518</v>
      </c>
      <c r="B340" s="20">
        <v>17.274967445152157</v>
      </c>
      <c r="C340" s="20">
        <v>11.274967445152157</v>
      </c>
      <c r="D340" s="20">
        <v>963.64966605950201</v>
      </c>
      <c r="E340" s="20">
        <v>294.85828779599274</v>
      </c>
      <c r="F340" s="20">
        <v>20.371250152587891</v>
      </c>
      <c r="G340" s="20">
        <v>-37.977481842041016</v>
      </c>
      <c r="H340" s="20">
        <v>7.5446447774360612</v>
      </c>
      <c r="I340" s="20">
        <v>0.85971158309489393</v>
      </c>
    </row>
    <row r="341" spans="1:9">
      <c r="A341" s="18">
        <v>519</v>
      </c>
      <c r="B341" s="20">
        <v>17.308316803154383</v>
      </c>
      <c r="C341" s="20">
        <v>11.308316803154383</v>
      </c>
      <c r="D341" s="20">
        <v>954.84095307208509</v>
      </c>
      <c r="E341" s="20">
        <v>294.74758103531684</v>
      </c>
      <c r="F341" s="20">
        <v>18.787454605102539</v>
      </c>
      <c r="G341" s="20">
        <v>-37.951171875</v>
      </c>
      <c r="H341" s="20">
        <v>7.5597464379939563</v>
      </c>
      <c r="I341" s="20">
        <v>0.81526889173669059</v>
      </c>
    </row>
    <row r="342" spans="1:9">
      <c r="A342" s="18">
        <v>520</v>
      </c>
      <c r="B342" s="20">
        <v>17.341666161156606</v>
      </c>
      <c r="C342" s="20">
        <v>11.341666161156606</v>
      </c>
      <c r="D342" s="20">
        <v>951.70560058953572</v>
      </c>
      <c r="E342" s="20">
        <v>294.79464505035617</v>
      </c>
      <c r="F342" s="20">
        <v>18.223684310913086</v>
      </c>
      <c r="G342" s="20">
        <v>-37.957439422607422</v>
      </c>
      <c r="H342" s="20">
        <v>7.501921995749937</v>
      </c>
      <c r="I342" s="20">
        <v>0.79009082502695571</v>
      </c>
    </row>
    <row r="343" spans="1:9">
      <c r="A343" s="18">
        <v>521</v>
      </c>
      <c r="B343" s="20">
        <v>17.375015519158833</v>
      </c>
      <c r="C343" s="20">
        <v>11.375015519158833</v>
      </c>
      <c r="D343" s="20">
        <v>951.67071823204424</v>
      </c>
      <c r="E343" s="20">
        <v>294.79926335174952</v>
      </c>
      <c r="F343" s="20">
        <v>18.217403411865234</v>
      </c>
      <c r="G343" s="20">
        <v>-37.958244323730469</v>
      </c>
      <c r="H343" s="20">
        <v>7.5033039469444454</v>
      </c>
      <c r="I343" s="20">
        <v>0.8324166105826557</v>
      </c>
    </row>
    <row r="344" spans="1:9">
      <c r="A344" s="18">
        <v>522</v>
      </c>
      <c r="B344" s="20">
        <v>17.408364877161056</v>
      </c>
      <c r="C344" s="20">
        <v>11.408364877161056</v>
      </c>
      <c r="D344" s="20">
        <v>944.41308047653774</v>
      </c>
      <c r="E344" s="20">
        <v>294.8802577194262</v>
      </c>
      <c r="F344" s="20">
        <v>16.912450790405273</v>
      </c>
      <c r="G344" s="20">
        <v>-37.967700958251953</v>
      </c>
      <c r="H344" s="20">
        <v>7.5405208936748602</v>
      </c>
      <c r="I344" s="20">
        <v>0.7982420923758583</v>
      </c>
    </row>
    <row r="345" spans="1:9">
      <c r="A345" s="18">
        <v>523</v>
      </c>
      <c r="B345" s="20">
        <v>17.441714235163278</v>
      </c>
      <c r="C345" s="20">
        <v>11.441714235163278</v>
      </c>
      <c r="D345" s="20">
        <v>937.06316562614768</v>
      </c>
      <c r="E345" s="20">
        <v>295.18998653445954</v>
      </c>
      <c r="F345" s="20">
        <v>15.590780258178711</v>
      </c>
      <c r="G345" s="20">
        <v>-38.018444061279297</v>
      </c>
      <c r="H345" s="20">
        <v>7.5143504070248861</v>
      </c>
      <c r="I345" s="20">
        <v>0.84870412218468705</v>
      </c>
    </row>
    <row r="346" spans="1:9">
      <c r="A346" s="18">
        <v>524</v>
      </c>
      <c r="B346" s="20">
        <v>17.475063593165505</v>
      </c>
      <c r="C346" s="20">
        <v>11.475063593165505</v>
      </c>
      <c r="D346" s="20">
        <v>932.7546802820325</v>
      </c>
      <c r="E346" s="20">
        <v>295.43265256503764</v>
      </c>
      <c r="F346" s="20">
        <v>14.816001892089844</v>
      </c>
      <c r="G346" s="20">
        <v>-38.059238433837891</v>
      </c>
      <c r="H346" s="20">
        <v>7.5405208936748602</v>
      </c>
      <c r="I346" s="20">
        <v>0.85171249279919903</v>
      </c>
    </row>
    <row r="347" spans="1:9">
      <c r="A347" s="18">
        <v>525</v>
      </c>
      <c r="B347" s="20">
        <v>17.508412951167728</v>
      </c>
      <c r="C347" s="20">
        <v>11.508412951167728</v>
      </c>
      <c r="D347" s="20">
        <v>931.4734422262552</v>
      </c>
      <c r="E347" s="20">
        <v>295.60907441016332</v>
      </c>
      <c r="F347" s="20">
        <v>14.585517883300781</v>
      </c>
      <c r="G347" s="20">
        <v>-38.090217590332031</v>
      </c>
      <c r="H347" s="20">
        <v>7.5583748065868592</v>
      </c>
      <c r="I347" s="20">
        <v>0.86703951877819041</v>
      </c>
    </row>
    <row r="348" spans="1:9">
      <c r="A348" s="18">
        <v>526</v>
      </c>
      <c r="B348" s="20">
        <v>17.541762309169954</v>
      </c>
      <c r="C348" s="20">
        <v>11.541762309169954</v>
      </c>
      <c r="D348" s="20">
        <v>924.49938815467442</v>
      </c>
      <c r="E348" s="20">
        <v>296.13705335291235</v>
      </c>
      <c r="F348" s="20">
        <v>13.331327438354492</v>
      </c>
      <c r="G348" s="20">
        <v>-38.180686950683594</v>
      </c>
      <c r="H348" s="20">
        <v>7.5157300729516914</v>
      </c>
      <c r="I348" s="20">
        <v>0.81891603245857847</v>
      </c>
    </row>
    <row r="349" spans="1:9">
      <c r="A349" s="18">
        <v>527</v>
      </c>
      <c r="B349" s="20">
        <v>17.575111667172177</v>
      </c>
      <c r="C349" s="20">
        <v>11.575111667172177</v>
      </c>
      <c r="D349" s="20">
        <v>919.87146686159838</v>
      </c>
      <c r="E349" s="20">
        <v>296.53983918128654</v>
      </c>
      <c r="F349" s="20">
        <v>12.499037742614746</v>
      </c>
      <c r="G349" s="20">
        <v>-38.250190734863281</v>
      </c>
      <c r="H349" s="20">
        <v>7.5322663527290965</v>
      </c>
      <c r="I349" s="20">
        <v>0.83203192452333863</v>
      </c>
    </row>
    <row r="350" spans="1:9">
      <c r="A350" s="18">
        <v>528</v>
      </c>
      <c r="B350" s="20">
        <v>17.6084610251744</v>
      </c>
      <c r="C350" s="20">
        <v>11.6084610251744</v>
      </c>
      <c r="D350" s="20">
        <v>917.67529355379816</v>
      </c>
      <c r="E350" s="20">
        <v>296.47699496764915</v>
      </c>
      <c r="F350" s="20">
        <v>12.104293823242188</v>
      </c>
      <c r="G350" s="20">
        <v>-38.237258911132813</v>
      </c>
      <c r="H350" s="20">
        <v>7.5953219118456046</v>
      </c>
      <c r="I350" s="20">
        <v>0.80082962849640327</v>
      </c>
    </row>
    <row r="351" spans="1:9">
      <c r="A351" s="18">
        <v>529</v>
      </c>
      <c r="B351" s="20">
        <v>17.641810383176626</v>
      </c>
      <c r="C351" s="20">
        <v>11.641810383176626</v>
      </c>
      <c r="D351" s="20">
        <v>912.37084089534176</v>
      </c>
      <c r="E351" s="20">
        <v>296.93708408953415</v>
      </c>
      <c r="F351" s="20">
        <v>11.150373458862305</v>
      </c>
      <c r="G351" s="20">
        <v>-38.316642761230469</v>
      </c>
      <c r="H351" s="20">
        <v>7.5583748065868592</v>
      </c>
      <c r="I351" s="20">
        <v>0.82156417376961199</v>
      </c>
    </row>
    <row r="352" spans="1:9">
      <c r="A352" s="18">
        <v>530</v>
      </c>
      <c r="B352" s="20">
        <v>17.675159741178849</v>
      </c>
      <c r="C352" s="20">
        <v>11.675159741178849</v>
      </c>
      <c r="D352" s="20">
        <v>906.40405520947843</v>
      </c>
      <c r="E352" s="20">
        <v>296.15353609380725</v>
      </c>
      <c r="F352" s="20">
        <v>10.078472137451172</v>
      </c>
      <c r="G352" s="20">
        <v>-38.170719146728516</v>
      </c>
      <c r="H352" s="20">
        <v>7.5226246070801173</v>
      </c>
      <c r="I352" s="20">
        <v>0.81381075907988587</v>
      </c>
    </row>
    <row r="353" spans="1:9">
      <c r="A353" s="18">
        <v>531</v>
      </c>
      <c r="B353" s="20">
        <v>17.708509099181075</v>
      </c>
      <c r="C353" s="20">
        <v>11.708509099181075</v>
      </c>
      <c r="D353" s="20">
        <v>904.13301103260187</v>
      </c>
      <c r="E353" s="20">
        <v>295.58472790380557</v>
      </c>
      <c r="F353" s="20">
        <v>9.6707353591918945</v>
      </c>
      <c r="G353" s="20">
        <v>-38.066261291503906</v>
      </c>
      <c r="H353" s="20">
        <v>7.4672900963088642</v>
      </c>
      <c r="I353" s="20">
        <v>0.83006318188901063</v>
      </c>
    </row>
    <row r="354" spans="1:9">
      <c r="A354" s="18">
        <v>532</v>
      </c>
      <c r="B354" s="20">
        <v>17.741858457183298</v>
      </c>
      <c r="C354" s="20">
        <v>11.741858457183298</v>
      </c>
      <c r="D354" s="20">
        <v>894.1171912255603</v>
      </c>
      <c r="E354" s="20">
        <v>296.74642346208867</v>
      </c>
      <c r="F354" s="20">
        <v>7.8694620132446289</v>
      </c>
      <c r="G354" s="20">
        <v>-38.269111633300781</v>
      </c>
      <c r="H354" s="20">
        <v>7.6144090908866424</v>
      </c>
      <c r="I354" s="20">
        <v>0.81777815581491464</v>
      </c>
    </row>
    <row r="355" spans="1:9">
      <c r="A355" s="18">
        <v>533</v>
      </c>
      <c r="B355" s="20">
        <v>17.775207815185521</v>
      </c>
      <c r="C355" s="20">
        <v>11.775207815185521</v>
      </c>
      <c r="D355" s="20">
        <v>884.29567336989635</v>
      </c>
      <c r="E355" s="20">
        <v>297.71809872029252</v>
      </c>
      <c r="F355" s="20">
        <v>6.1033468246459961</v>
      </c>
      <c r="G355" s="20">
        <v>-38.437736511230469</v>
      </c>
      <c r="H355" s="20">
        <v>7.5308897162645749</v>
      </c>
      <c r="I355" s="20">
        <v>0.8425831504691631</v>
      </c>
    </row>
    <row r="356" spans="1:9">
      <c r="A356" s="18">
        <v>534</v>
      </c>
      <c r="B356" s="20">
        <v>17.808557173187747</v>
      </c>
      <c r="C356" s="20">
        <v>11.808557173187747</v>
      </c>
      <c r="D356" s="20">
        <v>879.93923989348821</v>
      </c>
      <c r="E356" s="20">
        <v>296.68312757201642</v>
      </c>
      <c r="F356" s="20">
        <v>5.321314811706543</v>
      </c>
      <c r="G356" s="20">
        <v>-38.247520446777344</v>
      </c>
      <c r="H356" s="20">
        <v>7.5570029262222453</v>
      </c>
      <c r="I356" s="20">
        <v>0.80173549321776583</v>
      </c>
    </row>
    <row r="357" spans="1:9">
      <c r="A357" s="18">
        <v>535</v>
      </c>
      <c r="B357" s="20">
        <v>17.84190653118997</v>
      </c>
      <c r="C357" s="20">
        <v>11.84190653118997</v>
      </c>
      <c r="D357" s="20">
        <v>877.35664939550941</v>
      </c>
      <c r="E357" s="20">
        <v>295.8719467061436</v>
      </c>
      <c r="F357" s="20">
        <v>4.8578896522521973</v>
      </c>
      <c r="G357" s="20">
        <v>-38.099037170410156</v>
      </c>
      <c r="H357" s="20">
        <v>7.4853186806796854</v>
      </c>
      <c r="I357" s="20">
        <v>0.80845971856927512</v>
      </c>
    </row>
    <row r="358" spans="1:9">
      <c r="A358" s="18">
        <v>536</v>
      </c>
      <c r="B358" s="20">
        <v>17.875255889192196</v>
      </c>
      <c r="C358" s="20">
        <v>11.875255889192196</v>
      </c>
      <c r="D358" s="20">
        <v>874.30943760559978</v>
      </c>
      <c r="E358" s="20">
        <v>295.24052618875209</v>
      </c>
      <c r="F358" s="20">
        <v>4.3108325004577637</v>
      </c>
      <c r="G358" s="20">
        <v>-37.982723236083984</v>
      </c>
      <c r="H358" s="20">
        <v>7.5679710059073653</v>
      </c>
      <c r="I358" s="20">
        <v>0.83033997123736913</v>
      </c>
    </row>
    <row r="359" spans="1:9">
      <c r="A359" s="18">
        <v>537</v>
      </c>
      <c r="B359" s="20">
        <v>17.908605247194419</v>
      </c>
      <c r="C359" s="20">
        <v>11.908605247194419</v>
      </c>
      <c r="D359" s="20">
        <v>870.50428588675584</v>
      </c>
      <c r="E359" s="20">
        <v>294.31051551370274</v>
      </c>
      <c r="F359" s="20">
        <v>3.6278460025787354</v>
      </c>
      <c r="G359" s="20">
        <v>-37.811897277832031</v>
      </c>
      <c r="H359" s="20">
        <v>7.5666008654044363</v>
      </c>
      <c r="I359" s="20">
        <v>0.80112483563242365</v>
      </c>
    </row>
    <row r="360" spans="1:9">
      <c r="A360" s="18">
        <v>538</v>
      </c>
      <c r="B360" s="20">
        <v>17.941954605196642</v>
      </c>
      <c r="C360" s="20">
        <v>11.941954605196642</v>
      </c>
      <c r="D360" s="20">
        <v>867.48259803921565</v>
      </c>
      <c r="E360" s="20">
        <v>293.81348039215686</v>
      </c>
      <c r="F360" s="20">
        <v>3.085289478302002</v>
      </c>
      <c r="G360" s="20">
        <v>-37.719898223876953</v>
      </c>
      <c r="H360" s="20">
        <v>7.5102098885323407</v>
      </c>
      <c r="I360" s="20">
        <v>0.81384546192686547</v>
      </c>
    </row>
    <row r="361" spans="1:9">
      <c r="A361" s="18">
        <v>539</v>
      </c>
      <c r="B361" s="20">
        <v>17.975303963198868</v>
      </c>
      <c r="C361" s="20">
        <v>11.975303963198868</v>
      </c>
      <c r="D361" s="20">
        <v>864.73157764589507</v>
      </c>
      <c r="E361" s="20">
        <v>292.89292779426307</v>
      </c>
      <c r="F361" s="20">
        <v>2.5917706489562988</v>
      </c>
      <c r="G361" s="20">
        <v>-37.551544189453125</v>
      </c>
      <c r="H361" s="20">
        <v>7.4770031972602533</v>
      </c>
      <c r="I361" s="20">
        <v>0.79377762049367506</v>
      </c>
    </row>
    <row r="362" spans="1:9">
      <c r="A362" s="18">
        <v>540</v>
      </c>
      <c r="B362" s="20">
        <v>18.008653321201091</v>
      </c>
      <c r="C362" s="20">
        <v>12.008653321201091</v>
      </c>
      <c r="D362" s="20">
        <v>848.55749737853898</v>
      </c>
      <c r="E362" s="20">
        <v>295.27181638121868</v>
      </c>
      <c r="F362" s="20">
        <v>-0.31680154800415039</v>
      </c>
      <c r="G362" s="20">
        <v>-37.969974517822266</v>
      </c>
      <c r="H362" s="20">
        <v>7.7024085614745372</v>
      </c>
      <c r="I362" s="20">
        <v>0.79548152253207516</v>
      </c>
    </row>
    <row r="363" spans="1:9">
      <c r="A363" s="18">
        <v>541</v>
      </c>
      <c r="B363" s="20">
        <v>18.042002679203318</v>
      </c>
      <c r="C363" s="20">
        <v>12.042002679203318</v>
      </c>
      <c r="D363" s="20">
        <v>842.41831020209383</v>
      </c>
      <c r="E363" s="20">
        <v>296.04553201850496</v>
      </c>
      <c r="F363" s="20">
        <v>-1.4206362962722778</v>
      </c>
      <c r="G363" s="20">
        <v>-38.105430603027344</v>
      </c>
      <c r="H363" s="20">
        <v>7.5350188711300268</v>
      </c>
      <c r="I363" s="20">
        <v>0.77224748954136013</v>
      </c>
    </row>
    <row r="364" spans="1:9">
      <c r="A364" s="18">
        <v>542</v>
      </c>
      <c r="B364" s="20">
        <v>18.075352037205541</v>
      </c>
      <c r="C364" s="20">
        <v>12.075352037205541</v>
      </c>
      <c r="D364" s="20">
        <v>838.19751734209569</v>
      </c>
      <c r="E364" s="20">
        <v>295.31763417305586</v>
      </c>
      <c r="F364" s="20">
        <v>-2.1783170700073242</v>
      </c>
      <c r="G364" s="20">
        <v>-37.970848083496094</v>
      </c>
      <c r="H364" s="20">
        <v>7.5363947533420124</v>
      </c>
      <c r="I364" s="20">
        <v>0.77002387873439571</v>
      </c>
    </row>
    <row r="365" spans="1:9">
      <c r="A365" s="18">
        <v>543</v>
      </c>
      <c r="B365" s="20">
        <v>18.108701395207763</v>
      </c>
      <c r="C365" s="20">
        <v>12.108701395207763</v>
      </c>
      <c r="D365" s="20">
        <v>832.75104551045501</v>
      </c>
      <c r="E365" s="20">
        <v>294.97490774907749</v>
      </c>
      <c r="F365" s="20">
        <v>-3.1565511226654053</v>
      </c>
      <c r="G365" s="20">
        <v>-37.905017852783203</v>
      </c>
      <c r="H365" s="20">
        <v>7.4963916433611733</v>
      </c>
      <c r="I365" s="20">
        <v>0.78525379307236765</v>
      </c>
    </row>
    <row r="366" spans="1:9">
      <c r="A366" s="18">
        <v>544</v>
      </c>
      <c r="B366" s="20">
        <v>18.14205075320999</v>
      </c>
      <c r="C366" s="20">
        <v>12.14205075320999</v>
      </c>
      <c r="D366" s="20">
        <v>828.95434122647237</v>
      </c>
      <c r="E366" s="20">
        <v>294.60801457194901</v>
      </c>
      <c r="F366" s="20">
        <v>-3.8383209705352783</v>
      </c>
      <c r="G366" s="20">
        <v>-37.835990905761719</v>
      </c>
      <c r="H366" s="20">
        <v>7.5446447774360612</v>
      </c>
      <c r="I366" s="20">
        <v>0.74807696518193167</v>
      </c>
    </row>
    <row r="367" spans="1:9">
      <c r="A367" s="18">
        <v>545</v>
      </c>
      <c r="B367" s="20">
        <v>18.175400111212213</v>
      </c>
      <c r="C367" s="20">
        <v>12.175400111212213</v>
      </c>
      <c r="D367" s="20">
        <v>824.70312118995355</v>
      </c>
      <c r="E367" s="20">
        <v>294.33479639112409</v>
      </c>
      <c r="F367" s="20">
        <v>-4.6018218994140625</v>
      </c>
      <c r="G367" s="20">
        <v>-37.783580780029297</v>
      </c>
      <c r="H367" s="20">
        <v>7.5295128281067525</v>
      </c>
      <c r="I367" s="20">
        <v>0.77111929744560936</v>
      </c>
    </row>
    <row r="368" spans="1:9">
      <c r="A368" s="18">
        <v>546</v>
      </c>
      <c r="B368" s="20">
        <v>18.208749469214439</v>
      </c>
      <c r="C368" s="20">
        <v>12.208749469214439</v>
      </c>
      <c r="D368" s="20">
        <v>820.77320987654321</v>
      </c>
      <c r="E368" s="20">
        <v>293.7464197530864</v>
      </c>
      <c r="F368" s="20">
        <v>-5.3072638511657715</v>
      </c>
      <c r="G368" s="20">
        <v>-37.6744384765625</v>
      </c>
      <c r="H368" s="20">
        <v>7.4825478796664937</v>
      </c>
      <c r="I368" s="20">
        <v>0.77872265625402171</v>
      </c>
    </row>
    <row r="369" spans="1:9">
      <c r="A369" s="18">
        <v>547</v>
      </c>
      <c r="B369" s="20">
        <v>18.242098827216662</v>
      </c>
      <c r="C369" s="20">
        <v>12.242098827216662</v>
      </c>
      <c r="D369" s="20">
        <v>816.03676560400629</v>
      </c>
      <c r="E369" s="20">
        <v>293.53743740075726</v>
      </c>
      <c r="F369" s="20">
        <v>-6.1579494476318359</v>
      </c>
      <c r="G369" s="20">
        <v>-37.633289337158203</v>
      </c>
      <c r="H369" s="20">
        <v>7.5226246070801173</v>
      </c>
      <c r="I369" s="20">
        <v>0.77221777464324981</v>
      </c>
    </row>
    <row r="370" spans="1:9">
      <c r="A370" s="18">
        <v>548</v>
      </c>
      <c r="B370" s="20">
        <v>18.275448185218885</v>
      </c>
      <c r="C370" s="20">
        <v>12.275448185218885</v>
      </c>
      <c r="D370" s="20">
        <v>810.52923000865144</v>
      </c>
      <c r="E370" s="20">
        <v>293.40390557409467</v>
      </c>
      <c r="F370" s="20">
        <v>-7.1471948623657227</v>
      </c>
      <c r="G370" s="20">
        <v>-37.605228424072266</v>
      </c>
      <c r="H370" s="20">
        <v>7.4783897532661019</v>
      </c>
      <c r="I370" s="20">
        <v>0.75966009613347374</v>
      </c>
    </row>
    <row r="371" spans="1:9">
      <c r="A371" s="18">
        <v>549</v>
      </c>
      <c r="B371" s="20">
        <v>18.308797543221111</v>
      </c>
      <c r="C371" s="20">
        <v>12.308797543221111</v>
      </c>
      <c r="D371" s="20">
        <v>805.06077213494086</v>
      </c>
      <c r="E371" s="20">
        <v>293.32505175983437</v>
      </c>
      <c r="F371" s="20">
        <v>-8.1294422149658203</v>
      </c>
      <c r="G371" s="20">
        <v>-37.587074279785156</v>
      </c>
      <c r="H371" s="20">
        <v>7.5336427376382975</v>
      </c>
      <c r="I371" s="20">
        <v>0.74589677730526305</v>
      </c>
    </row>
    <row r="372" spans="1:9">
      <c r="A372" s="18">
        <v>550</v>
      </c>
      <c r="B372" s="20">
        <v>18.342146901223334</v>
      </c>
      <c r="C372" s="20">
        <v>12.342146901223334</v>
      </c>
      <c r="D372" s="20">
        <v>799.21997052321296</v>
      </c>
      <c r="E372" s="20">
        <v>293.24809629083762</v>
      </c>
      <c r="F372" s="20">
        <v>-9.1785459518432617</v>
      </c>
      <c r="G372" s="20">
        <v>-37.569004058837891</v>
      </c>
      <c r="H372" s="20">
        <v>7.501921995749937</v>
      </c>
      <c r="I372" s="20">
        <v>0.76547833696685585</v>
      </c>
    </row>
    <row r="373" spans="1:9">
      <c r="A373" s="18">
        <v>551</v>
      </c>
      <c r="B373" s="20">
        <v>18.37549625922556</v>
      </c>
      <c r="C373" s="20">
        <v>12.37549625922556</v>
      </c>
      <c r="D373" s="20">
        <v>792.53027500308292</v>
      </c>
      <c r="E373" s="20">
        <v>293.5565421137008</v>
      </c>
      <c r="F373" s="20">
        <v>-10.380486488342285</v>
      </c>
      <c r="G373" s="20">
        <v>-37.619972229003906</v>
      </c>
      <c r="H373" s="20">
        <v>7.4867036966376359</v>
      </c>
      <c r="I373" s="20">
        <v>0.78581299099755941</v>
      </c>
    </row>
    <row r="374" spans="1:9">
      <c r="A374" s="18">
        <v>552</v>
      </c>
      <c r="B374" s="20">
        <v>18.408845617227783</v>
      </c>
      <c r="C374" s="20">
        <v>12.408845617227783</v>
      </c>
      <c r="D374" s="20">
        <v>786.65083898607645</v>
      </c>
      <c r="E374" s="20">
        <v>293.96727359276446</v>
      </c>
      <c r="F374" s="20">
        <v>-11.436962127685547</v>
      </c>
      <c r="G374" s="20">
        <v>-37.689998626708984</v>
      </c>
      <c r="H374" s="20">
        <v>7.6212143555311451</v>
      </c>
      <c r="I374" s="20">
        <v>0.80895397488442244</v>
      </c>
    </row>
    <row r="375" spans="1:9">
      <c r="A375" s="18">
        <v>553</v>
      </c>
      <c r="B375" s="20">
        <v>18.442194975230006</v>
      </c>
      <c r="C375" s="20">
        <v>12.442194975230006</v>
      </c>
      <c r="D375" s="20">
        <v>782.60526960784307</v>
      </c>
      <c r="E375" s="20">
        <v>294.46384803921569</v>
      </c>
      <c r="F375" s="20">
        <v>-12.164111137390137</v>
      </c>
      <c r="G375" s="20">
        <v>-37.776840209960938</v>
      </c>
      <c r="H375" s="20">
        <v>7.5102098885323407</v>
      </c>
      <c r="I375" s="20">
        <v>0.8046195118435101</v>
      </c>
    </row>
    <row r="376" spans="1:9">
      <c r="A376" s="18">
        <v>554</v>
      </c>
      <c r="B376" s="20">
        <v>18.475544333232232</v>
      </c>
      <c r="C376" s="20">
        <v>12.475544333232232</v>
      </c>
      <c r="D376" s="20">
        <v>782.38159330665701</v>
      </c>
      <c r="E376" s="20">
        <v>294.55280708136291</v>
      </c>
      <c r="F376" s="20">
        <v>-12.20438289642334</v>
      </c>
      <c r="G376" s="20">
        <v>-37.792758941650391</v>
      </c>
      <c r="H376" s="20">
        <v>7.5501397852857473</v>
      </c>
      <c r="I376" s="20">
        <v>0.80292997277933709</v>
      </c>
    </row>
    <row r="377" spans="1:9">
      <c r="A377" s="18">
        <v>555</v>
      </c>
      <c r="B377" s="20">
        <v>18.508893691234455</v>
      </c>
      <c r="C377" s="20">
        <v>12.508893691234455</v>
      </c>
      <c r="D377" s="20">
        <v>764.530718070116</v>
      </c>
      <c r="E377" s="20">
        <v>302.54661255777251</v>
      </c>
      <c r="F377" s="20">
        <v>-15.419131278991699</v>
      </c>
      <c r="G377" s="20">
        <v>-39.224571228027344</v>
      </c>
      <c r="H377" s="20">
        <v>7.8305683497273595</v>
      </c>
      <c r="I377" s="20">
        <v>0.81318623621390529</v>
      </c>
    </row>
    <row r="378" spans="1:9">
      <c r="A378" s="18">
        <v>556</v>
      </c>
      <c r="B378" s="20">
        <v>18.542243049236681</v>
      </c>
      <c r="C378" s="20">
        <v>12.542243049236681</v>
      </c>
      <c r="D378" s="20">
        <v>767.81864197530865</v>
      </c>
      <c r="E378" s="20">
        <v>304.27148148148149</v>
      </c>
      <c r="F378" s="20">
        <v>-14.830472946166992</v>
      </c>
      <c r="G378" s="20">
        <v>-39.538669586181641</v>
      </c>
      <c r="H378" s="20">
        <v>7.4825478796664937</v>
      </c>
      <c r="I378" s="20">
        <v>0.77005419047345269</v>
      </c>
    </row>
    <row r="379" spans="1:9">
      <c r="A379" s="18">
        <v>557</v>
      </c>
      <c r="B379" s="20">
        <v>18.575592407238904</v>
      </c>
      <c r="C379" s="20">
        <v>12.575592407238904</v>
      </c>
      <c r="D379" s="20">
        <v>766.1293882822589</v>
      </c>
      <c r="E379" s="20">
        <v>309.19314312551364</v>
      </c>
      <c r="F379" s="20">
        <v>-15.139249801635742</v>
      </c>
      <c r="G379" s="20">
        <v>-40.426990509033203</v>
      </c>
      <c r="H379" s="20">
        <v>7.6727371172051821</v>
      </c>
      <c r="I379" s="20">
        <v>0.80181382603440809</v>
      </c>
    </row>
    <row r="380" spans="1:9">
      <c r="A380" s="18">
        <v>558</v>
      </c>
      <c r="B380" s="20">
        <v>18.608941765241127</v>
      </c>
      <c r="C380" s="20">
        <v>12.608941765241127</v>
      </c>
      <c r="D380" s="20">
        <v>767.21414004078861</v>
      </c>
      <c r="E380" s="20">
        <v>312.86755041921595</v>
      </c>
      <c r="F380" s="20">
        <v>-14.948417663574219</v>
      </c>
      <c r="G380" s="20">
        <v>-41.091938018798828</v>
      </c>
      <c r="H380" s="20">
        <v>7.8106820016578133</v>
      </c>
      <c r="I380" s="20">
        <v>0.80282654457646929</v>
      </c>
    </row>
    <row r="381" spans="1:9">
      <c r="A381" s="18">
        <v>559</v>
      </c>
      <c r="B381" s="20">
        <v>18.642291123243353</v>
      </c>
      <c r="C381" s="20">
        <v>12.642291123243353</v>
      </c>
      <c r="D381" s="20">
        <v>770.9238500650348</v>
      </c>
      <c r="E381" s="20">
        <v>317.05959560127707</v>
      </c>
      <c r="F381" s="20">
        <v>-14.286595344543457</v>
      </c>
      <c r="G381" s="20">
        <v>-41.852420806884766</v>
      </c>
      <c r="H381" s="20">
        <v>7.6456631544576092</v>
      </c>
      <c r="I381" s="20">
        <v>0.80508355288697253</v>
      </c>
    </row>
    <row r="382" spans="1:9">
      <c r="A382" s="18">
        <v>560</v>
      </c>
      <c r="B382" s="20">
        <v>18.675640481245576</v>
      </c>
      <c r="C382" s="20">
        <v>12.675640481245576</v>
      </c>
      <c r="D382" s="20">
        <v>773.47286821705427</v>
      </c>
      <c r="E382" s="20">
        <v>320.32475922010804</v>
      </c>
      <c r="F382" s="20">
        <v>-13.832221031188965</v>
      </c>
      <c r="G382" s="20">
        <v>-42.444564819335938</v>
      </c>
      <c r="H382" s="20">
        <v>7.6713856883761702</v>
      </c>
      <c r="I382" s="20">
        <v>0.81694984975021179</v>
      </c>
    </row>
    <row r="383" spans="1:9">
      <c r="A383" s="18">
        <v>561</v>
      </c>
      <c r="B383" s="20">
        <v>18.708989839247803</v>
      </c>
      <c r="C383" s="20">
        <v>12.708989839247803</v>
      </c>
      <c r="D383" s="20">
        <v>780.27910288358851</v>
      </c>
      <c r="E383" s="20">
        <v>320.62216684466597</v>
      </c>
      <c r="F383" s="20">
        <v>-12.609808921813965</v>
      </c>
      <c r="G383" s="20">
        <v>-42.503292083740234</v>
      </c>
      <c r="H383" s="20">
        <v>7.6320901575044937</v>
      </c>
      <c r="I383" s="20">
        <v>0.83766742799231941</v>
      </c>
    </row>
    <row r="384" spans="1:9">
      <c r="A384" s="18">
        <v>562</v>
      </c>
      <c r="B384" s="20">
        <v>18.742339197250026</v>
      </c>
      <c r="C384" s="20">
        <v>12.742339197250026</v>
      </c>
      <c r="D384" s="20">
        <v>786.30348615090725</v>
      </c>
      <c r="E384" s="20">
        <v>321.26205826170008</v>
      </c>
      <c r="F384" s="20">
        <v>-11.528179168701172</v>
      </c>
      <c r="G384" s="20">
        <v>-42.623374938964844</v>
      </c>
      <c r="H384" s="20">
        <v>7.6089604969217488</v>
      </c>
      <c r="I384" s="20">
        <v>0.79111153113212285</v>
      </c>
    </row>
    <row r="385" spans="1:9">
      <c r="A385" s="18">
        <v>563</v>
      </c>
      <c r="B385" s="20">
        <v>18.775688555252248</v>
      </c>
      <c r="C385" s="20">
        <v>12.775688555252248</v>
      </c>
      <c r="D385" s="20">
        <v>791.41358472322929</v>
      </c>
      <c r="E385" s="20">
        <v>321.88772057046168</v>
      </c>
      <c r="F385" s="20">
        <v>-10.610739707946777</v>
      </c>
      <c r="G385" s="20">
        <v>-42.740226745605469</v>
      </c>
      <c r="H385" s="20">
        <v>7.5624889544774243</v>
      </c>
      <c r="I385" s="20">
        <v>0.78147765020380922</v>
      </c>
    </row>
    <row r="386" spans="1:9">
      <c r="A386" s="18">
        <v>564</v>
      </c>
      <c r="B386" s="20">
        <v>18.809037913254475</v>
      </c>
      <c r="C386" s="20">
        <v>12.809037913254475</v>
      </c>
      <c r="D386" s="20">
        <v>797.7994707085287</v>
      </c>
      <c r="E386" s="20">
        <v>322.25718753759173</v>
      </c>
      <c r="F386" s="20">
        <v>-9.4637632369995117</v>
      </c>
      <c r="G386" s="20">
        <v>-42.811691284179688</v>
      </c>
      <c r="H386" s="20">
        <v>7.5802911260381594</v>
      </c>
      <c r="I386" s="20">
        <v>0.81315620707371117</v>
      </c>
    </row>
    <row r="387" spans="1:9">
      <c r="A387" s="18">
        <v>565</v>
      </c>
      <c r="B387" s="20">
        <v>18.842387271256698</v>
      </c>
      <c r="C387" s="20">
        <v>12.842387271256698</v>
      </c>
      <c r="D387" s="20">
        <v>801.35397355085888</v>
      </c>
      <c r="E387" s="20">
        <v>322.44568038561363</v>
      </c>
      <c r="F387" s="20">
        <v>-8.8252973556518555</v>
      </c>
      <c r="G387" s="20">
        <v>-42.848365783691406</v>
      </c>
      <c r="H387" s="20">
        <v>7.4783897532661019</v>
      </c>
      <c r="I387" s="20">
        <v>0.79671650245483594</v>
      </c>
    </row>
    <row r="388" spans="1:9">
      <c r="A388" s="18">
        <v>566</v>
      </c>
      <c r="B388" s="20">
        <v>18.875736629258924</v>
      </c>
      <c r="C388" s="20">
        <v>12.875736629258924</v>
      </c>
      <c r="D388" s="20">
        <v>805.62345220406132</v>
      </c>
      <c r="E388" s="20">
        <v>323.33766716196135</v>
      </c>
      <c r="F388" s="20">
        <v>-8.0590677261352539</v>
      </c>
      <c r="G388" s="20">
        <v>-43.012771606445313</v>
      </c>
      <c r="H388" s="20">
        <v>7.4714544000601757</v>
      </c>
      <c r="I388" s="20">
        <v>0.81088957213138824</v>
      </c>
    </row>
    <row r="389" spans="1:9">
      <c r="A389" s="18">
        <v>567</v>
      </c>
      <c r="B389" s="20">
        <v>18.909085987261147</v>
      </c>
      <c r="C389" s="20">
        <v>12.909085987261147</v>
      </c>
      <c r="D389" s="20">
        <v>809.79227053140096</v>
      </c>
      <c r="E389" s="20">
        <v>323.94673603369256</v>
      </c>
      <c r="F389" s="20">
        <v>-7.3106026649475098</v>
      </c>
      <c r="G389" s="20">
        <v>-43.125949859619141</v>
      </c>
      <c r="H389" s="20">
        <v>7.4700665567492237</v>
      </c>
      <c r="I389" s="20">
        <v>0.7859892881909365</v>
      </c>
    </row>
    <row r="390" spans="1:9">
      <c r="A390" s="18">
        <v>568</v>
      </c>
      <c r="B390" s="20">
        <v>18.94243534526337</v>
      </c>
      <c r="C390" s="20">
        <v>12.94243534526337</v>
      </c>
      <c r="D390" s="20">
        <v>813.71883419054609</v>
      </c>
      <c r="E390" s="20">
        <v>324.32659808963996</v>
      </c>
      <c r="F390" s="20">
        <v>-6.6054196357727051</v>
      </c>
      <c r="G390" s="20">
        <v>-43.197505950927734</v>
      </c>
      <c r="H390" s="20">
        <v>7.5129704877391674</v>
      </c>
      <c r="I390" s="20">
        <v>0.7712770717384948</v>
      </c>
    </row>
    <row r="391" spans="1:9">
      <c r="A391" s="18">
        <v>569</v>
      </c>
      <c r="B391" s="20">
        <v>18.975784703265596</v>
      </c>
      <c r="C391" s="20">
        <v>12.975784703265596</v>
      </c>
      <c r="D391" s="20">
        <v>818.00934692886619</v>
      </c>
      <c r="E391" s="20">
        <v>324.5478271425103</v>
      </c>
      <c r="F391" s="20">
        <v>-5.8346419334411621</v>
      </c>
      <c r="G391" s="20">
        <v>-43.240646362304688</v>
      </c>
      <c r="H391" s="20">
        <v>7.5460189045355959</v>
      </c>
      <c r="I391" s="20">
        <v>0.78317363349509272</v>
      </c>
    </row>
    <row r="392" spans="1:9">
      <c r="A392" s="18">
        <v>570</v>
      </c>
      <c r="B392" s="20">
        <v>19.009134061267819</v>
      </c>
      <c r="C392" s="20">
        <v>13.009134061267819</v>
      </c>
      <c r="D392" s="20">
        <v>821.14743347206456</v>
      </c>
      <c r="E392" s="20">
        <v>325.41922058267119</v>
      </c>
      <c r="F392" s="20">
        <v>-5.2715816497802734</v>
      </c>
      <c r="G392" s="20">
        <v>-43.400520324707031</v>
      </c>
      <c r="H392" s="20">
        <v>7.403144118975761</v>
      </c>
      <c r="I392" s="20">
        <v>0.76836986134167573</v>
      </c>
    </row>
    <row r="393" spans="1:9">
      <c r="A393" s="18">
        <v>571</v>
      </c>
      <c r="B393" s="20">
        <v>19.042483419270045</v>
      </c>
      <c r="C393" s="20">
        <v>13.042483419270045</v>
      </c>
      <c r="D393" s="20">
        <v>828.49528985507243</v>
      </c>
      <c r="E393" s="20">
        <v>325.27524154589372</v>
      </c>
      <c r="F393" s="20">
        <v>-3.9509596824645996</v>
      </c>
      <c r="G393" s="20">
        <v>-43.379859924316406</v>
      </c>
      <c r="H393" s="20">
        <v>7.5652304767550733</v>
      </c>
      <c r="I393" s="20">
        <v>0.80881676482850684</v>
      </c>
    </row>
    <row r="394" spans="1:9">
      <c r="A394" s="18">
        <v>572</v>
      </c>
      <c r="B394" s="20">
        <v>19.075832777272268</v>
      </c>
      <c r="C394" s="20">
        <v>13.075832777272268</v>
      </c>
      <c r="D394" s="20">
        <v>836.1406439118856</v>
      </c>
      <c r="E394" s="20">
        <v>324.79327039457758</v>
      </c>
      <c r="F394" s="20">
        <v>-2.5764880180358887</v>
      </c>
      <c r="G394" s="20">
        <v>-43.298294067382813</v>
      </c>
      <c r="H394" s="20">
        <v>7.5570029262222453</v>
      </c>
      <c r="I394" s="20">
        <v>0.7647080193546949</v>
      </c>
    </row>
    <row r="395" spans="1:9">
      <c r="A395" s="18">
        <v>573</v>
      </c>
      <c r="B395" s="20">
        <v>19.109182135274491</v>
      </c>
      <c r="C395" s="20">
        <v>13.109182135274491</v>
      </c>
      <c r="D395" s="20">
        <v>844.29674647022705</v>
      </c>
      <c r="E395" s="20">
        <v>324.49318600368326</v>
      </c>
      <c r="F395" s="20">
        <v>-1.1103310585021973</v>
      </c>
      <c r="G395" s="20">
        <v>-43.249992370605469</v>
      </c>
      <c r="H395" s="20">
        <v>7.5033039469444454</v>
      </c>
      <c r="I395" s="20">
        <v>0.79299922867935102</v>
      </c>
    </row>
    <row r="396" spans="1:9">
      <c r="A396" s="18">
        <v>574</v>
      </c>
      <c r="B396" s="20">
        <v>19.142531493276717</v>
      </c>
      <c r="C396" s="20">
        <v>13.142531493276717</v>
      </c>
      <c r="D396" s="20">
        <v>851.8942881500426</v>
      </c>
      <c r="E396" s="20">
        <v>323.37437583729144</v>
      </c>
      <c r="F396" s="20">
        <v>0.25626394152641296</v>
      </c>
      <c r="G396" s="20">
        <v>-43.053215026855469</v>
      </c>
      <c r="H396" s="20">
        <v>7.5336427376382975</v>
      </c>
      <c r="I396" s="20">
        <v>0.80853283916161889</v>
      </c>
    </row>
    <row r="397" spans="1:9">
      <c r="A397" s="18">
        <v>575</v>
      </c>
      <c r="B397" s="20">
        <v>19.17588085127894</v>
      </c>
      <c r="C397" s="20">
        <v>13.17588085127894</v>
      </c>
      <c r="D397" s="20">
        <v>859.84805866089664</v>
      </c>
      <c r="E397" s="20">
        <v>322.68469768000961</v>
      </c>
      <c r="F397" s="20">
        <v>1.6865311861038208</v>
      </c>
      <c r="G397" s="20">
        <v>-42.934295654296875</v>
      </c>
      <c r="H397" s="20">
        <v>7.5830262122271224</v>
      </c>
      <c r="I397" s="20">
        <v>0.78829473331431799</v>
      </c>
    </row>
    <row r="398" spans="1:9">
      <c r="A398" s="18">
        <v>576</v>
      </c>
      <c r="B398" s="20">
        <v>19.209230209281166</v>
      </c>
      <c r="C398" s="20">
        <v>13.209230209281166</v>
      </c>
      <c r="D398" s="20">
        <v>864.88035415171089</v>
      </c>
      <c r="E398" s="20">
        <v>322.60684374252213</v>
      </c>
      <c r="F398" s="20">
        <v>2.5911438465118408</v>
      </c>
      <c r="G398" s="20">
        <v>-42.923892974853516</v>
      </c>
      <c r="H398" s="20">
        <v>7.6007802825909545</v>
      </c>
      <c r="I398" s="20">
        <v>0.78941143345460929</v>
      </c>
    </row>
    <row r="399" spans="1:9">
      <c r="A399" s="18">
        <v>577</v>
      </c>
      <c r="B399" s="20">
        <v>19.242579567283389</v>
      </c>
      <c r="C399" s="20">
        <v>13.242579567283389</v>
      </c>
      <c r="D399" s="20">
        <v>872.57069439464556</v>
      </c>
      <c r="E399" s="20">
        <v>322.46707302497907</v>
      </c>
      <c r="F399" s="20">
        <v>3.973637580871582</v>
      </c>
      <c r="G399" s="20">
        <v>-42.904232025146484</v>
      </c>
      <c r="H399" s="20">
        <v>7.6048714896419876</v>
      </c>
      <c r="I399" s="20">
        <v>0.76843007847850631</v>
      </c>
    </row>
    <row r="400" spans="1:9">
      <c r="A400" s="18">
        <v>578</v>
      </c>
      <c r="B400" s="20">
        <v>19.275928925285612</v>
      </c>
      <c r="C400" s="20">
        <v>13.275928925285612</v>
      </c>
      <c r="D400" s="20">
        <v>876.04758522727275</v>
      </c>
      <c r="E400" s="20">
        <v>322.98922821969694</v>
      </c>
      <c r="F400" s="20">
        <v>4.5981807708740234</v>
      </c>
      <c r="G400" s="20">
        <v>-43.001205444335938</v>
      </c>
      <c r="H400" s="20">
        <v>7.6415937867492385</v>
      </c>
      <c r="I400" s="20">
        <v>0.76153891098681137</v>
      </c>
    </row>
    <row r="401" spans="1:9">
      <c r="A401" s="18">
        <v>579</v>
      </c>
      <c r="B401" s="20">
        <v>19.309278283287838</v>
      </c>
      <c r="C401" s="20">
        <v>13.309278283287838</v>
      </c>
      <c r="D401" s="20">
        <v>878.90356243252972</v>
      </c>
      <c r="E401" s="20">
        <v>323.37987285594335</v>
      </c>
      <c r="F401" s="20">
        <v>5.1112313270568848</v>
      </c>
      <c r="G401" s="20">
        <v>-43.073947906494141</v>
      </c>
      <c r="H401" s="20">
        <v>7.5912255581569861</v>
      </c>
      <c r="I401" s="20">
        <v>0.79887874532115688</v>
      </c>
    </row>
    <row r="402" spans="1:9">
      <c r="A402" s="18">
        <v>580</v>
      </c>
      <c r="B402" s="20">
        <v>19.342627641290061</v>
      </c>
      <c r="C402" s="20">
        <v>13.342627641290061</v>
      </c>
      <c r="D402" s="20">
        <v>887.38705035971225</v>
      </c>
      <c r="E402" s="20">
        <v>323.36846522781769</v>
      </c>
      <c r="F402" s="20">
        <v>6.6363296508789063</v>
      </c>
      <c r="G402" s="20">
        <v>-43.078083038330078</v>
      </c>
      <c r="H402" s="20">
        <v>7.5925912549492098</v>
      </c>
      <c r="I402" s="20">
        <v>0.82787254768534169</v>
      </c>
    </row>
    <row r="403" spans="1:9">
      <c r="A403" s="18">
        <v>581</v>
      </c>
      <c r="B403" s="20">
        <v>19.375976999292288</v>
      </c>
      <c r="C403" s="20">
        <v>13.375976999292288</v>
      </c>
      <c r="D403" s="20">
        <v>892.81853328500654</v>
      </c>
      <c r="E403" s="20">
        <v>322.95227739519146</v>
      </c>
      <c r="F403" s="20">
        <v>7.6131701469421387</v>
      </c>
      <c r="G403" s="20">
        <v>-43.00677490234375</v>
      </c>
      <c r="H403" s="20">
        <v>7.563859839824401</v>
      </c>
      <c r="I403" s="20">
        <v>0.78946033718423159</v>
      </c>
    </row>
    <row r="404" spans="1:9">
      <c r="A404" s="18">
        <v>582</v>
      </c>
      <c r="B404" s="20">
        <v>19.409326357294511</v>
      </c>
      <c r="C404" s="20">
        <v>13.409326357294511</v>
      </c>
      <c r="D404" s="20">
        <v>898.75707862437719</v>
      </c>
      <c r="E404" s="20">
        <v>322.36128326649651</v>
      </c>
      <c r="F404" s="20">
        <v>8.6813421249389648</v>
      </c>
      <c r="G404" s="20">
        <v>-42.904224395751953</v>
      </c>
      <c r="H404" s="20">
        <v>7.5418957721426034</v>
      </c>
      <c r="I404" s="20">
        <v>0.77617931690964992</v>
      </c>
    </row>
    <row r="405" spans="1:9">
      <c r="A405" s="18">
        <v>583</v>
      </c>
      <c r="B405" s="20">
        <v>19.442675715296733</v>
      </c>
      <c r="C405" s="20">
        <v>13.442675715296733</v>
      </c>
      <c r="D405" s="20">
        <v>905.44306870599655</v>
      </c>
      <c r="E405" s="20">
        <v>322.77931536780773</v>
      </c>
      <c r="F405" s="20">
        <v>9.8830680847167969</v>
      </c>
      <c r="G405" s="20">
        <v>-42.984718322753906</v>
      </c>
      <c r="H405" s="20">
        <v>7.5460189045355959</v>
      </c>
      <c r="I405" s="20">
        <v>0.78317363223707437</v>
      </c>
    </row>
    <row r="406" spans="1:9">
      <c r="A406" s="18">
        <v>584</v>
      </c>
      <c r="B406" s="20">
        <v>19.47602507329896</v>
      </c>
      <c r="C406" s="20">
        <v>13.47602507329896</v>
      </c>
      <c r="D406" s="20">
        <v>909.06948458574175</v>
      </c>
      <c r="E406" s="20">
        <v>323.17365125240849</v>
      </c>
      <c r="F406" s="20">
        <v>10.534754753112793</v>
      </c>
      <c r="G406" s="20">
        <v>-43.058692932128906</v>
      </c>
      <c r="H406" s="20">
        <v>7.5761866453874251</v>
      </c>
      <c r="I406" s="20">
        <v>0.7983349266909695</v>
      </c>
    </row>
    <row r="407" spans="1:9">
      <c r="A407" s="18">
        <v>585</v>
      </c>
      <c r="B407" s="20">
        <v>19.509374431301183</v>
      </c>
      <c r="C407" s="20">
        <v>13.509374431301183</v>
      </c>
      <c r="D407" s="20">
        <v>913.7838361807826</v>
      </c>
      <c r="E407" s="20">
        <v>323.24900036350419</v>
      </c>
      <c r="F407" s="20">
        <v>11.382349014282227</v>
      </c>
      <c r="G407" s="20">
        <v>-43.075767517089844</v>
      </c>
      <c r="H407" s="20">
        <v>7.5528857900265809</v>
      </c>
      <c r="I407" s="20">
        <v>0.75452732390286181</v>
      </c>
    </row>
    <row r="408" spans="1:9">
      <c r="A408" s="18">
        <v>586</v>
      </c>
      <c r="B408" s="20">
        <v>19.542723789303409</v>
      </c>
      <c r="C408" s="20">
        <v>13.542723789303409</v>
      </c>
      <c r="D408" s="20">
        <v>918.11873479318729</v>
      </c>
      <c r="E408" s="20">
        <v>323.24829683698295</v>
      </c>
      <c r="F408" s="20">
        <v>12.161801338195801</v>
      </c>
      <c r="G408" s="20">
        <v>-43.078807830810547</v>
      </c>
      <c r="H408" s="20">
        <v>7.53777038441185</v>
      </c>
      <c r="I408" s="20">
        <v>0.8029557724716132</v>
      </c>
    </row>
    <row r="409" spans="1:9">
      <c r="A409" s="18">
        <v>587</v>
      </c>
      <c r="B409" s="20">
        <v>19.576073147305632</v>
      </c>
      <c r="C409" s="20">
        <v>13.576073147305632</v>
      </c>
      <c r="D409" s="20">
        <v>924.09694793536801</v>
      </c>
      <c r="E409" s="20">
        <v>323.0430879712747</v>
      </c>
      <c r="F409" s="20">
        <v>13.236937522888184</v>
      </c>
      <c r="G409" s="20">
        <v>-43.046058654785156</v>
      </c>
      <c r="H409" s="20">
        <v>7.5994160574552083</v>
      </c>
      <c r="I409" s="20">
        <v>0.84979966815790742</v>
      </c>
    </row>
    <row r="410" spans="1:9">
      <c r="A410" s="18">
        <v>588</v>
      </c>
      <c r="B410" s="20">
        <v>19.609422505307855</v>
      </c>
      <c r="C410" s="20">
        <v>13.609422505307855</v>
      </c>
      <c r="D410" s="20">
        <v>930.47325399687452</v>
      </c>
      <c r="E410" s="20">
        <v>323.68794326241135</v>
      </c>
      <c r="F410" s="20">
        <v>14.383016586303711</v>
      </c>
      <c r="G410" s="20">
        <v>-43.167369842529297</v>
      </c>
      <c r="H410" s="20">
        <v>7.5830262122271224</v>
      </c>
      <c r="I410" s="20">
        <v>0.77958240559321001</v>
      </c>
    </row>
    <row r="411" spans="1:9">
      <c r="A411" s="18">
        <v>589</v>
      </c>
      <c r="B411" s="20">
        <v>19.642771863310081</v>
      </c>
      <c r="C411" s="20">
        <v>13.642771863310081</v>
      </c>
      <c r="D411" s="20">
        <v>936.11685552407937</v>
      </c>
      <c r="E411" s="20">
        <v>322.84289423984887</v>
      </c>
      <c r="F411" s="20">
        <v>15.398575782775879</v>
      </c>
      <c r="G411" s="20">
        <v>-43.018630981445313</v>
      </c>
      <c r="H411" s="20">
        <v>7.6524406251213435</v>
      </c>
      <c r="I411" s="20">
        <v>0.81291979148993943</v>
      </c>
    </row>
    <row r="412" spans="1:9">
      <c r="A412" s="18">
        <v>590</v>
      </c>
      <c r="B412" s="20">
        <v>19.676121221312304</v>
      </c>
      <c r="C412" s="20">
        <v>13.676121221312304</v>
      </c>
      <c r="D412" s="20">
        <v>942.11485598183333</v>
      </c>
      <c r="E412" s="20">
        <v>322.49970120712322</v>
      </c>
      <c r="F412" s="20">
        <v>16.477487564086914</v>
      </c>
      <c r="G412" s="20">
        <v>-42.960929870605469</v>
      </c>
      <c r="H412" s="20">
        <v>7.6048714896419876</v>
      </c>
      <c r="I412" s="20">
        <v>0.80548826703057985</v>
      </c>
    </row>
    <row r="413" spans="1:9">
      <c r="A413" s="18">
        <v>591</v>
      </c>
      <c r="B413" s="20">
        <v>19.70947057931453</v>
      </c>
      <c r="C413" s="20">
        <v>13.70947057931453</v>
      </c>
      <c r="D413" s="20">
        <v>948.86413440467493</v>
      </c>
      <c r="E413" s="20">
        <v>322.65887509130755</v>
      </c>
      <c r="F413" s="20">
        <v>17.691154479980469</v>
      </c>
      <c r="G413" s="20">
        <v>-42.994659423828125</v>
      </c>
      <c r="H413" s="20">
        <v>7.5350188711300268</v>
      </c>
      <c r="I413" s="20">
        <v>0.784515227571558</v>
      </c>
    </row>
    <row r="414" spans="1:9">
      <c r="A414" s="18">
        <v>592</v>
      </c>
      <c r="B414" s="20">
        <v>19.742819937316753</v>
      </c>
      <c r="C414" s="20">
        <v>13.742819937316753</v>
      </c>
      <c r="D414" s="20">
        <v>954.88591342626557</v>
      </c>
      <c r="E414" s="20">
        <v>322.80141843971631</v>
      </c>
      <c r="F414" s="20">
        <v>18.774051666259766</v>
      </c>
      <c r="G414" s="20">
        <v>-43.024845123291016</v>
      </c>
      <c r="H414" s="20">
        <v>7.5184886452864435</v>
      </c>
      <c r="I414" s="20">
        <v>0.7898899791074161</v>
      </c>
    </row>
    <row r="415" spans="1:9">
      <c r="A415" s="18">
        <v>593</v>
      </c>
      <c r="B415" s="20">
        <v>19.776169295318976</v>
      </c>
      <c r="C415" s="20">
        <v>13.776169295318976</v>
      </c>
      <c r="D415" s="20">
        <v>958.65727866904331</v>
      </c>
      <c r="E415" s="20">
        <v>323.81592394533567</v>
      </c>
      <c r="F415" s="20">
        <v>19.451574325561523</v>
      </c>
      <c r="G415" s="20">
        <v>-43.211132049560547</v>
      </c>
      <c r="H415" s="20">
        <v>7.6266541951641864</v>
      </c>
      <c r="I415" s="20">
        <v>0.77636268263944563</v>
      </c>
    </row>
    <row r="416" spans="1:9">
      <c r="A416" s="18">
        <v>594</v>
      </c>
      <c r="B416" s="20">
        <v>19.809518653321202</v>
      </c>
      <c r="C416" s="20">
        <v>13.809518653321202</v>
      </c>
      <c r="D416" s="20">
        <v>963.55257510729609</v>
      </c>
      <c r="E416" s="20">
        <v>323.75786838340485</v>
      </c>
      <c r="F416" s="20">
        <v>20.332082748413086</v>
      </c>
      <c r="G416" s="20">
        <v>-43.204212188720703</v>
      </c>
      <c r="H416" s="20">
        <v>7.6144090908866424</v>
      </c>
      <c r="I416" s="20">
        <v>0.82322040922777762</v>
      </c>
    </row>
    <row r="417" spans="1:9">
      <c r="A417" s="18">
        <v>595</v>
      </c>
      <c r="B417" s="20">
        <v>19.842868011323425</v>
      </c>
      <c r="C417" s="20">
        <v>13.842868011323425</v>
      </c>
      <c r="D417" s="20">
        <v>967.90799950998405</v>
      </c>
      <c r="E417" s="20">
        <v>323.81403895626607</v>
      </c>
      <c r="F417" s="20">
        <v>21.115438461303711</v>
      </c>
      <c r="G417" s="20">
        <v>-43.217555999755859</v>
      </c>
      <c r="H417" s="20">
        <v>7.5115903149549048</v>
      </c>
      <c r="I417" s="20">
        <v>0.79104593117721167</v>
      </c>
    </row>
    <row r="418" spans="1:9">
      <c r="A418" s="18">
        <v>596</v>
      </c>
      <c r="B418" s="20">
        <v>19.876217369325651</v>
      </c>
      <c r="C418" s="20">
        <v>13.876217369325651</v>
      </c>
      <c r="D418" s="20">
        <v>972.87139663489813</v>
      </c>
      <c r="E418" s="20">
        <v>323.48217437345568</v>
      </c>
      <c r="F418" s="20">
        <v>22.008449554443359</v>
      </c>
      <c r="G418" s="20">
        <v>-43.161151885986328</v>
      </c>
      <c r="H418" s="20">
        <v>7.664624969967277</v>
      </c>
      <c r="I418" s="20">
        <v>0.82201617639399749</v>
      </c>
    </row>
    <row r="419" spans="1:9">
      <c r="A419" s="18">
        <v>597</v>
      </c>
      <c r="B419" s="20">
        <v>19.909566727327874</v>
      </c>
      <c r="C419" s="20">
        <v>13.909566727327874</v>
      </c>
      <c r="D419" s="20">
        <v>979.7297233942802</v>
      </c>
      <c r="E419" s="20">
        <v>323.74800750117203</v>
      </c>
      <c r="F419" s="20">
        <v>23.241912841796875</v>
      </c>
      <c r="G419" s="20">
        <v>-43.214260101318359</v>
      </c>
      <c r="H419" s="20">
        <v>7.679490694005362</v>
      </c>
      <c r="I419" s="20">
        <v>0.81867701777274282</v>
      </c>
    </row>
    <row r="420" spans="1:9">
      <c r="A420" s="18">
        <v>598</v>
      </c>
      <c r="B420" s="20">
        <v>19.942916085330097</v>
      </c>
      <c r="C420" s="20">
        <v>13.942916085330097</v>
      </c>
      <c r="D420" s="20">
        <v>984.69348659003822</v>
      </c>
      <c r="E420" s="20">
        <v>324.0974616858237</v>
      </c>
      <c r="F420" s="20">
        <v>24.134559631347656</v>
      </c>
      <c r="G420" s="20">
        <v>-43.281116485595703</v>
      </c>
      <c r="H420" s="20">
        <v>7.598051587373746</v>
      </c>
      <c r="I420" s="20">
        <v>0.80669614756954666</v>
      </c>
    </row>
    <row r="421" spans="1:9">
      <c r="A421" s="18">
        <v>599</v>
      </c>
      <c r="B421" s="20">
        <v>19.976265443332323</v>
      </c>
      <c r="C421" s="20">
        <v>13.976265443332323</v>
      </c>
      <c r="D421" s="20">
        <v>991.26051957555796</v>
      </c>
      <c r="E421" s="20">
        <v>324.35492133186972</v>
      </c>
      <c r="F421" s="20">
        <v>25.315725326538086</v>
      </c>
      <c r="G421" s="20">
        <v>-43.332500457763672</v>
      </c>
      <c r="H421" s="20">
        <v>7.528135688117529</v>
      </c>
      <c r="I421" s="20">
        <v>0.78202069645687022</v>
      </c>
    </row>
    <row r="422" spans="1:9">
      <c r="A422" s="18">
        <v>600</v>
      </c>
      <c r="B422" s="20">
        <v>20.009614801334546</v>
      </c>
      <c r="C422" s="20">
        <v>14.009614801334546</v>
      </c>
      <c r="D422" s="20">
        <v>995.83269208347906</v>
      </c>
      <c r="E422" s="20">
        <v>324.32458901713886</v>
      </c>
      <c r="F422" s="20">
        <v>26.138275146484375</v>
      </c>
      <c r="G422" s="20">
        <v>-43.330360412597656</v>
      </c>
      <c r="H422" s="20">
        <v>7.6997158822936775</v>
      </c>
      <c r="I422" s="20">
        <v>0.79130870345044635</v>
      </c>
    </row>
    <row r="423" spans="1:9">
      <c r="A423" s="18">
        <v>601</v>
      </c>
      <c r="B423" s="20">
        <v>20.042964159336773</v>
      </c>
      <c r="C423" s="20">
        <v>14.042964159336773</v>
      </c>
      <c r="D423" s="20">
        <v>1001.393862202814</v>
      </c>
      <c r="E423" s="20">
        <v>325.25691411935952</v>
      </c>
      <c r="F423" s="20">
        <v>27.138107299804688</v>
      </c>
      <c r="G423" s="20">
        <v>-43.503124237060547</v>
      </c>
      <c r="H423" s="20">
        <v>7.5487664083239023</v>
      </c>
      <c r="I423" s="20">
        <v>0.82775800441885772</v>
      </c>
    </row>
    <row r="424" spans="1:9">
      <c r="A424" s="18">
        <v>602</v>
      </c>
      <c r="B424" s="20">
        <v>20.076313517338995</v>
      </c>
      <c r="C424" s="20">
        <v>14.076313517338995</v>
      </c>
      <c r="D424" s="20">
        <v>1006.3289776164548</v>
      </c>
      <c r="E424" s="20">
        <v>325.63327283726557</v>
      </c>
      <c r="F424" s="20">
        <v>28.025733947753906</v>
      </c>
      <c r="G424" s="20">
        <v>-43.574836730957031</v>
      </c>
      <c r="H424" s="20">
        <v>7.5583748065868592</v>
      </c>
      <c r="I424" s="20">
        <v>0.80468245725975762</v>
      </c>
    </row>
    <row r="425" spans="1:9">
      <c r="A425" s="18">
        <v>603</v>
      </c>
      <c r="B425" s="20">
        <v>20.109662875341218</v>
      </c>
      <c r="C425" s="20">
        <v>14.109662875341218</v>
      </c>
      <c r="D425" s="20">
        <v>1013.8487496965282</v>
      </c>
      <c r="E425" s="20">
        <v>326.31755280407867</v>
      </c>
      <c r="F425" s="20">
        <v>29.378225326538086</v>
      </c>
      <c r="G425" s="20">
        <v>-43.704166412353516</v>
      </c>
      <c r="H425" s="20">
        <v>7.5460189045355959</v>
      </c>
      <c r="I425" s="20">
        <v>0.80471407109386939</v>
      </c>
    </row>
    <row r="426" spans="1:9">
      <c r="A426" s="18">
        <v>604</v>
      </c>
      <c r="B426" s="20">
        <v>20.143012233343445</v>
      </c>
      <c r="C426" s="20">
        <v>14.143012233343445</v>
      </c>
      <c r="D426" s="20">
        <v>1017.0375655567751</v>
      </c>
      <c r="E426" s="20">
        <v>326.66190998902306</v>
      </c>
      <c r="F426" s="20">
        <v>29.951742172241211</v>
      </c>
      <c r="G426" s="20">
        <v>-43.768814086914063</v>
      </c>
      <c r="H426" s="20">
        <v>7.528135688117529</v>
      </c>
      <c r="I426" s="20">
        <v>0.79453455840259102</v>
      </c>
    </row>
    <row r="427" spans="1:9">
      <c r="A427" s="18">
        <v>605</v>
      </c>
      <c r="B427" s="20">
        <v>20.176361591345668</v>
      </c>
      <c r="C427" s="20">
        <v>14.176361591345668</v>
      </c>
      <c r="D427" s="20">
        <v>1024.6825282384041</v>
      </c>
      <c r="E427" s="20">
        <v>326.03424657534248</v>
      </c>
      <c r="F427" s="20">
        <v>31.327722549438477</v>
      </c>
      <c r="G427" s="20">
        <v>-43.660842895507813</v>
      </c>
      <c r="H427" s="20">
        <v>7.5843933854487648</v>
      </c>
      <c r="I427" s="20">
        <v>0.77881601327473948</v>
      </c>
    </row>
    <row r="428" spans="1:9">
      <c r="A428" s="18">
        <v>606</v>
      </c>
      <c r="B428" s="20">
        <v>20.209710949347894</v>
      </c>
      <c r="C428" s="20">
        <v>14.209710949347894</v>
      </c>
      <c r="D428" s="20">
        <v>1028.6474543707973</v>
      </c>
      <c r="E428" s="20">
        <v>325.86239193083571</v>
      </c>
      <c r="F428" s="20">
        <v>32.041278839111328</v>
      </c>
      <c r="G428" s="20">
        <v>-43.632652282714844</v>
      </c>
      <c r="H428" s="20">
        <v>7.5871269928128733</v>
      </c>
      <c r="I428" s="20">
        <v>0.78296531570169503</v>
      </c>
    </row>
    <row r="429" spans="1:9">
      <c r="A429" s="18">
        <v>607</v>
      </c>
      <c r="B429" s="20">
        <v>20.243060307350117</v>
      </c>
      <c r="C429" s="20">
        <v>14.243060307350117</v>
      </c>
      <c r="D429" s="20">
        <v>1034.0032585083272</v>
      </c>
      <c r="E429" s="20">
        <v>325.67004586048756</v>
      </c>
      <c r="F429" s="20">
        <v>33.005146026611328</v>
      </c>
      <c r="G429" s="20">
        <v>-43.601768493652344</v>
      </c>
      <c r="H429" s="20">
        <v>7.5679710059073653</v>
      </c>
      <c r="I429" s="20">
        <v>0.78261104781106627</v>
      </c>
    </row>
    <row r="430" spans="1:9">
      <c r="A430" s="18">
        <v>608</v>
      </c>
      <c r="B430" s="20">
        <v>20.27640966535234</v>
      </c>
      <c r="C430" s="20">
        <v>14.27640966535234</v>
      </c>
      <c r="D430" s="20">
        <v>1039.7650292817018</v>
      </c>
      <c r="E430" s="20">
        <v>326.32652085574279</v>
      </c>
      <c r="F430" s="20">
        <v>34.041549682617188</v>
      </c>
      <c r="G430" s="20">
        <v>-43.724788665771484</v>
      </c>
      <c r="H430" s="20">
        <v>7.6048714896419876</v>
      </c>
      <c r="I430" s="20">
        <v>0.79284313295630748</v>
      </c>
    </row>
    <row r="431" spans="1:9">
      <c r="A431" s="18">
        <v>609</v>
      </c>
      <c r="B431" s="20">
        <v>20.309759023354566</v>
      </c>
      <c r="C431" s="20">
        <v>14.309759023354566</v>
      </c>
      <c r="D431" s="20">
        <v>1046.3383262006657</v>
      </c>
      <c r="E431" s="20">
        <v>326.03922967189732</v>
      </c>
      <c r="F431" s="20">
        <v>35.224647521972656</v>
      </c>
      <c r="G431" s="20">
        <v>-43.677616119384766</v>
      </c>
      <c r="H431" s="20">
        <v>7.625294599076164</v>
      </c>
      <c r="I431" s="20">
        <v>0.81249137983022557</v>
      </c>
    </row>
    <row r="432" spans="1:9">
      <c r="A432" s="18">
        <v>610</v>
      </c>
      <c r="B432" s="20">
        <v>20.343108381356789</v>
      </c>
      <c r="C432" s="20">
        <v>14.343108381356789</v>
      </c>
      <c r="D432" s="20">
        <v>1050.3101311953353</v>
      </c>
      <c r="E432" s="20">
        <v>325.68306608357625</v>
      </c>
      <c r="F432" s="20">
        <v>35.93963623046875</v>
      </c>
      <c r="G432" s="20">
        <v>-43.616081237792969</v>
      </c>
      <c r="H432" s="20">
        <v>7.5432704000173461</v>
      </c>
      <c r="I432" s="20">
        <v>0.80791015841238267</v>
      </c>
    </row>
    <row r="433" spans="1:9">
      <c r="A433" s="18">
        <v>611</v>
      </c>
      <c r="B433" s="20">
        <v>20.376457739359015</v>
      </c>
      <c r="C433" s="20">
        <v>14.376457739359015</v>
      </c>
      <c r="D433" s="20">
        <v>1054.2769634131807</v>
      </c>
      <c r="E433" s="20">
        <v>325.38076510547012</v>
      </c>
      <c r="F433" s="20">
        <v>36.653705596923828</v>
      </c>
      <c r="G433" s="20">
        <v>-43.564277648925781</v>
      </c>
      <c r="H433" s="20">
        <v>7.6157706302968791</v>
      </c>
      <c r="I433" s="20">
        <v>0.84369170598132626</v>
      </c>
    </row>
    <row r="434" spans="1:9">
      <c r="A434" s="18">
        <v>612</v>
      </c>
      <c r="B434" s="20">
        <v>20.409807097361238</v>
      </c>
      <c r="C434" s="20">
        <v>14.409807097361238</v>
      </c>
      <c r="D434" s="20">
        <v>1059.7670955444364</v>
      </c>
      <c r="E434" s="20">
        <v>325.62556588039075</v>
      </c>
      <c r="F434" s="20">
        <v>37.641620635986328</v>
      </c>
      <c r="G434" s="20">
        <v>-43.612606048583984</v>
      </c>
      <c r="H434" s="20">
        <v>7.6171319263360466</v>
      </c>
      <c r="I434" s="20">
        <v>0.82380926771740393</v>
      </c>
    </row>
    <row r="435" spans="1:9">
      <c r="A435" s="18">
        <v>613</v>
      </c>
      <c r="B435" s="20">
        <v>20.443156455363461</v>
      </c>
      <c r="C435" s="20">
        <v>14.443156455363461</v>
      </c>
      <c r="D435" s="20">
        <v>1064.8987416904083</v>
      </c>
      <c r="E435" s="20">
        <v>324.80947293447292</v>
      </c>
      <c r="F435" s="20">
        <v>38.565658569335938</v>
      </c>
      <c r="G435" s="20">
        <v>-43.468673706054688</v>
      </c>
      <c r="H435" s="20">
        <v>7.6307315299623522</v>
      </c>
      <c r="I435" s="20">
        <v>0.82128792662786243</v>
      </c>
    </row>
    <row r="436" spans="1:9">
      <c r="A436" s="18">
        <v>614</v>
      </c>
      <c r="B436" s="20">
        <v>20.476505813365687</v>
      </c>
      <c r="C436" s="20">
        <v>14.476505813365687</v>
      </c>
      <c r="D436" s="20">
        <v>1070.1085215728456</v>
      </c>
      <c r="E436" s="20">
        <v>324.08664993426555</v>
      </c>
      <c r="F436" s="20">
        <v>39.503746032714844</v>
      </c>
      <c r="G436" s="20">
        <v>-43.3416748046875</v>
      </c>
      <c r="H436" s="20">
        <v>7.6048714896419876</v>
      </c>
      <c r="I436" s="20">
        <v>0.79284313549925145</v>
      </c>
    </row>
    <row r="437" spans="1:9">
      <c r="A437" s="18">
        <v>615</v>
      </c>
      <c r="B437" s="20">
        <v>20.50985517136791</v>
      </c>
      <c r="C437" s="20">
        <v>14.50985517136791</v>
      </c>
      <c r="D437" s="20">
        <v>1073.1133161827759</v>
      </c>
      <c r="E437" s="20">
        <v>323.64804606149698</v>
      </c>
      <c r="F437" s="20">
        <v>40.044803619384766</v>
      </c>
      <c r="G437" s="20">
        <v>-43.264499664306641</v>
      </c>
      <c r="H437" s="20">
        <v>7.5115903149549048</v>
      </c>
      <c r="I437" s="20">
        <v>0.80380630579295897</v>
      </c>
    </row>
    <row r="438" spans="1:9">
      <c r="A438" s="18">
        <v>616</v>
      </c>
      <c r="B438" s="20">
        <v>20.543204529370136</v>
      </c>
      <c r="C438" s="20">
        <v>14.543204529370136</v>
      </c>
      <c r="D438" s="20">
        <v>1079.0754347293655</v>
      </c>
      <c r="E438" s="20">
        <v>323.61156012735734</v>
      </c>
      <c r="F438" s="20">
        <v>41.117950439453125</v>
      </c>
      <c r="G438" s="20">
        <v>-43.262264251708984</v>
      </c>
      <c r="H438" s="20">
        <v>7.5129704877391674</v>
      </c>
      <c r="I438" s="20">
        <v>0.75582252312399401</v>
      </c>
    </row>
    <row r="439" spans="1:9">
      <c r="A439" s="18">
        <v>617</v>
      </c>
      <c r="B439" s="20">
        <v>20.576553887372359</v>
      </c>
      <c r="C439" s="20">
        <v>14.576553887372359</v>
      </c>
      <c r="D439" s="20">
        <v>1086.1202876984125</v>
      </c>
      <c r="E439" s="20">
        <v>323.80481150793651</v>
      </c>
      <c r="F439" s="20">
        <v>42.385883331298828</v>
      </c>
      <c r="G439" s="20">
        <v>-43.302394866943359</v>
      </c>
      <c r="H439" s="20">
        <v>7.4659014788916878</v>
      </c>
      <c r="I439" s="20">
        <v>0.75467103112692746</v>
      </c>
    </row>
    <row r="440" spans="1:9">
      <c r="A440" s="18">
        <v>618</v>
      </c>
      <c r="B440" s="20">
        <v>20.609903245374582</v>
      </c>
      <c r="C440" s="20">
        <v>14.609903245374582</v>
      </c>
      <c r="D440" s="20">
        <v>1090.8219178082193</v>
      </c>
      <c r="E440" s="20">
        <v>322.85412160538328</v>
      </c>
      <c r="F440" s="20">
        <v>43.232704162597656</v>
      </c>
      <c r="G440" s="20">
        <v>-43.133777618408203</v>
      </c>
      <c r="H440" s="20">
        <v>7.5843933854487648</v>
      </c>
      <c r="I440" s="20">
        <v>0.76184707235626781</v>
      </c>
    </row>
    <row r="441" spans="1:9">
      <c r="A441" s="18">
        <v>619</v>
      </c>
      <c r="B441" s="20">
        <v>20.643252603376808</v>
      </c>
      <c r="C441" s="20">
        <v>14.643252603376808</v>
      </c>
      <c r="D441" s="20">
        <v>1097.4174399238639</v>
      </c>
      <c r="E441" s="20">
        <v>323.23947180585299</v>
      </c>
      <c r="F441" s="20">
        <v>44.419761657714844</v>
      </c>
      <c r="G441" s="20">
        <v>-43.208343505859375</v>
      </c>
      <c r="H441" s="20">
        <v>7.6225746793894631</v>
      </c>
      <c r="I441" s="20">
        <v>0.78159809197342289</v>
      </c>
    </row>
    <row r="442" spans="1:9">
      <c r="A442" s="18">
        <v>620</v>
      </c>
      <c r="B442" s="20">
        <v>20.676601961379031</v>
      </c>
      <c r="C442" s="20">
        <v>14.676601961379031</v>
      </c>
      <c r="D442" s="20">
        <v>1102.4912721186035</v>
      </c>
      <c r="E442" s="20">
        <v>323.27642276422762</v>
      </c>
      <c r="F442" s="20">
        <v>45.333114624023438</v>
      </c>
      <c r="G442" s="20">
        <v>-43.218746185302734</v>
      </c>
      <c r="H442" s="20">
        <v>7.6035079985526526</v>
      </c>
      <c r="I442" s="20">
        <v>0.78997812972861148</v>
      </c>
    </row>
    <row r="443" spans="1:9">
      <c r="A443" s="18">
        <v>621</v>
      </c>
      <c r="B443" s="20">
        <v>20.709951319381258</v>
      </c>
      <c r="C443" s="20">
        <v>14.709951319381258</v>
      </c>
      <c r="D443" s="20">
        <v>1105.3427835051546</v>
      </c>
      <c r="E443" s="20">
        <v>320.86426116838487</v>
      </c>
      <c r="F443" s="20">
        <v>45.847652435302734</v>
      </c>
      <c r="G443" s="20">
        <v>-42.784263610839844</v>
      </c>
      <c r="H443" s="20">
        <v>7.5046856436593981</v>
      </c>
      <c r="I443" s="20">
        <v>0.78333731029716713</v>
      </c>
    </row>
    <row r="444" spans="1:9">
      <c r="A444" s="18">
        <v>622</v>
      </c>
      <c r="B444" s="20">
        <v>20.74330067738348</v>
      </c>
      <c r="C444" s="20">
        <v>14.74330067738348</v>
      </c>
      <c r="D444" s="20">
        <v>1109.5369152046783</v>
      </c>
      <c r="E444" s="20">
        <v>319.86963937621829</v>
      </c>
      <c r="F444" s="20">
        <v>46.603168487548828</v>
      </c>
      <c r="G444" s="20">
        <v>-42.607318878173828</v>
      </c>
      <c r="H444" s="20">
        <v>7.5322663527290965</v>
      </c>
      <c r="I444" s="20">
        <v>0.78032158093320236</v>
      </c>
    </row>
    <row r="445" spans="1:9">
      <c r="A445" s="18">
        <v>623</v>
      </c>
      <c r="B445" s="20">
        <v>20.776650035385703</v>
      </c>
      <c r="C445" s="20">
        <v>14.776650035385703</v>
      </c>
      <c r="D445" s="20">
        <v>1112.9522111269614</v>
      </c>
      <c r="E445" s="20">
        <v>319.23621017593911</v>
      </c>
      <c r="F445" s="20">
        <v>47.218330383300781</v>
      </c>
      <c r="G445" s="20">
        <v>-42.495170593261719</v>
      </c>
      <c r="H445" s="20">
        <v>7.625294599076164</v>
      </c>
      <c r="I445" s="20">
        <v>0.7908626603845651</v>
      </c>
    </row>
    <row r="446" spans="1:9">
      <c r="A446" s="18">
        <v>624</v>
      </c>
      <c r="B446" s="20">
        <v>20.80999939338793</v>
      </c>
      <c r="C446" s="20">
        <v>14.80999939338793</v>
      </c>
      <c r="D446" s="20">
        <v>1116.3771483902203</v>
      </c>
      <c r="E446" s="20">
        <v>317.87860082304525</v>
      </c>
      <c r="F446" s="20">
        <v>47.835567474365234</v>
      </c>
      <c r="G446" s="20">
        <v>-42.251972198486328</v>
      </c>
      <c r="H446" s="20">
        <v>7.5570029262222453</v>
      </c>
      <c r="I446" s="20">
        <v>0.82012985613946643</v>
      </c>
    </row>
    <row r="447" spans="1:9">
      <c r="A447" s="18">
        <v>625</v>
      </c>
      <c r="B447" s="20">
        <v>20.843348751390153</v>
      </c>
      <c r="C447" s="20">
        <v>14.843348751390153</v>
      </c>
      <c r="D447" s="20">
        <v>1119.2371864121953</v>
      </c>
      <c r="E447" s="20">
        <v>316.59356619853554</v>
      </c>
      <c r="F447" s="20">
        <v>48.351058959960938</v>
      </c>
      <c r="G447" s="20">
        <v>-42.021492004394531</v>
      </c>
      <c r="H447" s="20">
        <v>7.5884934272215778</v>
      </c>
      <c r="I447" s="20">
        <v>0.79830380688540681</v>
      </c>
    </row>
    <row r="448" spans="1:9">
      <c r="A448" s="18">
        <v>626</v>
      </c>
      <c r="B448" s="20">
        <v>20.876698109392379</v>
      </c>
      <c r="C448" s="20">
        <v>14.876698109392379</v>
      </c>
      <c r="D448" s="20">
        <v>1127.4422986891386</v>
      </c>
      <c r="E448" s="20">
        <v>316.9115168539326</v>
      </c>
      <c r="F448" s="20">
        <v>49.828071594238281</v>
      </c>
      <c r="G448" s="20">
        <v>-42.085014343261719</v>
      </c>
      <c r="H448" s="20">
        <v>7.6848892821547166</v>
      </c>
      <c r="I448" s="20">
        <v>0.78217031797788428</v>
      </c>
    </row>
    <row r="449" spans="1:9">
      <c r="A449" s="18">
        <v>627</v>
      </c>
      <c r="B449" s="20">
        <v>20.910047467394602</v>
      </c>
      <c r="C449" s="20">
        <v>14.910047467394602</v>
      </c>
      <c r="D449" s="20">
        <v>1135.0835952963091</v>
      </c>
      <c r="E449" s="20">
        <v>316.86424496448944</v>
      </c>
      <c r="F449" s="20">
        <v>51.203842163085938</v>
      </c>
      <c r="G449" s="20">
        <v>-42.082023620605469</v>
      </c>
      <c r="H449" s="20">
        <v>7.705100299652627</v>
      </c>
      <c r="I449" s="20">
        <v>0.79603760888127628</v>
      </c>
    </row>
    <row r="450" spans="1:9">
      <c r="A450" s="18">
        <v>628</v>
      </c>
      <c r="B450" s="20">
        <v>20.943396825396825</v>
      </c>
      <c r="C450" s="20">
        <v>14.943396825396825</v>
      </c>
      <c r="D450" s="20">
        <v>1135.3892657384267</v>
      </c>
      <c r="E450" s="20">
        <v>314.04605498036415</v>
      </c>
      <c r="F450" s="20">
        <v>51.260154724121094</v>
      </c>
      <c r="G450" s="20">
        <v>-41.57220458984375</v>
      </c>
      <c r="H450" s="20">
        <v>7.6212143555311451</v>
      </c>
      <c r="I450" s="20">
        <v>0.78027375420495226</v>
      </c>
    </row>
    <row r="451" spans="1:9">
      <c r="A451" s="18">
        <v>629</v>
      </c>
      <c r="B451" s="20">
        <v>20.976746183399051</v>
      </c>
      <c r="C451" s="20">
        <v>14.976746183399051</v>
      </c>
      <c r="D451" s="20">
        <v>1140.6166118621361</v>
      </c>
      <c r="E451" s="20">
        <v>312.03349165753258</v>
      </c>
      <c r="F451" s="20">
        <v>52.202186584472656</v>
      </c>
      <c r="G451" s="20">
        <v>-41.211776733398438</v>
      </c>
      <c r="H451" s="20">
        <v>7.5336427376382975</v>
      </c>
      <c r="I451" s="20">
        <v>0.80853284180517926</v>
      </c>
    </row>
    <row r="452" spans="1:9">
      <c r="A452" s="18">
        <v>630</v>
      </c>
      <c r="B452" s="20">
        <v>21.010095541401274</v>
      </c>
      <c r="C452" s="20">
        <v>15.010095541401274</v>
      </c>
      <c r="D452" s="20">
        <v>1143.9732164597028</v>
      </c>
      <c r="E452" s="20">
        <v>307.58278548819089</v>
      </c>
      <c r="F452" s="20">
        <v>52.808494567871094</v>
      </c>
      <c r="G452" s="20">
        <v>-40.408794403076172</v>
      </c>
      <c r="H452" s="20">
        <v>7.5350188711300268</v>
      </c>
      <c r="I452" s="20">
        <v>0.80614359364197707</v>
      </c>
    </row>
    <row r="453" spans="1:9">
      <c r="A453" s="18">
        <v>631</v>
      </c>
      <c r="B453" s="20">
        <v>21.0434448994035</v>
      </c>
      <c r="C453" s="20">
        <v>15.0434448994035</v>
      </c>
      <c r="D453" s="20">
        <v>1145.9980549477266</v>
      </c>
      <c r="E453" s="20">
        <v>303.1738390469244</v>
      </c>
      <c r="F453" s="20">
        <v>53.174961090087891</v>
      </c>
      <c r="G453" s="20">
        <v>-39.612449645996094</v>
      </c>
      <c r="H453" s="20">
        <v>7.5405208936748602</v>
      </c>
      <c r="I453" s="20">
        <v>0.82988948739599133</v>
      </c>
    </row>
    <row r="454" spans="1:9">
      <c r="A454" s="18">
        <v>632</v>
      </c>
      <c r="B454" s="20">
        <v>21.076794257405723</v>
      </c>
      <c r="C454" s="20">
        <v>15.076794257405723</v>
      </c>
      <c r="D454" s="20">
        <v>1146.098909090909</v>
      </c>
      <c r="E454" s="20">
        <v>298.69551515151511</v>
      </c>
      <c r="F454" s="20">
        <v>53.195064544677734</v>
      </c>
      <c r="G454" s="20">
        <v>-38.802234649658203</v>
      </c>
      <c r="H454" s="20">
        <v>7.5515129124745641</v>
      </c>
      <c r="I454" s="20">
        <v>0.80967672581415884</v>
      </c>
    </row>
    <row r="455" spans="1:9">
      <c r="A455" s="18">
        <v>633</v>
      </c>
      <c r="B455" s="20">
        <v>21.110143615407946</v>
      </c>
      <c r="C455" s="20">
        <v>15.110143615407946</v>
      </c>
      <c r="D455" s="20">
        <v>1142.2285122960798</v>
      </c>
      <c r="E455" s="20">
        <v>294.13696128560991</v>
      </c>
      <c r="F455" s="20">
        <v>52.500331878662109</v>
      </c>
      <c r="G455" s="20">
        <v>-37.9747314453125</v>
      </c>
      <c r="H455" s="20">
        <v>7.5350188711300268</v>
      </c>
      <c r="I455" s="20">
        <v>0.81923120530217763</v>
      </c>
    </row>
    <row r="456" spans="1:9">
      <c r="A456" s="18">
        <v>634</v>
      </c>
      <c r="B456" s="20">
        <v>21.143492973410172</v>
      </c>
      <c r="C456" s="20">
        <v>15.143492973410172</v>
      </c>
      <c r="D456" s="20">
        <v>1136.8560354374308</v>
      </c>
      <c r="E456" s="20">
        <v>290.38033714777896</v>
      </c>
      <c r="F456" s="20">
        <v>51.534938812255859</v>
      </c>
      <c r="G456" s="20">
        <v>-37.291313171386719</v>
      </c>
      <c r="H456" s="20">
        <v>7.495008417656372</v>
      </c>
      <c r="I456" s="20">
        <v>0.83057701447983878</v>
      </c>
    </row>
    <row r="457" spans="1:9">
      <c r="A457" s="18">
        <v>635</v>
      </c>
      <c r="B457" s="20">
        <v>21.176842331412395</v>
      </c>
      <c r="C457" s="20">
        <v>15.176842331412395</v>
      </c>
      <c r="D457" s="20">
        <v>1136.339736346516</v>
      </c>
      <c r="E457" s="20">
        <v>289.59234149403642</v>
      </c>
      <c r="F457" s="20">
        <v>51.442348480224609</v>
      </c>
      <c r="G457" s="20">
        <v>-37.148403167724609</v>
      </c>
      <c r="H457" s="20">
        <v>7.419931315403792</v>
      </c>
      <c r="I457" s="20">
        <v>0.81563952858776234</v>
      </c>
    </row>
    <row r="458" spans="1:9">
      <c r="A458" s="18">
        <v>636</v>
      </c>
      <c r="B458" s="20">
        <v>21.210191689414621</v>
      </c>
      <c r="C458" s="20">
        <v>15.210191689414621</v>
      </c>
      <c r="D458" s="20">
        <v>1136.4473586996676</v>
      </c>
      <c r="E458" s="20">
        <v>290.00086196281245</v>
      </c>
      <c r="F458" s="20">
        <v>51.461544036865234</v>
      </c>
      <c r="G458" s="20">
        <v>-37.222373962402344</v>
      </c>
      <c r="H458" s="20">
        <v>7.4922412001289125</v>
      </c>
      <c r="I458" s="20">
        <v>0.82599917613125418</v>
      </c>
    </row>
    <row r="459" spans="1:9">
      <c r="A459" s="18">
        <v>637</v>
      </c>
      <c r="B459" s="20">
        <v>21.243541047416844</v>
      </c>
      <c r="C459" s="20">
        <v>15.243541047416844</v>
      </c>
      <c r="D459" s="20">
        <v>1124.5059307673685</v>
      </c>
      <c r="E459" s="20">
        <v>287.51198257080608</v>
      </c>
      <c r="F459" s="20">
        <v>49.313362121582031</v>
      </c>
      <c r="G459" s="20">
        <v>-36.763671875</v>
      </c>
      <c r="H459" s="20">
        <v>7.5570029262222453</v>
      </c>
      <c r="I459" s="20">
        <v>0.77676025668357185</v>
      </c>
    </row>
    <row r="460" spans="1:9">
      <c r="A460" s="18">
        <v>638</v>
      </c>
      <c r="B460" s="20">
        <v>21.276890405419067</v>
      </c>
      <c r="C460" s="20">
        <v>15.276890405419067</v>
      </c>
      <c r="D460" s="20">
        <v>1118.5933789132782</v>
      </c>
      <c r="E460" s="20">
        <v>288.07796569509412</v>
      </c>
      <c r="F460" s="20">
        <v>48.248950958251953</v>
      </c>
      <c r="G460" s="20">
        <v>-36.861839294433594</v>
      </c>
      <c r="H460" s="20">
        <v>7.5912255581569861</v>
      </c>
      <c r="I460" s="20">
        <v>0.81169239386198899</v>
      </c>
    </row>
    <row r="461" spans="1:9">
      <c r="A461" s="18">
        <v>639</v>
      </c>
      <c r="B461" s="20">
        <v>21.310239763421293</v>
      </c>
      <c r="C461" s="20">
        <v>15.310239763421293</v>
      </c>
      <c r="D461" s="20">
        <v>1111.6873836992929</v>
      </c>
      <c r="E461" s="20">
        <v>287.1007319191167</v>
      </c>
      <c r="F461" s="20">
        <v>47.006546020507813</v>
      </c>
      <c r="G461" s="20">
        <v>-36.680171966552734</v>
      </c>
      <c r="H461" s="20">
        <v>7.4645126031511078</v>
      </c>
      <c r="I461" s="20">
        <v>0.84734278919001693</v>
      </c>
    </row>
    <row r="462" spans="1:9">
      <c r="A462" s="18">
        <v>640</v>
      </c>
      <c r="B462" s="20">
        <v>21.343589121423516</v>
      </c>
      <c r="C462" s="20">
        <v>15.343589121423516</v>
      </c>
      <c r="D462" s="20">
        <v>1104.2751381215469</v>
      </c>
      <c r="E462" s="20">
        <v>286.82995702885205</v>
      </c>
      <c r="F462" s="20">
        <v>45.672763824462891</v>
      </c>
      <c r="G462" s="20">
        <v>-36.625923156738281</v>
      </c>
      <c r="H462" s="20">
        <v>7.5033039469444454</v>
      </c>
      <c r="I462" s="20">
        <v>0.83241660919629468</v>
      </c>
    </row>
    <row r="463" spans="1:9">
      <c r="A463" s="18">
        <v>641</v>
      </c>
      <c r="B463" s="20">
        <v>21.376938479425743</v>
      </c>
      <c r="C463" s="20">
        <v>15.376938479425743</v>
      </c>
      <c r="D463" s="20">
        <v>1101.7976322604513</v>
      </c>
      <c r="E463" s="20">
        <v>287.88025650511776</v>
      </c>
      <c r="F463" s="20">
        <v>45.22637939453125</v>
      </c>
      <c r="G463" s="20">
        <v>-36.814121246337891</v>
      </c>
      <c r="H463" s="20">
        <v>7.4867036966376359</v>
      </c>
      <c r="I463" s="20">
        <v>0.85654784594705724</v>
      </c>
    </row>
    <row r="464" spans="1:9">
      <c r="A464" s="18">
        <v>642</v>
      </c>
      <c r="B464" s="20">
        <v>21.410287837427965</v>
      </c>
      <c r="C464" s="20">
        <v>15.410287837427965</v>
      </c>
      <c r="D464" s="20">
        <v>1097.1556291390727</v>
      </c>
      <c r="E464" s="20">
        <v>288.16985528574929</v>
      </c>
      <c r="F464" s="20">
        <v>44.390888214111328</v>
      </c>
      <c r="G464" s="20">
        <v>-36.863201141357422</v>
      </c>
      <c r="H464" s="20">
        <v>7.5074482742126314</v>
      </c>
      <c r="I464" s="20">
        <v>0.8401985102336057</v>
      </c>
    </row>
    <row r="465" spans="1:9">
      <c r="A465" s="18">
        <v>643</v>
      </c>
      <c r="B465" s="20">
        <v>21.443637195430188</v>
      </c>
      <c r="C465" s="20">
        <v>15.443637195430188</v>
      </c>
      <c r="D465" s="20">
        <v>1093.1432272390821</v>
      </c>
      <c r="E465" s="20">
        <v>289.093387614113</v>
      </c>
      <c r="F465" s="20">
        <v>43.668361663818359</v>
      </c>
      <c r="G465" s="20">
        <v>-37.027374267578125</v>
      </c>
      <c r="H465" s="20">
        <v>7.4853186806796854</v>
      </c>
      <c r="I465" s="20">
        <v>0.84504464521109246</v>
      </c>
    </row>
    <row r="466" spans="1:9">
      <c r="A466" s="18">
        <v>644</v>
      </c>
      <c r="B466" s="20">
        <v>21.476986553432415</v>
      </c>
      <c r="C466" s="20">
        <v>15.476986553432415</v>
      </c>
      <c r="D466" s="20">
        <v>1089.6068376068376</v>
      </c>
      <c r="E466" s="20">
        <v>289.66666666666669</v>
      </c>
      <c r="F466" s="20">
        <v>43.031696319580078</v>
      </c>
      <c r="G466" s="20">
        <v>-37.1285400390625</v>
      </c>
      <c r="H466" s="20">
        <v>7.5240027557785139</v>
      </c>
      <c r="I466" s="20">
        <v>0.82071980955873758</v>
      </c>
    </row>
    <row r="467" spans="1:9">
      <c r="A467" s="18">
        <v>645</v>
      </c>
      <c r="B467" s="20">
        <v>21.510335911434638</v>
      </c>
      <c r="C467" s="20">
        <v>15.510335911434638</v>
      </c>
      <c r="D467" s="20">
        <v>1084.6572044556235</v>
      </c>
      <c r="E467" s="20">
        <v>290.02143969337646</v>
      </c>
      <c r="F467" s="20">
        <v>42.140861511230469</v>
      </c>
      <c r="G467" s="20">
        <v>-37.189182281494141</v>
      </c>
      <c r="H467" s="20">
        <v>7.5966868722145788</v>
      </c>
      <c r="I467" s="20">
        <v>0.85737071867830994</v>
      </c>
    </row>
    <row r="468" spans="1:9">
      <c r="A468" s="18">
        <v>646</v>
      </c>
      <c r="B468" s="20">
        <v>21.543685269436864</v>
      </c>
      <c r="C468" s="20">
        <v>15.543685269436864</v>
      </c>
      <c r="D468" s="20">
        <v>1075.0362052037308</v>
      </c>
      <c r="E468" s="20">
        <v>289.21686303387332</v>
      </c>
      <c r="F468" s="20">
        <v>40.41015625</v>
      </c>
      <c r="G468" s="20">
        <v>-37.036811828613281</v>
      </c>
      <c r="H468" s="20">
        <v>7.5046856436593981</v>
      </c>
      <c r="I468" s="20">
        <v>0.83958025840542827</v>
      </c>
    </row>
    <row r="469" spans="1:9">
      <c r="A469" s="18">
        <v>647</v>
      </c>
      <c r="B469" s="20">
        <v>21.577034627439087</v>
      </c>
      <c r="C469" s="20">
        <v>15.577034627439087</v>
      </c>
      <c r="D469" s="20">
        <v>1071.3821554985964</v>
      </c>
      <c r="E469" s="20">
        <v>289.55986818015379</v>
      </c>
      <c r="F469" s="20">
        <v>39.75250244140625</v>
      </c>
      <c r="G469" s="20">
        <v>-37.096244812011719</v>
      </c>
      <c r="H469" s="20">
        <v>7.5253806520918287</v>
      </c>
      <c r="I469" s="20">
        <v>0.82378336090591953</v>
      </c>
    </row>
    <row r="470" spans="1:9">
      <c r="A470" s="18">
        <v>648</v>
      </c>
      <c r="B470" s="20">
        <v>21.61038398544131</v>
      </c>
      <c r="C470" s="20">
        <v>15.61038398544131</v>
      </c>
      <c r="D470" s="20">
        <v>1067.3622976755505</v>
      </c>
      <c r="E470" s="20">
        <v>290.47815504442008</v>
      </c>
      <c r="F470" s="20">
        <v>39.028705596923828</v>
      </c>
      <c r="G470" s="20">
        <v>-37.259452819824219</v>
      </c>
      <c r="H470" s="20">
        <v>7.5363947533420124</v>
      </c>
      <c r="I470" s="20">
        <v>0.86795580690959973</v>
      </c>
    </row>
    <row r="471" spans="1:9">
      <c r="A471" s="18">
        <v>649</v>
      </c>
      <c r="B471" s="20">
        <v>21.643733343443536</v>
      </c>
      <c r="C471" s="20">
        <v>15.643733343443536</v>
      </c>
      <c r="D471" s="20">
        <v>1062.3193226120857</v>
      </c>
      <c r="E471" s="20">
        <v>290.69249512670564</v>
      </c>
      <c r="F471" s="20">
        <v>38.121253967285156</v>
      </c>
      <c r="G471" s="20">
        <v>-37.294624328613281</v>
      </c>
      <c r="H471" s="20">
        <v>7.5322663527290965</v>
      </c>
      <c r="I471" s="20">
        <v>0.85983627326344669</v>
      </c>
    </row>
    <row r="472" spans="1:9">
      <c r="A472" s="18">
        <v>650</v>
      </c>
      <c r="B472" s="20">
        <v>21.677082701445759</v>
      </c>
      <c r="C472" s="20">
        <v>15.677082701445759</v>
      </c>
      <c r="D472" s="20">
        <v>1054.8191966994295</v>
      </c>
      <c r="E472" s="20">
        <v>290.58245358572987</v>
      </c>
      <c r="F472" s="20">
        <v>36.771949768066406</v>
      </c>
      <c r="G472" s="20">
        <v>-37.269374847412109</v>
      </c>
      <c r="H472" s="20">
        <v>7.5473927814526762</v>
      </c>
      <c r="I472" s="20">
        <v>0.86033796676199414</v>
      </c>
    </row>
    <row r="473" spans="1:9">
      <c r="A473" s="18">
        <v>651</v>
      </c>
      <c r="B473" s="20">
        <v>21.710432059447985</v>
      </c>
      <c r="C473" s="20">
        <v>15.710432059447985</v>
      </c>
      <c r="D473" s="20">
        <v>1052.6969135802469</v>
      </c>
      <c r="E473" s="20">
        <v>291.29111111111109</v>
      </c>
      <c r="F473" s="20">
        <v>36.38970947265625</v>
      </c>
      <c r="G473" s="20">
        <v>-37.396018981933594</v>
      </c>
      <c r="H473" s="20">
        <v>7.4825478796664937</v>
      </c>
      <c r="I473" s="20">
        <v>0.86276056110035815</v>
      </c>
    </row>
    <row r="474" spans="1:9">
      <c r="A474" s="18">
        <v>652</v>
      </c>
      <c r="B474" s="20">
        <v>21.743781417450208</v>
      </c>
      <c r="C474" s="20">
        <v>15.743781417450208</v>
      </c>
      <c r="D474" s="20">
        <v>1047.9926226484693</v>
      </c>
      <c r="E474" s="20">
        <v>292.03664084593629</v>
      </c>
      <c r="F474" s="20">
        <v>35.542945861816406</v>
      </c>
      <c r="G474" s="20">
        <v>-37.527496337890625</v>
      </c>
      <c r="H474" s="20">
        <v>7.4977746138818162</v>
      </c>
      <c r="I474" s="20">
        <v>0.8490630593249846</v>
      </c>
    </row>
    <row r="475" spans="1:9">
      <c r="A475" s="18">
        <v>653</v>
      </c>
      <c r="B475" s="20">
        <v>21.777130775452431</v>
      </c>
      <c r="C475" s="20">
        <v>15.777130775452431</v>
      </c>
      <c r="D475" s="20">
        <v>1040.2067901234566</v>
      </c>
      <c r="E475" s="20">
        <v>291.43604938271602</v>
      </c>
      <c r="F475" s="20">
        <v>34.142646789550781</v>
      </c>
      <c r="G475" s="20">
        <v>-37.413322448730469</v>
      </c>
      <c r="H475" s="20">
        <v>7.4825478796664937</v>
      </c>
      <c r="I475" s="20">
        <v>0.82108413468085428</v>
      </c>
    </row>
    <row r="476" spans="1:9">
      <c r="A476" s="18">
        <v>654</v>
      </c>
      <c r="B476" s="20">
        <v>21.810480133454657</v>
      </c>
      <c r="C476" s="20">
        <v>15.810480133454657</v>
      </c>
      <c r="D476" s="20">
        <v>1037.1913171449596</v>
      </c>
      <c r="E476" s="20">
        <v>292.32425803286725</v>
      </c>
      <c r="F476" s="20">
        <v>33.599628448486328</v>
      </c>
      <c r="G476" s="20">
        <v>-37.571796417236328</v>
      </c>
      <c r="H476" s="20">
        <v>7.5074482742126314</v>
      </c>
      <c r="I476" s="20">
        <v>0.84019851163867676</v>
      </c>
    </row>
    <row r="477" spans="1:9">
      <c r="A477" s="18">
        <v>655</v>
      </c>
      <c r="B477" s="20">
        <v>21.84382949145688</v>
      </c>
      <c r="C477" s="20">
        <v>15.84382949145688</v>
      </c>
      <c r="D477" s="20">
        <v>1034.0816176470589</v>
      </c>
      <c r="E477" s="20">
        <v>293.15441176470586</v>
      </c>
      <c r="F477" s="20">
        <v>33.039714813232422</v>
      </c>
      <c r="G477" s="20">
        <v>-37.719707489013672</v>
      </c>
      <c r="H477" s="20">
        <v>7.5102098885323407</v>
      </c>
      <c r="I477" s="20">
        <v>0.82716624349820134</v>
      </c>
    </row>
    <row r="478" spans="1:9">
      <c r="A478" s="18">
        <v>656</v>
      </c>
      <c r="B478" s="20">
        <v>21.877178849459103</v>
      </c>
      <c r="C478" s="20">
        <v>15.877178849459103</v>
      </c>
      <c r="D478" s="20">
        <v>1025.218864794407</v>
      </c>
      <c r="E478" s="20">
        <v>292.50598412134138</v>
      </c>
      <c r="F478" s="20">
        <v>31.445856094360352</v>
      </c>
      <c r="G478" s="20">
        <v>-37.596115112304688</v>
      </c>
      <c r="H478" s="20">
        <v>7.6375222508309886</v>
      </c>
      <c r="I478" s="20">
        <v>0.83327929330565842</v>
      </c>
    </row>
    <row r="479" spans="1:9">
      <c r="A479" s="18">
        <v>657</v>
      </c>
      <c r="B479" s="20">
        <v>21.910528207461329</v>
      </c>
      <c r="C479" s="20">
        <v>15.910528207461329</v>
      </c>
      <c r="D479" s="20">
        <v>1023.7741147741147</v>
      </c>
      <c r="E479" s="20">
        <v>293.14676434676431</v>
      </c>
      <c r="F479" s="20">
        <v>31.18556022644043</v>
      </c>
      <c r="G479" s="20">
        <v>-37.710960388183594</v>
      </c>
      <c r="H479" s="20">
        <v>7.5240027557785139</v>
      </c>
      <c r="I479" s="20">
        <v>0.83020729448695685</v>
      </c>
    </row>
    <row r="480" spans="1:9">
      <c r="A480" s="18">
        <v>658</v>
      </c>
      <c r="B480" s="20">
        <v>21.943877565463552</v>
      </c>
      <c r="C480" s="20">
        <v>15.943877565463552</v>
      </c>
      <c r="D480" s="20">
        <v>1018.8927824910855</v>
      </c>
      <c r="E480" s="20">
        <v>293.80204106725682</v>
      </c>
      <c r="F480" s="20">
        <v>30.307098388671875</v>
      </c>
      <c r="G480" s="20">
        <v>-37.825973510742188</v>
      </c>
      <c r="H480" s="20">
        <v>7.4977746138818162</v>
      </c>
      <c r="I480" s="20">
        <v>0.87355879261393932</v>
      </c>
    </row>
    <row r="481" spans="1:9">
      <c r="A481" s="18">
        <v>659</v>
      </c>
      <c r="B481" s="20">
        <v>21.977226923465778</v>
      </c>
      <c r="C481" s="20">
        <v>15.977226923465778</v>
      </c>
      <c r="D481" s="20">
        <v>1014.3381445842585</v>
      </c>
      <c r="E481" s="20">
        <v>293.93362941031336</v>
      </c>
      <c r="F481" s="20">
        <v>29.487766265869141</v>
      </c>
      <c r="G481" s="20">
        <v>-37.846511840820313</v>
      </c>
      <c r="H481" s="20">
        <v>7.4853186806796854</v>
      </c>
      <c r="I481" s="20">
        <v>0.84915118053544469</v>
      </c>
    </row>
    <row r="482" spans="1:9">
      <c r="A482" s="18">
        <v>660</v>
      </c>
      <c r="B482" s="20">
        <v>22.010576281468001</v>
      </c>
      <c r="C482" s="20">
        <v>16.010576281468001</v>
      </c>
      <c r="D482" s="20">
        <v>1007.8635025754231</v>
      </c>
      <c r="E482" s="20">
        <v>293.85810645082165</v>
      </c>
      <c r="F482" s="20">
        <v>28.323261260986328</v>
      </c>
      <c r="G482" s="20">
        <v>-37.828227996826172</v>
      </c>
      <c r="H482" s="20">
        <v>7.5074482742126314</v>
      </c>
      <c r="I482" s="20">
        <v>0.86851229817436038</v>
      </c>
    </row>
    <row r="483" spans="1:9">
      <c r="A483" s="18">
        <v>661</v>
      </c>
      <c r="B483" s="20">
        <v>22.043925639470224</v>
      </c>
      <c r="C483" s="20">
        <v>16.043925639470224</v>
      </c>
      <c r="D483" s="20">
        <v>1001.6050245098039</v>
      </c>
      <c r="E483" s="20">
        <v>293.76409313725486</v>
      </c>
      <c r="F483" s="20">
        <v>27.197689056396484</v>
      </c>
      <c r="G483" s="20">
        <v>-37.806758880615234</v>
      </c>
      <c r="H483" s="20">
        <v>7.5102098885323407</v>
      </c>
      <c r="I483" s="20">
        <v>0.85067410906986574</v>
      </c>
    </row>
    <row r="484" spans="1:9">
      <c r="A484" s="18">
        <v>662</v>
      </c>
      <c r="B484" s="20">
        <v>22.07727499747245</v>
      </c>
      <c r="C484" s="20">
        <v>16.07727499747245</v>
      </c>
      <c r="D484" s="20">
        <v>996.24349006540785</v>
      </c>
      <c r="E484" s="20">
        <v>293.75799086757991</v>
      </c>
      <c r="F484" s="20">
        <v>26.233409881591797</v>
      </c>
      <c r="G484" s="20">
        <v>-37.801826477050781</v>
      </c>
      <c r="H484" s="20">
        <v>7.4839334084034252</v>
      </c>
      <c r="I484" s="20">
        <v>0.83779269674648438</v>
      </c>
    </row>
    <row r="485" spans="1:9">
      <c r="A485" s="18">
        <v>663</v>
      </c>
      <c r="B485" s="20">
        <v>22.110624355474673</v>
      </c>
      <c r="C485" s="20">
        <v>16.110624355474673</v>
      </c>
      <c r="D485" s="20">
        <v>990.85257352941176</v>
      </c>
      <c r="E485" s="20">
        <v>293.28051470588235</v>
      </c>
      <c r="F485" s="20">
        <v>25.264225006103516</v>
      </c>
      <c r="G485" s="20">
        <v>-37.711635589599609</v>
      </c>
      <c r="H485" s="20">
        <v>7.5102098885323407</v>
      </c>
      <c r="I485" s="20">
        <v>0.84081676206798661</v>
      </c>
    </row>
    <row r="486" spans="1:9">
      <c r="A486" s="18">
        <v>664</v>
      </c>
      <c r="B486" s="20">
        <v>22.1439737134769</v>
      </c>
      <c r="C486" s="20">
        <v>16.1439737134769</v>
      </c>
      <c r="D486" s="20">
        <v>983.29142300194917</v>
      </c>
      <c r="E486" s="20">
        <v>292.99610136452242</v>
      </c>
      <c r="F486" s="20">
        <v>23.904655456542969</v>
      </c>
      <c r="G486" s="20">
        <v>-37.654808044433594</v>
      </c>
      <c r="H486" s="20">
        <v>7.5322663527290965</v>
      </c>
      <c r="I486" s="20">
        <v>0.84003431827628883</v>
      </c>
    </row>
    <row r="487" spans="1:9">
      <c r="A487" s="18">
        <v>665</v>
      </c>
      <c r="B487" s="20">
        <v>22.177323071479123</v>
      </c>
      <c r="C487" s="20">
        <v>16.177323071479123</v>
      </c>
      <c r="D487" s="20">
        <v>977.72389705882358</v>
      </c>
      <c r="E487" s="20">
        <v>293.25968137254898</v>
      </c>
      <c r="F487" s="20">
        <v>22.903253555297852</v>
      </c>
      <c r="G487" s="20">
        <v>-37.698490142822266</v>
      </c>
      <c r="H487" s="20">
        <v>7.5102098885323407</v>
      </c>
      <c r="I487" s="20">
        <v>0.83112976066356392</v>
      </c>
    </row>
    <row r="488" spans="1:9">
      <c r="A488" s="18">
        <v>666</v>
      </c>
      <c r="B488" s="20">
        <v>22.210672429481345</v>
      </c>
      <c r="C488" s="20">
        <v>16.210672429481345</v>
      </c>
      <c r="D488" s="20">
        <v>974.87088080362605</v>
      </c>
      <c r="E488" s="20">
        <v>293.91755482053168</v>
      </c>
      <c r="F488" s="20">
        <v>22.389738082885742</v>
      </c>
      <c r="G488" s="20">
        <v>-37.815402984619141</v>
      </c>
      <c r="H488" s="20">
        <v>7.5115903149549048</v>
      </c>
      <c r="I488" s="20">
        <v>0.86646971809057849</v>
      </c>
    </row>
    <row r="489" spans="1:9">
      <c r="A489" s="18">
        <v>667</v>
      </c>
      <c r="B489" s="20">
        <v>22.244021787483572</v>
      </c>
      <c r="C489" s="20">
        <v>16.244021787483572</v>
      </c>
      <c r="D489" s="20">
        <v>970.37120373785797</v>
      </c>
      <c r="E489" s="20">
        <v>294.18566334685846</v>
      </c>
      <c r="F489" s="20">
        <v>21.580398559570313</v>
      </c>
      <c r="G489" s="20">
        <v>-37.860671997070313</v>
      </c>
      <c r="H489" s="20">
        <v>7.4977746138818162</v>
      </c>
      <c r="I489" s="20">
        <v>0.84906306218339989</v>
      </c>
    </row>
    <row r="490" spans="1:9">
      <c r="A490" s="18">
        <v>668</v>
      </c>
      <c r="B490" s="20">
        <v>22.277371145485795</v>
      </c>
      <c r="C490" s="20">
        <v>16.277371145485795</v>
      </c>
      <c r="D490" s="20">
        <v>964.467706013363</v>
      </c>
      <c r="E490" s="20">
        <v>294.52511754516206</v>
      </c>
      <c r="F490" s="20">
        <v>20.518596649169922</v>
      </c>
      <c r="G490" s="20">
        <v>-37.917827606201172</v>
      </c>
      <c r="H490" s="20">
        <v>7.4742293135820566</v>
      </c>
      <c r="I490" s="20">
        <v>0.84663703650921629</v>
      </c>
    </row>
    <row r="491" spans="1:9">
      <c r="A491" s="18">
        <v>669</v>
      </c>
      <c r="B491" s="20">
        <v>22.310720503488021</v>
      </c>
      <c r="C491" s="20">
        <v>16.310720503488021</v>
      </c>
      <c r="D491" s="20">
        <v>958.23161131611312</v>
      </c>
      <c r="E491" s="20">
        <v>294.50110701107013</v>
      </c>
      <c r="F491" s="20">
        <v>19.397304534912109</v>
      </c>
      <c r="G491" s="20">
        <v>-37.909027099609375</v>
      </c>
      <c r="H491" s="20">
        <v>7.4963916433611733</v>
      </c>
      <c r="I491" s="20">
        <v>0.85166532027048614</v>
      </c>
    </row>
    <row r="492" spans="1:9">
      <c r="A492" s="18">
        <v>670</v>
      </c>
      <c r="B492" s="20">
        <v>22.344069861490244</v>
      </c>
      <c r="C492" s="20">
        <v>16.344069861490244</v>
      </c>
      <c r="D492" s="20">
        <v>954.83742818726307</v>
      </c>
      <c r="E492" s="20">
        <v>294.57511306686223</v>
      </c>
      <c r="F492" s="20">
        <v>18.786951065063477</v>
      </c>
      <c r="G492" s="20">
        <v>-37.91998291015625</v>
      </c>
      <c r="H492" s="20">
        <v>7.51986755197301</v>
      </c>
      <c r="I492" s="20">
        <v>0.81321433958244571</v>
      </c>
    </row>
    <row r="493" spans="1:9">
      <c r="A493" s="18">
        <v>671</v>
      </c>
      <c r="B493" s="20">
        <v>22.377419219492467</v>
      </c>
      <c r="C493" s="20">
        <v>16.377419219492467</v>
      </c>
      <c r="D493" s="20">
        <v>950.72719553614741</v>
      </c>
      <c r="E493" s="20">
        <v>294.75861232411449</v>
      </c>
      <c r="F493" s="20">
        <v>18.047786712646484</v>
      </c>
      <c r="G493" s="20">
        <v>-37.950222015380859</v>
      </c>
      <c r="H493" s="20">
        <v>7.5487664083239023</v>
      </c>
      <c r="I493" s="20">
        <v>0.8129023624192262</v>
      </c>
    </row>
    <row r="494" spans="1:9">
      <c r="A494" s="18">
        <v>672</v>
      </c>
      <c r="B494" s="20">
        <v>22.410768577494693</v>
      </c>
      <c r="C494" s="20">
        <v>16.410768577494693</v>
      </c>
      <c r="D494" s="20">
        <v>944.00669588507412</v>
      </c>
      <c r="E494" s="20">
        <v>294.89396152909666</v>
      </c>
      <c r="F494" s="20">
        <v>16.839376449584961</v>
      </c>
      <c r="G494" s="20">
        <v>-37.969890594482422</v>
      </c>
      <c r="H494" s="20">
        <v>7.5350188711300268</v>
      </c>
      <c r="I494" s="20">
        <v>0.82312485065118379</v>
      </c>
    </row>
    <row r="495" spans="1:9">
      <c r="A495" s="18">
        <v>673</v>
      </c>
      <c r="B495" s="20">
        <v>22.444117935496916</v>
      </c>
      <c r="C495" s="20">
        <v>16.444117935496916</v>
      </c>
      <c r="D495" s="20">
        <v>937.90219780219775</v>
      </c>
      <c r="E495" s="20">
        <v>295.25518925518924</v>
      </c>
      <c r="F495" s="20">
        <v>15.7415771484375</v>
      </c>
      <c r="G495" s="20">
        <v>-38.030834197998047</v>
      </c>
      <c r="H495" s="20">
        <v>7.5240027557785139</v>
      </c>
      <c r="I495" s="20">
        <v>0.85795067463425767</v>
      </c>
    </row>
    <row r="496" spans="1:9">
      <c r="A496" s="18">
        <v>674</v>
      </c>
      <c r="B496" s="20">
        <v>22.477467293499142</v>
      </c>
      <c r="C496" s="20">
        <v>16.477467293499142</v>
      </c>
      <c r="D496" s="20">
        <v>936.08464064210148</v>
      </c>
      <c r="E496" s="20">
        <v>295.59649762860272</v>
      </c>
      <c r="F496" s="20">
        <v>15.414535522460938</v>
      </c>
      <c r="G496" s="20">
        <v>-38.091243743896484</v>
      </c>
      <c r="H496" s="20">
        <v>7.5391457644770172</v>
      </c>
      <c r="I496" s="20">
        <v>0.83074540259960283</v>
      </c>
    </row>
    <row r="497" spans="1:9">
      <c r="A497" s="18">
        <v>675</v>
      </c>
      <c r="B497" s="20">
        <v>22.510816651501365</v>
      </c>
      <c r="C497" s="20">
        <v>16.510816651501365</v>
      </c>
      <c r="D497" s="20">
        <v>932.32782065417121</v>
      </c>
      <c r="E497" s="20">
        <v>295.85115766262402</v>
      </c>
      <c r="F497" s="20">
        <v>14.738921165466309</v>
      </c>
      <c r="G497" s="20">
        <v>-38.134597778320313</v>
      </c>
      <c r="H497" s="20">
        <v>7.5115903149549048</v>
      </c>
      <c r="I497" s="20">
        <v>0.8480807654132223</v>
      </c>
    </row>
    <row r="498" spans="1:9">
      <c r="A498" s="18">
        <v>676</v>
      </c>
      <c r="B498" s="20">
        <v>22.544166009503588</v>
      </c>
      <c r="C498" s="20">
        <v>16.544166009503588</v>
      </c>
      <c r="D498" s="20">
        <v>925.6744129750665</v>
      </c>
      <c r="E498" s="20">
        <v>296.25974340353423</v>
      </c>
      <c r="F498" s="20">
        <v>13.542469024658203</v>
      </c>
      <c r="G498" s="20">
        <v>-38.203704833984375</v>
      </c>
      <c r="H498" s="20">
        <v>7.5570029262222453</v>
      </c>
      <c r="I498" s="20">
        <v>0.84151888127270946</v>
      </c>
    </row>
    <row r="499" spans="1:9">
      <c r="A499" s="18">
        <v>677</v>
      </c>
      <c r="B499" s="20">
        <v>22.577515367505814</v>
      </c>
      <c r="C499" s="20">
        <v>16.577515367505814</v>
      </c>
      <c r="D499" s="20">
        <v>921.1537434777332</v>
      </c>
      <c r="E499" s="20">
        <v>296.64276180075234</v>
      </c>
      <c r="F499" s="20">
        <v>12.729466438293457</v>
      </c>
      <c r="G499" s="20">
        <v>-38.269718170166016</v>
      </c>
      <c r="H499" s="20">
        <v>7.5473927814526762</v>
      </c>
      <c r="I499" s="20">
        <v>0.83256388805628923</v>
      </c>
    </row>
    <row r="500" spans="1:9">
      <c r="A500" s="18">
        <v>678</v>
      </c>
      <c r="B500" s="20">
        <v>22.610864725508037</v>
      </c>
      <c r="C500" s="20">
        <v>16.610864725508037</v>
      </c>
      <c r="D500" s="20">
        <v>919.24318429661946</v>
      </c>
      <c r="E500" s="20">
        <v>296.8050405913001</v>
      </c>
      <c r="F500" s="20">
        <v>12.385870933532715</v>
      </c>
      <c r="G500" s="20">
        <v>-38.297691345214844</v>
      </c>
      <c r="H500" s="20">
        <v>7.5528857900265809</v>
      </c>
      <c r="I500" s="20">
        <v>0.8072871619125872</v>
      </c>
    </row>
    <row r="501" spans="1:9">
      <c r="A501" s="18">
        <v>679</v>
      </c>
      <c r="B501" s="20">
        <v>22.644214083510263</v>
      </c>
      <c r="C501" s="20">
        <v>16.644214083510263</v>
      </c>
      <c r="D501" s="20">
        <v>913.20881642512063</v>
      </c>
      <c r="E501" s="20">
        <v>297.13224637681162</v>
      </c>
      <c r="F501" s="20">
        <v>11.300840377807617</v>
      </c>
      <c r="G501" s="20">
        <v>-38.352523803710938</v>
      </c>
      <c r="H501" s="20">
        <v>7.5652304767550733</v>
      </c>
      <c r="I501" s="20">
        <v>0.81262100481711963</v>
      </c>
    </row>
    <row r="502" spans="1:9">
      <c r="A502" s="18">
        <v>680</v>
      </c>
      <c r="B502" s="20">
        <v>22.677563441512486</v>
      </c>
      <c r="C502" s="20">
        <v>16.677563441512486</v>
      </c>
      <c r="D502" s="20">
        <v>908.61107055961054</v>
      </c>
      <c r="E502" s="20">
        <v>296.21727493917274</v>
      </c>
      <c r="F502" s="20">
        <v>10.475137710571289</v>
      </c>
      <c r="G502" s="20">
        <v>-38.183822631835938</v>
      </c>
      <c r="H502" s="20">
        <v>7.53777038441185</v>
      </c>
      <c r="I502" s="20">
        <v>0.82372611194438505</v>
      </c>
    </row>
    <row r="503" spans="1:9">
      <c r="A503" s="18">
        <v>681</v>
      </c>
      <c r="B503" s="20">
        <v>22.710912799514709</v>
      </c>
      <c r="C503" s="20">
        <v>16.710912799514709</v>
      </c>
      <c r="D503" s="20">
        <v>904.77002491990027</v>
      </c>
      <c r="E503" s="20">
        <v>295.79957280170879</v>
      </c>
      <c r="F503" s="20">
        <v>9.7850561141967773</v>
      </c>
      <c r="G503" s="20">
        <v>-38.105556488037109</v>
      </c>
      <c r="H503" s="20">
        <v>7.6320901575044937</v>
      </c>
      <c r="I503" s="20">
        <v>0.81505239657279893</v>
      </c>
    </row>
    <row r="504" spans="1:9">
      <c r="A504" s="18">
        <v>682</v>
      </c>
      <c r="B504" s="20">
        <v>22.744262157516935</v>
      </c>
      <c r="C504" s="20">
        <v>16.744262157516935</v>
      </c>
      <c r="D504" s="20">
        <v>895.14491163924424</v>
      </c>
      <c r="E504" s="20">
        <v>297.04667885435708</v>
      </c>
      <c r="F504" s="20">
        <v>8.0539207458496094</v>
      </c>
      <c r="G504" s="20">
        <v>-38.324127197265625</v>
      </c>
      <c r="H504" s="20">
        <v>7.5308897162645749</v>
      </c>
      <c r="I504" s="20">
        <v>0.8425831546891579</v>
      </c>
    </row>
    <row r="505" spans="1:9">
      <c r="A505" s="18">
        <v>683</v>
      </c>
      <c r="B505" s="20">
        <v>22.777611515519158</v>
      </c>
      <c r="C505" s="20">
        <v>16.777611515519158</v>
      </c>
      <c r="D505" s="20">
        <v>891.76307655729909</v>
      </c>
      <c r="E505" s="20">
        <v>296.90798858773184</v>
      </c>
      <c r="F505" s="20">
        <v>7.4461970329284668</v>
      </c>
      <c r="G505" s="20">
        <v>-38.296630859375</v>
      </c>
      <c r="H505" s="20">
        <v>7.625294599076164</v>
      </c>
      <c r="I505" s="20">
        <v>0.84698243052240085</v>
      </c>
    </row>
    <row r="506" spans="1:9">
      <c r="A506" s="18">
        <v>684</v>
      </c>
      <c r="B506" s="20">
        <v>22.810960873521385</v>
      </c>
      <c r="C506" s="20">
        <v>16.810960873521385</v>
      </c>
      <c r="D506" s="20">
        <v>884.33137901551231</v>
      </c>
      <c r="E506" s="20">
        <v>296.23757176010747</v>
      </c>
      <c r="F506" s="20">
        <v>6.1110777854919434</v>
      </c>
      <c r="G506" s="20">
        <v>-38.170120239257813</v>
      </c>
      <c r="H506" s="20">
        <v>7.5226246070801173</v>
      </c>
      <c r="I506" s="20">
        <v>0.81767215355290601</v>
      </c>
    </row>
    <row r="507" spans="1:9">
      <c r="A507" s="18">
        <v>685</v>
      </c>
      <c r="B507" s="20">
        <v>22.844310231523608</v>
      </c>
      <c r="C507" s="20">
        <v>16.844310231523608</v>
      </c>
      <c r="D507" s="20">
        <v>881.4140817331363</v>
      </c>
      <c r="E507" s="20">
        <v>295.49199901526339</v>
      </c>
      <c r="F507" s="20">
        <v>5.5874323844909668</v>
      </c>
      <c r="G507" s="20">
        <v>-38.033260345458984</v>
      </c>
      <c r="H507" s="20">
        <v>7.493624936626099</v>
      </c>
      <c r="I507" s="20">
        <v>0.81959910394768631</v>
      </c>
    </row>
    <row r="508" spans="1:9">
      <c r="A508" s="18">
        <v>686</v>
      </c>
      <c r="B508" s="20">
        <v>22.87765958952583</v>
      </c>
      <c r="C508" s="20">
        <v>16.87765958952583</v>
      </c>
      <c r="D508" s="20">
        <v>876.4413455657492</v>
      </c>
      <c r="E508" s="20">
        <v>295.3269724770642</v>
      </c>
      <c r="F508" s="20">
        <v>4.6938881874084473</v>
      </c>
      <c r="G508" s="20">
        <v>-37.999870300292969</v>
      </c>
      <c r="H508" s="20">
        <v>7.517109485659085</v>
      </c>
      <c r="I508" s="20">
        <v>0.81261792275840283</v>
      </c>
    </row>
    <row r="509" spans="1:9">
      <c r="A509" s="18">
        <v>687</v>
      </c>
      <c r="B509" s="20">
        <v>22.911008947528057</v>
      </c>
      <c r="C509" s="20">
        <v>16.911008947528057</v>
      </c>
      <c r="D509" s="20">
        <v>866.82072205736893</v>
      </c>
      <c r="E509" s="20">
        <v>295.50259643916917</v>
      </c>
      <c r="F509" s="20">
        <v>2.9648005962371826</v>
      </c>
      <c r="G509" s="20">
        <v>-38.024742126464844</v>
      </c>
      <c r="H509" s="20">
        <v>7.4770031972602533</v>
      </c>
      <c r="I509" s="20">
        <v>0.82543178719730581</v>
      </c>
    </row>
    <row r="510" spans="1:9">
      <c r="A510" s="18">
        <v>688</v>
      </c>
      <c r="B510" s="20">
        <v>22.94435830553028</v>
      </c>
      <c r="C510" s="20">
        <v>16.94435830553028</v>
      </c>
      <c r="D510" s="20">
        <v>863.27306137449466</v>
      </c>
      <c r="E510" s="20">
        <v>295.20164155335044</v>
      </c>
      <c r="F510" s="20">
        <v>2.3275496959686279</v>
      </c>
      <c r="G510" s="20">
        <v>-37.967803955078125</v>
      </c>
      <c r="H510" s="20">
        <v>7.5115903149549048</v>
      </c>
      <c r="I510" s="20">
        <v>0.78584925458853905</v>
      </c>
    </row>
    <row r="511" spans="1:9">
      <c r="A511" s="18">
        <v>689</v>
      </c>
      <c r="B511" s="20">
        <v>22.977707663532506</v>
      </c>
      <c r="C511" s="20">
        <v>16.977707663532506</v>
      </c>
      <c r="D511" s="20">
        <v>859.85006742674989</v>
      </c>
      <c r="E511" s="20">
        <v>294.43999019247269</v>
      </c>
      <c r="F511" s="20">
        <v>1.7131516933441162</v>
      </c>
      <c r="G511" s="20">
        <v>-37.827693939208984</v>
      </c>
      <c r="H511" s="20">
        <v>7.5088292083315888</v>
      </c>
      <c r="I511" s="20">
        <v>0.79789668835472261</v>
      </c>
    </row>
    <row r="512" spans="1:9">
      <c r="A512" s="18">
        <v>690</v>
      </c>
      <c r="B512" s="20">
        <v>23.011057021534729</v>
      </c>
      <c r="C512" s="20">
        <v>17.011057021534729</v>
      </c>
      <c r="D512" s="20">
        <v>856.24030131826737</v>
      </c>
      <c r="E512" s="20">
        <v>293.93835530445699</v>
      </c>
      <c r="F512" s="20">
        <v>1.064961314201355</v>
      </c>
      <c r="G512" s="20">
        <v>-37.734443664550781</v>
      </c>
      <c r="H512" s="20">
        <v>7.419931315403792</v>
      </c>
      <c r="I512" s="20">
        <v>0.8235244760688325</v>
      </c>
    </row>
    <row r="513" spans="1:9">
      <c r="A513" s="18">
        <v>691</v>
      </c>
      <c r="B513" s="20">
        <v>23.044406379536952</v>
      </c>
      <c r="C513" s="20">
        <v>17.044406379536952</v>
      </c>
      <c r="D513" s="20">
        <v>852.67133726647</v>
      </c>
      <c r="E513" s="20">
        <v>293.38384955752213</v>
      </c>
      <c r="F513" s="20">
        <v>0.42417865991592407</v>
      </c>
      <c r="G513" s="20">
        <v>-37.631671905517578</v>
      </c>
      <c r="H513" s="20">
        <v>7.4991573293594787</v>
      </c>
      <c r="I513" s="20">
        <v>0.7895085928336294</v>
      </c>
    </row>
    <row r="514" spans="1:9">
      <c r="A514" s="18">
        <v>692</v>
      </c>
      <c r="B514" s="20">
        <v>23.077755737539178</v>
      </c>
      <c r="C514" s="20">
        <v>17.077755737539178</v>
      </c>
      <c r="D514" s="20">
        <v>838.04214963119068</v>
      </c>
      <c r="E514" s="20">
        <v>295.1685985247629</v>
      </c>
      <c r="F514" s="20">
        <v>-2.2060825824737549</v>
      </c>
      <c r="G514" s="20">
        <v>-37.943805694580078</v>
      </c>
      <c r="H514" s="20">
        <v>7.6835399907243964</v>
      </c>
      <c r="I514" s="20">
        <v>0.75921515817132867</v>
      </c>
    </row>
    <row r="515" spans="1:9">
      <c r="A515" s="18">
        <v>693</v>
      </c>
      <c r="B515" s="20">
        <v>23.111105095541401</v>
      </c>
      <c r="C515" s="20">
        <v>17.111105095541401</v>
      </c>
      <c r="D515" s="20">
        <v>829.81868743047835</v>
      </c>
      <c r="E515" s="20">
        <v>296.1745148930911</v>
      </c>
      <c r="F515" s="20">
        <v>-3.684572696685791</v>
      </c>
      <c r="G515" s="20">
        <v>-38.119735717773438</v>
      </c>
      <c r="H515" s="20">
        <v>7.4783897532661019</v>
      </c>
      <c r="I515" s="20">
        <v>0.74308208019237409</v>
      </c>
    </row>
    <row r="516" spans="1:9">
      <c r="A516" s="18">
        <v>694</v>
      </c>
      <c r="B516" s="20">
        <v>23.144454453543627</v>
      </c>
      <c r="C516" s="20">
        <v>17.144454453543627</v>
      </c>
      <c r="D516" s="20">
        <v>826.20353443022543</v>
      </c>
      <c r="E516" s="20">
        <v>295.7650213284582</v>
      </c>
      <c r="F516" s="20">
        <v>-4.3336710929870605</v>
      </c>
      <c r="G516" s="20">
        <v>-38.043136596679688</v>
      </c>
      <c r="H516" s="20">
        <v>7.5308897162645749</v>
      </c>
      <c r="I516" s="20">
        <v>0.75698821523667204</v>
      </c>
    </row>
    <row r="517" spans="1:9">
      <c r="A517" s="18">
        <v>695</v>
      </c>
      <c r="B517" s="20">
        <v>23.17780381154585</v>
      </c>
      <c r="C517" s="20">
        <v>17.17780381154585</v>
      </c>
      <c r="D517" s="20">
        <v>822.33260153677281</v>
      </c>
      <c r="E517" s="20">
        <v>295.389925600683</v>
      </c>
      <c r="F517" s="20">
        <v>-5.0287508964538574</v>
      </c>
      <c r="G517" s="20">
        <v>-37.972579956054688</v>
      </c>
      <c r="H517" s="20">
        <v>7.528135688117529</v>
      </c>
      <c r="I517" s="20">
        <v>0.76482201283747464</v>
      </c>
    </row>
    <row r="518" spans="1:9">
      <c r="A518" s="18">
        <v>696</v>
      </c>
      <c r="B518" s="20">
        <v>23.211153169548073</v>
      </c>
      <c r="C518" s="20">
        <v>17.211153169548073</v>
      </c>
      <c r="D518" s="20">
        <v>817.08807295416364</v>
      </c>
      <c r="E518" s="20">
        <v>294.96604271658265</v>
      </c>
      <c r="F518" s="20">
        <v>-5.9705147743225098</v>
      </c>
      <c r="G518" s="20">
        <v>-37.892223358154297</v>
      </c>
      <c r="H518" s="20">
        <v>7.5898596156253433</v>
      </c>
      <c r="I518" s="20">
        <v>0.77490345917333547</v>
      </c>
    </row>
    <row r="519" spans="1:9">
      <c r="A519" s="18">
        <v>697</v>
      </c>
      <c r="B519" s="20">
        <v>23.244502527550299</v>
      </c>
      <c r="C519" s="20">
        <v>17.244502527550299</v>
      </c>
      <c r="D519" s="20">
        <v>812.59165131982797</v>
      </c>
      <c r="E519" s="20">
        <v>294.99238796807856</v>
      </c>
      <c r="F519" s="20">
        <v>-6.7783036231994629</v>
      </c>
      <c r="G519" s="20">
        <v>-37.893775939941406</v>
      </c>
      <c r="H519" s="20">
        <v>7.5033039469444454</v>
      </c>
      <c r="I519" s="20">
        <v>0.74804147116140007</v>
      </c>
    </row>
    <row r="520" spans="1:9">
      <c r="A520" s="18">
        <v>698</v>
      </c>
      <c r="B520" s="20">
        <v>23.277851885552522</v>
      </c>
      <c r="C520" s="20">
        <v>17.277851885552522</v>
      </c>
      <c r="D520" s="20">
        <v>806.87037037037032</v>
      </c>
      <c r="E520" s="20">
        <v>294.6468167513919</v>
      </c>
      <c r="F520" s="20">
        <v>-7.8057317733764648</v>
      </c>
      <c r="G520" s="20">
        <v>-37.827236175537109</v>
      </c>
      <c r="H520" s="20">
        <v>7.5570029262222453</v>
      </c>
      <c r="I520" s="20">
        <v>0.74477207416820979</v>
      </c>
    </row>
    <row r="521" spans="1:9">
      <c r="A521" s="18">
        <v>699</v>
      </c>
      <c r="B521" s="20">
        <v>23.311201243554748</v>
      </c>
      <c r="C521" s="20">
        <v>17.311201243554748</v>
      </c>
      <c r="D521" s="20">
        <v>802.25724770642205</v>
      </c>
      <c r="E521" s="20">
        <v>294.9919266055046</v>
      </c>
      <c r="F521" s="20">
        <v>-8.6347579956054688</v>
      </c>
      <c r="G521" s="20">
        <v>-37.886306762695313</v>
      </c>
      <c r="H521" s="20">
        <v>7.517109485659085</v>
      </c>
      <c r="I521" s="20">
        <v>0.76608801248807423</v>
      </c>
    </row>
    <row r="522" spans="1:9">
      <c r="A522" s="18">
        <v>700</v>
      </c>
      <c r="B522" s="20">
        <v>23.344550601556971</v>
      </c>
      <c r="C522" s="20">
        <v>17.344550601556971</v>
      </c>
      <c r="D522" s="20">
        <v>795.53546490260931</v>
      </c>
      <c r="E522" s="20">
        <v>294.95675609457305</v>
      </c>
      <c r="F522" s="20">
        <v>-9.8421487808227539</v>
      </c>
      <c r="G522" s="20">
        <v>-37.875152587890625</v>
      </c>
      <c r="H522" s="20">
        <v>7.5115903149549048</v>
      </c>
      <c r="I522" s="20">
        <v>0.75311332126471109</v>
      </c>
    </row>
    <row r="523" spans="1:9">
      <c r="A523" s="18">
        <v>701</v>
      </c>
      <c r="B523" s="20">
        <v>23.377899959559194</v>
      </c>
      <c r="C523" s="20">
        <v>17.377899959559194</v>
      </c>
      <c r="D523" s="20">
        <v>789.14996315401618</v>
      </c>
      <c r="E523" s="20">
        <v>295.36649471874233</v>
      </c>
      <c r="F523" s="20">
        <v>-10.98954963684082</v>
      </c>
      <c r="G523" s="20">
        <v>-37.944633483886719</v>
      </c>
      <c r="H523" s="20">
        <v>7.501921995749937</v>
      </c>
      <c r="I523" s="20">
        <v>0.77404706405368529</v>
      </c>
    </row>
    <row r="524" spans="1:9">
      <c r="A524" s="18">
        <v>702</v>
      </c>
      <c r="B524" s="20">
        <v>23.41124931756142</v>
      </c>
      <c r="C524" s="20">
        <v>17.41124931756142</v>
      </c>
      <c r="D524" s="20">
        <v>782.81716954022988</v>
      </c>
      <c r="E524" s="20">
        <v>295.95857279693485</v>
      </c>
      <c r="F524" s="20">
        <v>-12.127636909484863</v>
      </c>
      <c r="G524" s="20">
        <v>-38.047107696533203</v>
      </c>
      <c r="H524" s="20">
        <v>7.598051587373746</v>
      </c>
      <c r="I524" s="20">
        <v>0.78884473212498352</v>
      </c>
    </row>
    <row r="525" spans="1:9">
      <c r="A525" s="18">
        <v>703</v>
      </c>
      <c r="B525" s="20">
        <v>23.444598675563643</v>
      </c>
      <c r="C525" s="20">
        <v>17.444598675563643</v>
      </c>
      <c r="D525" s="20">
        <v>779.19434284320891</v>
      </c>
      <c r="E525" s="20">
        <v>296.40185320653495</v>
      </c>
      <c r="F525" s="20">
        <v>-12.778813362121582</v>
      </c>
      <c r="G525" s="20">
        <v>-38.124622344970703</v>
      </c>
      <c r="H525" s="20">
        <v>7.5295128281067525</v>
      </c>
      <c r="I525" s="20">
        <v>0.7833691132873043</v>
      </c>
    </row>
    <row r="526" spans="1:9">
      <c r="A526" s="18">
        <v>704</v>
      </c>
      <c r="B526" s="20">
        <v>23.47794803356587</v>
      </c>
      <c r="C526" s="20">
        <v>17.47794803356587</v>
      </c>
      <c r="D526" s="20">
        <v>779.15117994100297</v>
      </c>
      <c r="E526" s="20">
        <v>296.28281710914456</v>
      </c>
      <c r="F526" s="20">
        <v>-12.786437034606934</v>
      </c>
      <c r="G526" s="20">
        <v>-38.103076934814453</v>
      </c>
      <c r="H526" s="20">
        <v>7.4991573293594787</v>
      </c>
      <c r="I526" s="20">
        <v>0.81530847015505348</v>
      </c>
    </row>
    <row r="527" spans="1:9">
      <c r="A527" s="18">
        <v>705</v>
      </c>
      <c r="B527" s="20">
        <v>23.511297391568093</v>
      </c>
      <c r="C527" s="20">
        <v>17.511297391568093</v>
      </c>
      <c r="D527" s="20">
        <v>772.38466557911909</v>
      </c>
      <c r="E527" s="20">
        <v>299.33485589994558</v>
      </c>
      <c r="F527" s="20">
        <v>-14.005036354064941</v>
      </c>
      <c r="G527" s="20">
        <v>-38.6497802734375</v>
      </c>
      <c r="H527" s="20">
        <v>7.9722858447632152</v>
      </c>
      <c r="I527" s="20">
        <v>0.81583805797417486</v>
      </c>
    </row>
    <row r="528" spans="1:9">
      <c r="A528" s="18">
        <v>706</v>
      </c>
      <c r="B528" s="20">
        <v>23.544646749570315</v>
      </c>
      <c r="C528" s="20">
        <v>17.544646749570315</v>
      </c>
      <c r="D528" s="20">
        <v>761.70366598778003</v>
      </c>
      <c r="E528" s="20">
        <v>306.22120389228331</v>
      </c>
      <c r="F528" s="20">
        <v>-15.930905342102051</v>
      </c>
      <c r="G528" s="20">
        <v>-39.886642456054688</v>
      </c>
      <c r="H528" s="20">
        <v>7.815989975088427</v>
      </c>
      <c r="I528" s="20">
        <v>0.83860778993139262</v>
      </c>
    </row>
    <row r="529" spans="1:9">
      <c r="A529" s="18">
        <v>707</v>
      </c>
      <c r="B529" s="20">
        <v>23.577996107572542</v>
      </c>
      <c r="C529" s="20">
        <v>17.577996107572542</v>
      </c>
      <c r="D529" s="20">
        <v>770.2703392922291</v>
      </c>
      <c r="E529" s="20">
        <v>307.94697798856862</v>
      </c>
      <c r="F529" s="20">
        <v>-14.394110679626465</v>
      </c>
      <c r="G529" s="20">
        <v>-40.204738616943359</v>
      </c>
      <c r="H529" s="20">
        <v>7.5391457644770172</v>
      </c>
      <c r="I529" s="20">
        <v>0.7916254343356065</v>
      </c>
    </row>
    <row r="530" spans="1:9">
      <c r="A530" s="18">
        <v>708</v>
      </c>
      <c r="B530" s="20">
        <v>23.611345465574765</v>
      </c>
      <c r="C530" s="20">
        <v>17.611345465574765</v>
      </c>
      <c r="D530" s="20">
        <v>762.65164319248822</v>
      </c>
      <c r="E530" s="20">
        <v>315.81032863849765</v>
      </c>
      <c r="F530" s="20">
        <v>-15.771157264709473</v>
      </c>
      <c r="G530" s="20">
        <v>-41.620578765869141</v>
      </c>
      <c r="H530" s="20">
        <v>7.6740883080437285</v>
      </c>
      <c r="I530" s="20">
        <v>0.81218127218585134</v>
      </c>
    </row>
    <row r="531" spans="1:9">
      <c r="A531" s="18">
        <v>709</v>
      </c>
      <c r="B531" s="20">
        <v>23.644694823576991</v>
      </c>
      <c r="C531" s="20">
        <v>17.644694823576991</v>
      </c>
      <c r="D531" s="20">
        <v>772.03772241992885</v>
      </c>
      <c r="E531" s="20">
        <v>316.83001186239619</v>
      </c>
      <c r="F531" s="20">
        <v>-14.08625316619873</v>
      </c>
      <c r="G531" s="20">
        <v>-41.811729431152344</v>
      </c>
      <c r="H531" s="20">
        <v>7.6334485432334152</v>
      </c>
      <c r="I531" s="20">
        <v>0.81266037701533034</v>
      </c>
    </row>
    <row r="532" spans="1:9">
      <c r="A532" s="18">
        <v>710</v>
      </c>
      <c r="B532" s="20">
        <v>23.678044181579214</v>
      </c>
      <c r="C532" s="20">
        <v>17.678044181579214</v>
      </c>
      <c r="D532" s="20">
        <v>773.61158192090397</v>
      </c>
      <c r="E532" s="20">
        <v>320.4657485875706</v>
      </c>
      <c r="F532" s="20">
        <v>-13.807451248168945</v>
      </c>
      <c r="G532" s="20">
        <v>-42.470157623291016</v>
      </c>
      <c r="H532" s="20">
        <v>7.6632721105498076</v>
      </c>
      <c r="I532" s="20">
        <v>0.81522268436441914</v>
      </c>
    </row>
    <row r="533" spans="1:9">
      <c r="A533" s="18">
        <v>711</v>
      </c>
      <c r="B533" s="20">
        <v>23.711393539581437</v>
      </c>
      <c r="C533" s="20">
        <v>17.711393539581437</v>
      </c>
      <c r="D533" s="20">
        <v>775.95238095238085</v>
      </c>
      <c r="E533" s="20">
        <v>322.70471404642257</v>
      </c>
      <c r="F533" s="20">
        <v>-13.389338493347168</v>
      </c>
      <c r="G533" s="20">
        <v>-42.876655578613281</v>
      </c>
      <c r="H533" s="20">
        <v>7.6007802825909545</v>
      </c>
      <c r="I533" s="20">
        <v>0.83359318680866146</v>
      </c>
    </row>
    <row r="534" spans="1:9">
      <c r="A534" s="18">
        <v>712</v>
      </c>
      <c r="B534" s="20">
        <v>23.744742897583663</v>
      </c>
      <c r="C534" s="20">
        <v>17.744742897583663</v>
      </c>
      <c r="D534" s="20">
        <v>781.26995050102607</v>
      </c>
      <c r="E534" s="20">
        <v>323.34576844138599</v>
      </c>
      <c r="F534" s="20">
        <v>-12.434701919555664</v>
      </c>
      <c r="G534" s="20">
        <v>-42.996444702148438</v>
      </c>
      <c r="H534" s="20">
        <v>7.5666008654044363</v>
      </c>
      <c r="I534" s="20">
        <v>0.78488343137051453</v>
      </c>
    </row>
    <row r="535" spans="1:9">
      <c r="A535" s="18">
        <v>713</v>
      </c>
      <c r="B535" s="20">
        <v>23.778092255585886</v>
      </c>
      <c r="C535" s="20">
        <v>17.778092255585886</v>
      </c>
      <c r="D535" s="20">
        <v>786.05663847002575</v>
      </c>
      <c r="E535" s="20">
        <v>324.21907564055414</v>
      </c>
      <c r="F535" s="20">
        <v>-11.575648307800293</v>
      </c>
      <c r="G535" s="20">
        <v>-43.157844543457031</v>
      </c>
      <c r="H535" s="20">
        <v>7.5088292083315888</v>
      </c>
      <c r="I535" s="20">
        <v>0.7941675503772343</v>
      </c>
    </row>
    <row r="536" spans="1:9">
      <c r="A536" s="18">
        <v>714</v>
      </c>
      <c r="B536" s="20">
        <v>23.811441613588112</v>
      </c>
      <c r="C536" s="20">
        <v>17.811441613588112</v>
      </c>
      <c r="D536" s="20">
        <v>791.4781372200498</v>
      </c>
      <c r="E536" s="20">
        <v>324.19409882687523</v>
      </c>
      <c r="F536" s="20">
        <v>-10.601553916931152</v>
      </c>
      <c r="G536" s="20">
        <v>-43.15728759765625</v>
      </c>
      <c r="H536" s="20">
        <v>7.6375222508309886</v>
      </c>
      <c r="I536" s="20">
        <v>0.82548120460209473</v>
      </c>
    </row>
    <row r="537" spans="1:9">
      <c r="A537" s="18">
        <v>715</v>
      </c>
      <c r="B537" s="20">
        <v>23.844790971590335</v>
      </c>
      <c r="C537" s="20">
        <v>17.844790971590335</v>
      </c>
      <c r="D537" s="20">
        <v>795.31536486982031</v>
      </c>
      <c r="E537" s="20">
        <v>324.49578291162447</v>
      </c>
      <c r="F537" s="20">
        <v>-9.9124240875244141</v>
      </c>
      <c r="G537" s="20">
        <v>-43.214645385742188</v>
      </c>
      <c r="H537" s="20">
        <v>7.51986755197301</v>
      </c>
      <c r="I537" s="20">
        <v>0.78393031378340094</v>
      </c>
    </row>
    <row r="538" spans="1:9">
      <c r="A538" s="18">
        <v>716</v>
      </c>
      <c r="B538" s="20">
        <v>23.878140329592558</v>
      </c>
      <c r="C538" s="20">
        <v>17.878140329592558</v>
      </c>
      <c r="D538" s="20">
        <v>800.51686761661176</v>
      </c>
      <c r="E538" s="20">
        <v>325.15308732188527</v>
      </c>
      <c r="F538" s="20">
        <v>-8.978510856628418</v>
      </c>
      <c r="G538" s="20">
        <v>-43.337299346923828</v>
      </c>
      <c r="H538" s="20">
        <v>7.5336427376382975</v>
      </c>
      <c r="I538" s="20">
        <v>0.78680501240380207</v>
      </c>
    </row>
    <row r="539" spans="1:9">
      <c r="A539" s="18">
        <v>717</v>
      </c>
      <c r="B539" s="20">
        <v>23.911489687594784</v>
      </c>
      <c r="C539" s="20">
        <v>17.911489687594784</v>
      </c>
      <c r="D539" s="20">
        <v>807.61768707482986</v>
      </c>
      <c r="E539" s="20">
        <v>325.22300556586271</v>
      </c>
      <c r="F539" s="20">
        <v>-7.7026605606079102</v>
      </c>
      <c r="G539" s="20">
        <v>-43.355136871337891</v>
      </c>
      <c r="H539" s="20">
        <v>7.4756163840799568</v>
      </c>
      <c r="I539" s="20">
        <v>0.7961256856194967</v>
      </c>
    </row>
    <row r="540" spans="1:9">
      <c r="A540" s="18">
        <v>718</v>
      </c>
      <c r="B540" s="20">
        <v>23.944839045597007</v>
      </c>
      <c r="C540" s="20">
        <v>17.944839045597007</v>
      </c>
      <c r="D540" s="20">
        <v>813.23922734026746</v>
      </c>
      <c r="E540" s="20">
        <v>324.83184744923227</v>
      </c>
      <c r="F540" s="20">
        <v>-6.692103385925293</v>
      </c>
      <c r="G540" s="20">
        <v>-43.288516998291016</v>
      </c>
      <c r="H540" s="20">
        <v>7.4714544000601757</v>
      </c>
      <c r="I540" s="20">
        <v>0.75927328165308461</v>
      </c>
    </row>
    <row r="541" spans="1:9">
      <c r="A541" s="18">
        <v>719</v>
      </c>
      <c r="B541" s="20">
        <v>23.978188403599233</v>
      </c>
      <c r="C541" s="20">
        <v>17.978188403599233</v>
      </c>
      <c r="D541" s="20">
        <v>819.80809901465989</v>
      </c>
      <c r="E541" s="20">
        <v>324.12208603701032</v>
      </c>
      <c r="F541" s="20">
        <v>-5.5109748840332031</v>
      </c>
      <c r="G541" s="20">
        <v>-43.16497802734375</v>
      </c>
      <c r="H541" s="20">
        <v>7.5843933854487648</v>
      </c>
      <c r="I541" s="20">
        <v>0.78601123937437589</v>
      </c>
    </row>
    <row r="542" spans="1:9">
      <c r="A542" s="18">
        <v>720</v>
      </c>
      <c r="B542" s="20">
        <v>24.011537761601456</v>
      </c>
      <c r="C542" s="20">
        <v>18.011537761601456</v>
      </c>
      <c r="D542" s="20">
        <v>824.51555555555547</v>
      </c>
      <c r="E542" s="20">
        <v>324.17525525525525</v>
      </c>
      <c r="F542" s="20">
        <v>-4.6650748252868652</v>
      </c>
      <c r="G542" s="20">
        <v>-43.178031921386719</v>
      </c>
      <c r="H542" s="20">
        <v>7.5857603122662898</v>
      </c>
      <c r="I542" s="20">
        <v>0.79772886844780244</v>
      </c>
    </row>
    <row r="543" spans="1:9">
      <c r="A543" s="18">
        <v>721</v>
      </c>
      <c r="B543" s="20">
        <v>24.044887119603679</v>
      </c>
      <c r="C543" s="20">
        <v>18.044887119603679</v>
      </c>
      <c r="D543" s="20">
        <v>833.08792162698398</v>
      </c>
      <c r="E543" s="20">
        <v>324.68824404761904</v>
      </c>
      <c r="F543" s="20">
        <v>-3.125011682510376</v>
      </c>
      <c r="G543" s="20">
        <v>-43.277065277099609</v>
      </c>
      <c r="H543" s="20">
        <v>7.4659014788916878</v>
      </c>
      <c r="I543" s="20">
        <v>0.74298807618749918</v>
      </c>
    </row>
    <row r="544" spans="1:9">
      <c r="A544" s="18">
        <v>722</v>
      </c>
      <c r="B544" s="20">
        <v>24.078236477605905</v>
      </c>
      <c r="C544" s="20">
        <v>18.078236477605905</v>
      </c>
      <c r="D544" s="20">
        <v>839.16642264519271</v>
      </c>
      <c r="E544" s="20">
        <v>324.45278184480236</v>
      </c>
      <c r="F544" s="20">
        <v>-2.0323491096496582</v>
      </c>
      <c r="G544" s="20">
        <v>-43.238933563232422</v>
      </c>
      <c r="H544" s="20">
        <v>7.5267582961586736</v>
      </c>
      <c r="I544" s="20">
        <v>0.79162854711206954</v>
      </c>
    </row>
    <row r="545" spans="1:9">
      <c r="A545" s="18">
        <v>723</v>
      </c>
      <c r="B545" s="20">
        <v>24.111585835608128</v>
      </c>
      <c r="C545" s="20">
        <v>18.111585835608128</v>
      </c>
      <c r="D545" s="20">
        <v>845.46022520886311</v>
      </c>
      <c r="E545" s="20">
        <v>324.35197965855428</v>
      </c>
      <c r="F545" s="20">
        <v>-0.90108788013458252</v>
      </c>
      <c r="G545" s="20">
        <v>-43.225307464599609</v>
      </c>
      <c r="H545" s="20">
        <v>7.5556307967645031</v>
      </c>
      <c r="I545" s="20">
        <v>0.75851129654045457</v>
      </c>
    </row>
    <row r="546" spans="1:9">
      <c r="A546" s="18">
        <v>724</v>
      </c>
      <c r="B546" s="20">
        <v>24.144935193610355</v>
      </c>
      <c r="C546" s="20">
        <v>18.144935193610355</v>
      </c>
      <c r="D546" s="20">
        <v>853.61975757575749</v>
      </c>
      <c r="E546" s="20">
        <v>324.01284848484846</v>
      </c>
      <c r="F546" s="20">
        <v>0.56579446792602539</v>
      </c>
      <c r="G546" s="20">
        <v>-43.169940948486328</v>
      </c>
      <c r="H546" s="20">
        <v>7.5515129124745641</v>
      </c>
      <c r="I546" s="20">
        <v>0.77563206582861211</v>
      </c>
    </row>
    <row r="547" spans="1:9">
      <c r="A547" s="18">
        <v>725</v>
      </c>
      <c r="B547" s="20">
        <v>24.178284551612578</v>
      </c>
      <c r="C547" s="20">
        <v>18.178284551612578</v>
      </c>
      <c r="D547" s="20">
        <v>859.72723921857721</v>
      </c>
      <c r="E547" s="20">
        <v>323.36945570708929</v>
      </c>
      <c r="F547" s="20">
        <v>1.6641722917556763</v>
      </c>
      <c r="G547" s="20">
        <v>-43.05804443359375</v>
      </c>
      <c r="H547" s="20">
        <v>7.5005397899352122</v>
      </c>
      <c r="I547" s="20">
        <v>0.78872017927353999</v>
      </c>
    </row>
    <row r="548" spans="1:9">
      <c r="A548" s="18">
        <v>726</v>
      </c>
      <c r="B548" s="20">
        <v>24.2116339096148</v>
      </c>
      <c r="C548" s="20">
        <v>18.2116339096148</v>
      </c>
      <c r="D548" s="20">
        <v>865.83758813518102</v>
      </c>
      <c r="E548" s="20">
        <v>323.48662776562117</v>
      </c>
      <c r="F548" s="20">
        <v>2.7623946666717529</v>
      </c>
      <c r="G548" s="20">
        <v>-43.083702087402344</v>
      </c>
      <c r="H548" s="20">
        <v>7.5405208936748602</v>
      </c>
      <c r="I548" s="20">
        <v>0.74152687994525457</v>
      </c>
    </row>
    <row r="549" spans="1:9">
      <c r="A549" s="18">
        <v>727</v>
      </c>
      <c r="B549" s="20">
        <v>24.244983267617027</v>
      </c>
      <c r="C549" s="20">
        <v>18.244983267617027</v>
      </c>
      <c r="D549" s="20">
        <v>872.21531333821008</v>
      </c>
      <c r="E549" s="20">
        <v>323.32418922214089</v>
      </c>
      <c r="F549" s="20">
        <v>3.9089822769165039</v>
      </c>
      <c r="G549" s="20">
        <v>-43.058986663818359</v>
      </c>
      <c r="H549" s="20">
        <v>7.5295128281067525</v>
      </c>
      <c r="I549" s="20">
        <v>0.75086153654954335</v>
      </c>
    </row>
    <row r="550" spans="1:9">
      <c r="A550" s="18">
        <v>728</v>
      </c>
      <c r="B550" s="20">
        <v>24.27833262561925</v>
      </c>
      <c r="C550" s="20">
        <v>18.27833262561925</v>
      </c>
      <c r="D550" s="20">
        <v>878.08550458715592</v>
      </c>
      <c r="E550" s="20">
        <v>322.98788990825688</v>
      </c>
      <c r="F550" s="20">
        <v>4.9645247459411621</v>
      </c>
      <c r="G550" s="20">
        <v>-43.002452850341797</v>
      </c>
      <c r="H550" s="20">
        <v>7.517109485659085</v>
      </c>
      <c r="I550" s="20">
        <v>0.75079668836641433</v>
      </c>
    </row>
    <row r="551" spans="1:9">
      <c r="A551" s="18">
        <v>729</v>
      </c>
      <c r="B551" s="20">
        <v>24.311681983621476</v>
      </c>
      <c r="C551" s="20">
        <v>18.311681983621476</v>
      </c>
      <c r="D551" s="20">
        <v>883.43501010821728</v>
      </c>
      <c r="E551" s="20">
        <v>323.51159471994293</v>
      </c>
      <c r="F551" s="20">
        <v>5.9257287979125977</v>
      </c>
      <c r="G551" s="20">
        <v>-43.101081848144531</v>
      </c>
      <c r="H551" s="20">
        <v>7.6239347605278427</v>
      </c>
      <c r="I551" s="20">
        <v>0.77580912881476849</v>
      </c>
    </row>
    <row r="552" spans="1:9">
      <c r="A552" s="18">
        <v>730</v>
      </c>
      <c r="B552" s="20">
        <v>24.345031341623699</v>
      </c>
      <c r="C552" s="20">
        <v>18.345031341623699</v>
      </c>
      <c r="D552" s="20">
        <v>888.97658051207372</v>
      </c>
      <c r="E552" s="20">
        <v>323.97245479917484</v>
      </c>
      <c r="F552" s="20">
        <v>6.9215617179870605</v>
      </c>
      <c r="G552" s="20">
        <v>-43.188484191894531</v>
      </c>
      <c r="H552" s="20">
        <v>7.5473927814526762</v>
      </c>
      <c r="I552" s="20">
        <v>0.78090358057761811</v>
      </c>
    </row>
    <row r="553" spans="1:9">
      <c r="A553" s="18">
        <v>731</v>
      </c>
      <c r="B553" s="20">
        <v>24.378380699625922</v>
      </c>
      <c r="C553" s="20">
        <v>18.378380699625922</v>
      </c>
      <c r="D553" s="20">
        <v>892.52558885189285</v>
      </c>
      <c r="E553" s="20">
        <v>323.28079911209767</v>
      </c>
      <c r="F553" s="20">
        <v>7.5602126121520996</v>
      </c>
      <c r="G553" s="20">
        <v>-43.06597900390625</v>
      </c>
      <c r="H553" s="20">
        <v>7.4867036966376359</v>
      </c>
      <c r="I553" s="20">
        <v>0.8114741240347606</v>
      </c>
    </row>
    <row r="554" spans="1:9">
      <c r="A554" s="18">
        <v>732</v>
      </c>
      <c r="B554" s="20">
        <v>24.411730057628148</v>
      </c>
      <c r="C554" s="20">
        <v>18.411730057628148</v>
      </c>
      <c r="D554" s="20">
        <v>899.12866546977841</v>
      </c>
      <c r="E554" s="20">
        <v>322.67971274685817</v>
      </c>
      <c r="F554" s="20">
        <v>8.7478742599487305</v>
      </c>
      <c r="G554" s="20">
        <v>-42.962089538574219</v>
      </c>
      <c r="H554" s="20">
        <v>7.5994160574552083</v>
      </c>
      <c r="I554" s="20">
        <v>0.8043330310792991</v>
      </c>
    </row>
    <row r="555" spans="1:9">
      <c r="A555" s="18">
        <v>733</v>
      </c>
      <c r="B555" s="20">
        <v>24.445079415630371</v>
      </c>
      <c r="C555" s="20">
        <v>18.445079415630371</v>
      </c>
      <c r="D555" s="20">
        <v>903.43106843919236</v>
      </c>
      <c r="E555" s="20">
        <v>323.85487444608566</v>
      </c>
      <c r="F555" s="20">
        <v>9.5204076766967773</v>
      </c>
      <c r="G555" s="20">
        <v>-43.177791595458984</v>
      </c>
      <c r="H555" s="20">
        <v>7.493624936626099</v>
      </c>
      <c r="I555" s="20">
        <v>0.79357818680771119</v>
      </c>
    </row>
    <row r="556" spans="1:9">
      <c r="A556" s="18">
        <v>734</v>
      </c>
      <c r="B556" s="20">
        <v>24.478428773632597</v>
      </c>
      <c r="C556" s="20">
        <v>18.478428773632597</v>
      </c>
      <c r="D556" s="20">
        <v>910.30056619684365</v>
      </c>
      <c r="E556" s="20">
        <v>323.85977593061079</v>
      </c>
      <c r="F556" s="20">
        <v>10.755525588989258</v>
      </c>
      <c r="G556" s="20">
        <v>-43.183696746826172</v>
      </c>
      <c r="H556" s="20">
        <v>7.5748179909375635</v>
      </c>
      <c r="I556" s="20">
        <v>0.76236860183110489</v>
      </c>
    </row>
    <row r="557" spans="1:9">
      <c r="A557" s="18">
        <v>735</v>
      </c>
      <c r="B557" s="20">
        <v>24.51177813163482</v>
      </c>
      <c r="C557" s="20">
        <v>18.51177813163482</v>
      </c>
      <c r="D557" s="20">
        <v>915.70575825266815</v>
      </c>
      <c r="E557" s="20">
        <v>323.47505584512288</v>
      </c>
      <c r="F557" s="20">
        <v>11.727738380432129</v>
      </c>
      <c r="G557" s="20">
        <v>-43.118064880371094</v>
      </c>
      <c r="H557" s="20">
        <v>7.4631234689429027</v>
      </c>
      <c r="I557" s="20">
        <v>0.7541095199430532</v>
      </c>
    </row>
    <row r="558" spans="1:9">
      <c r="A558" s="18">
        <v>736</v>
      </c>
      <c r="B558" s="20">
        <v>24.545127489637043</v>
      </c>
      <c r="C558" s="20">
        <v>18.545127489637043</v>
      </c>
      <c r="D558" s="20">
        <v>919.57304045132628</v>
      </c>
      <c r="E558" s="20">
        <v>322.82487096386984</v>
      </c>
      <c r="F558" s="20">
        <v>12.423660278320313</v>
      </c>
      <c r="G558" s="20">
        <v>-43.003280639648438</v>
      </c>
      <c r="H558" s="20">
        <v>7.5884934272215778</v>
      </c>
      <c r="I558" s="20">
        <v>0.7567977166886064</v>
      </c>
    </row>
    <row r="559" spans="1:9">
      <c r="A559" s="18">
        <v>737</v>
      </c>
      <c r="B559" s="20">
        <v>24.578476847639269</v>
      </c>
      <c r="C559" s="20">
        <v>18.578476847639269</v>
      </c>
      <c r="D559" s="20">
        <v>925.98807372605711</v>
      </c>
      <c r="E559" s="20">
        <v>323.56679918082153</v>
      </c>
      <c r="F559" s="20">
        <v>13.576578140258789</v>
      </c>
      <c r="G559" s="20">
        <v>-43.142173767089844</v>
      </c>
      <c r="H559" s="20">
        <v>7.5748179909375635</v>
      </c>
      <c r="I559" s="20">
        <v>0.76584511453213877</v>
      </c>
    </row>
    <row r="560" spans="1:9">
      <c r="A560" s="18">
        <v>738</v>
      </c>
      <c r="B560" s="20">
        <v>24.611826205641492</v>
      </c>
      <c r="C560" s="20">
        <v>18.611826205641492</v>
      </c>
      <c r="D560" s="20">
        <v>931.85473505517155</v>
      </c>
      <c r="E560" s="20">
        <v>323.56893415787562</v>
      </c>
      <c r="F560" s="20">
        <v>14.631537437438965</v>
      </c>
      <c r="G560" s="20">
        <v>-43.1468505859375</v>
      </c>
      <c r="H560" s="20">
        <v>7.5501397852857473</v>
      </c>
      <c r="I560" s="20">
        <v>0.80670025739647488</v>
      </c>
    </row>
    <row r="561" spans="1:9">
      <c r="A561" s="18">
        <v>739</v>
      </c>
      <c r="B561" s="20">
        <v>24.645175563643718</v>
      </c>
      <c r="C561" s="20">
        <v>18.645175563643718</v>
      </c>
      <c r="D561" s="20">
        <v>939.08060453400503</v>
      </c>
      <c r="E561" s="20">
        <v>322.73347727000117</v>
      </c>
      <c r="F561" s="20">
        <v>15.931639671325684</v>
      </c>
      <c r="G561" s="20">
        <v>-43.001007080078125</v>
      </c>
      <c r="H561" s="20">
        <v>7.5912255581569861</v>
      </c>
      <c r="I561" s="20">
        <v>0.82481681930789708</v>
      </c>
    </row>
    <row r="562" spans="1:9">
      <c r="A562" s="18">
        <v>740</v>
      </c>
      <c r="B562" s="20">
        <v>24.678524921645941</v>
      </c>
      <c r="C562" s="20">
        <v>18.678524921645941</v>
      </c>
      <c r="D562" s="20">
        <v>944.81659441233126</v>
      </c>
      <c r="E562" s="20">
        <v>322.83092485549133</v>
      </c>
      <c r="F562" s="20">
        <v>16.963100433349609</v>
      </c>
      <c r="G562" s="20">
        <v>-43.0228271484375</v>
      </c>
      <c r="H562" s="20">
        <v>7.5761866453874251</v>
      </c>
      <c r="I562" s="20">
        <v>0.77211402742153268</v>
      </c>
    </row>
    <row r="563" spans="1:9">
      <c r="A563" s="18">
        <v>741</v>
      </c>
      <c r="B563" s="20">
        <v>24.711874279648164</v>
      </c>
      <c r="C563" s="20">
        <v>18.711874279648164</v>
      </c>
      <c r="D563" s="20">
        <v>951.11901288597119</v>
      </c>
      <c r="E563" s="20">
        <v>323.66119620714807</v>
      </c>
      <c r="F563" s="20">
        <v>18.095912933349609</v>
      </c>
      <c r="G563" s="20">
        <v>-43.177627563476563</v>
      </c>
      <c r="H563" s="20">
        <v>7.5405208936748602</v>
      </c>
      <c r="I563" s="20">
        <v>0.76983183431843394</v>
      </c>
    </row>
    <row r="564" spans="1:9">
      <c r="A564" s="18">
        <v>742</v>
      </c>
      <c r="B564" s="20">
        <v>24.74522363765039</v>
      </c>
      <c r="C564" s="20">
        <v>18.74522363765039</v>
      </c>
      <c r="D564" s="20">
        <v>956.05435591958303</v>
      </c>
      <c r="E564" s="20">
        <v>323.95147679324896</v>
      </c>
      <c r="F564" s="20">
        <v>18.98332405090332</v>
      </c>
      <c r="G564" s="20">
        <v>-43.233749389648438</v>
      </c>
      <c r="H564" s="20">
        <v>7.4631234689429027</v>
      </c>
      <c r="I564" s="20">
        <v>0.76253146024415075</v>
      </c>
    </row>
    <row r="565" spans="1:9">
      <c r="A565" s="18">
        <v>743</v>
      </c>
      <c r="B565" s="20">
        <v>24.778572995652613</v>
      </c>
      <c r="C565" s="20">
        <v>18.778572995652613</v>
      </c>
      <c r="D565" s="20">
        <v>959.27662120124421</v>
      </c>
      <c r="E565" s="20">
        <v>323.83776022972</v>
      </c>
      <c r="F565" s="20">
        <v>19.562948226928711</v>
      </c>
      <c r="G565" s="20">
        <v>-43.215538024902344</v>
      </c>
      <c r="H565" s="20">
        <v>7.6007802825909545</v>
      </c>
      <c r="I565" s="20">
        <v>0.7616828143191281</v>
      </c>
    </row>
    <row r="566" spans="1:9">
      <c r="A566" s="18">
        <v>744</v>
      </c>
      <c r="B566" s="20">
        <v>24.81192235365484</v>
      </c>
      <c r="C566" s="20">
        <v>18.81192235365484</v>
      </c>
      <c r="D566" s="20">
        <v>961.97489741733034</v>
      </c>
      <c r="E566" s="20">
        <v>323.894641564084</v>
      </c>
      <c r="F566" s="20">
        <v>20.048221588134766</v>
      </c>
      <c r="G566" s="20">
        <v>-43.227802276611328</v>
      </c>
      <c r="H566" s="20">
        <v>7.5679710059073653</v>
      </c>
      <c r="I566" s="20">
        <v>0.79139191455124447</v>
      </c>
    </row>
    <row r="567" spans="1:9">
      <c r="A567" s="18">
        <v>745</v>
      </c>
      <c r="B567" s="20">
        <v>24.845271711657062</v>
      </c>
      <c r="C567" s="20">
        <v>18.845271711657062</v>
      </c>
      <c r="D567" s="20">
        <v>968.40375586854464</v>
      </c>
      <c r="E567" s="20">
        <v>323.85349705068012</v>
      </c>
      <c r="F567" s="20">
        <v>21.204574584960938</v>
      </c>
      <c r="G567" s="20">
        <v>-43.225055694580078</v>
      </c>
      <c r="H567" s="20">
        <v>7.5775550526315625</v>
      </c>
      <c r="I567" s="20">
        <v>0.79971208727417564</v>
      </c>
    </row>
    <row r="568" spans="1:9">
      <c r="A568" s="18">
        <v>746</v>
      </c>
      <c r="B568" s="20">
        <v>24.878621069659285</v>
      </c>
      <c r="C568" s="20">
        <v>18.878621069659285</v>
      </c>
      <c r="D568" s="20">
        <v>975.00693199474108</v>
      </c>
      <c r="E568" s="20">
        <v>323.97215250388427</v>
      </c>
      <c r="F568" s="20">
        <v>22.392221450805664</v>
      </c>
      <c r="G568" s="20">
        <v>-43.251354217529297</v>
      </c>
      <c r="H568" s="20">
        <v>7.6048714896419876</v>
      </c>
      <c r="I568" s="20">
        <v>0.79284313422777952</v>
      </c>
    </row>
    <row r="569" spans="1:9">
      <c r="A569" s="18">
        <v>747</v>
      </c>
      <c r="B569" s="20">
        <v>24.911970427661512</v>
      </c>
      <c r="C569" s="20">
        <v>18.911970427661512</v>
      </c>
      <c r="D569" s="20">
        <v>981.42014254001629</v>
      </c>
      <c r="E569" s="20">
        <v>323.84051875219069</v>
      </c>
      <c r="F569" s="20">
        <v>23.545923233032227</v>
      </c>
      <c r="G569" s="20">
        <v>-43.232231140136719</v>
      </c>
      <c r="H569" s="20">
        <v>7.6916321888499901</v>
      </c>
      <c r="I569" s="20">
        <v>0.80207306664213673</v>
      </c>
    </row>
    <row r="570" spans="1:9">
      <c r="A570" s="18">
        <v>748</v>
      </c>
      <c r="B570" s="20">
        <v>24.945319785663735</v>
      </c>
      <c r="C570" s="20">
        <v>18.945319785663735</v>
      </c>
      <c r="D570" s="20">
        <v>987.86045116390676</v>
      </c>
      <c r="E570" s="20">
        <v>324.13450923926086</v>
      </c>
      <c r="F570" s="20">
        <v>24.704240798950195</v>
      </c>
      <c r="G570" s="20">
        <v>-43.290138244628906</v>
      </c>
      <c r="H570" s="20">
        <v>7.5898596156253433</v>
      </c>
      <c r="I570" s="20">
        <v>0.79597636913254721</v>
      </c>
    </row>
    <row r="571" spans="1:9">
      <c r="A571" s="18">
        <v>749</v>
      </c>
      <c r="B571" s="20">
        <v>24.978669143665961</v>
      </c>
      <c r="C571" s="20">
        <v>18.978669143665961</v>
      </c>
      <c r="D571" s="20">
        <v>994.59336250911747</v>
      </c>
      <c r="E571" s="20">
        <v>324.51981522003399</v>
      </c>
      <c r="F571" s="20">
        <v>25.915187835693359</v>
      </c>
      <c r="G571" s="20">
        <v>-43.364776611328125</v>
      </c>
      <c r="H571" s="20">
        <v>7.5405208936748602</v>
      </c>
      <c r="I571" s="20">
        <v>0.78203281247033662</v>
      </c>
    </row>
    <row r="572" spans="1:9">
      <c r="A572" s="18">
        <v>750</v>
      </c>
      <c r="B572" s="20">
        <v>25.012018501668184</v>
      </c>
      <c r="C572" s="20">
        <v>19.012018501668184</v>
      </c>
      <c r="D572" s="20">
        <v>996.63604454127324</v>
      </c>
      <c r="E572" s="20">
        <v>324.54054708303073</v>
      </c>
      <c r="F572" s="20">
        <v>26.282648086547852</v>
      </c>
      <c r="G572" s="20">
        <v>-43.370025634765625</v>
      </c>
      <c r="H572" s="20">
        <v>7.5570029262222453</v>
      </c>
      <c r="I572" s="20">
        <v>0.77320090142704856</v>
      </c>
    </row>
    <row r="573" spans="1:9">
      <c r="A573" s="18">
        <v>751</v>
      </c>
      <c r="B573" s="20">
        <v>25.045367859670407</v>
      </c>
      <c r="C573" s="20">
        <v>19.045367859670407</v>
      </c>
      <c r="D573" s="20">
        <v>1002.2985128763148</v>
      </c>
      <c r="E573" s="20">
        <v>325.53983798815136</v>
      </c>
      <c r="F573" s="20">
        <v>27.300670623779297</v>
      </c>
      <c r="G573" s="20">
        <v>-43.554973602294922</v>
      </c>
      <c r="H573" s="20">
        <v>7.5611178205790228</v>
      </c>
      <c r="I573" s="20">
        <v>0.7715383422586598</v>
      </c>
    </row>
    <row r="574" spans="1:9">
      <c r="A574" s="18">
        <v>752</v>
      </c>
      <c r="B574" s="20">
        <v>25.078717217672633</v>
      </c>
      <c r="C574" s="20">
        <v>19.078717217672633</v>
      </c>
      <c r="D574" s="20">
        <v>1007.0422002683252</v>
      </c>
      <c r="E574" s="20">
        <v>325.643005244542</v>
      </c>
      <c r="F574" s="20">
        <v>28.154041290283203</v>
      </c>
      <c r="G574" s="20">
        <v>-43.577121734619141</v>
      </c>
      <c r="H574" s="20">
        <v>7.528135688117529</v>
      </c>
      <c r="I574" s="20">
        <v>0.78565513422264655</v>
      </c>
    </row>
    <row r="575" spans="1:9">
      <c r="A575" s="18">
        <v>753</v>
      </c>
      <c r="B575" s="20">
        <v>25.112066575674856</v>
      </c>
      <c r="C575" s="20">
        <v>19.112066575674856</v>
      </c>
      <c r="D575" s="20">
        <v>1014.2941528876107</v>
      </c>
      <c r="E575" s="20">
        <v>326.28840162952309</v>
      </c>
      <c r="F575" s="20">
        <v>29.458377838134766</v>
      </c>
      <c r="G575" s="20">
        <v>-43.699214935302734</v>
      </c>
      <c r="H575" s="20">
        <v>7.5953219118456046</v>
      </c>
      <c r="I575" s="20">
        <v>0.81909841862363286</v>
      </c>
    </row>
    <row r="576" spans="1:9">
      <c r="A576" s="18">
        <v>754</v>
      </c>
      <c r="B576" s="20">
        <v>25.145415933677082</v>
      </c>
      <c r="C576" s="20">
        <v>19.145415933677082</v>
      </c>
      <c r="D576" s="20">
        <v>1018.9422189851905</v>
      </c>
      <c r="E576" s="20">
        <v>326.66885166302501</v>
      </c>
      <c r="F576" s="20">
        <v>30.294441223144531</v>
      </c>
      <c r="G576" s="20">
        <v>-43.771469116210938</v>
      </c>
      <c r="H576" s="20">
        <v>7.5460189045355959</v>
      </c>
      <c r="I576" s="20">
        <v>0.82162486167046411</v>
      </c>
    </row>
    <row r="577" spans="1:9">
      <c r="A577" s="18">
        <v>755</v>
      </c>
      <c r="B577" s="20">
        <v>25.178765291679305</v>
      </c>
      <c r="C577" s="20">
        <v>19.178765291679305</v>
      </c>
      <c r="D577" s="20">
        <v>1026.1325648414986</v>
      </c>
      <c r="E577" s="20">
        <v>327.04743035542748</v>
      </c>
      <c r="F577" s="20">
        <v>31.587991714477539</v>
      </c>
      <c r="G577" s="20">
        <v>-43.845245361328125</v>
      </c>
      <c r="H577" s="20">
        <v>7.5871269928128733</v>
      </c>
      <c r="I577" s="20">
        <v>0.78657793943646637</v>
      </c>
    </row>
    <row r="578" spans="1:9">
      <c r="A578" s="18">
        <v>756</v>
      </c>
      <c r="B578" s="20">
        <v>25.212114649681528</v>
      </c>
      <c r="C578" s="20">
        <v>19.212114649681528</v>
      </c>
      <c r="D578" s="20">
        <v>1030.9254037117378</v>
      </c>
      <c r="E578" s="20">
        <v>326.08990118100746</v>
      </c>
      <c r="F578" s="20">
        <v>32.451030731201172</v>
      </c>
      <c r="G578" s="20">
        <v>-43.675491333007813</v>
      </c>
      <c r="H578" s="20">
        <v>7.5734490891479567</v>
      </c>
      <c r="I578" s="20">
        <v>0.81438757487717628</v>
      </c>
    </row>
    <row r="579" spans="1:9">
      <c r="A579" s="18">
        <v>757</v>
      </c>
      <c r="B579" s="20">
        <v>25.245464007683754</v>
      </c>
      <c r="C579" s="20">
        <v>19.245464007683754</v>
      </c>
      <c r="D579" s="20">
        <v>1034.4849574493587</v>
      </c>
      <c r="E579" s="20">
        <v>325.38103799592471</v>
      </c>
      <c r="F579" s="20">
        <v>33.092002868652344</v>
      </c>
      <c r="G579" s="20">
        <v>-43.549827575683594</v>
      </c>
      <c r="H579" s="20">
        <v>7.5939567061345947</v>
      </c>
      <c r="I579" s="20">
        <v>0.81609073098398432</v>
      </c>
    </row>
    <row r="580" spans="1:9">
      <c r="A580" s="18">
        <v>758</v>
      </c>
      <c r="B580" s="20">
        <v>25.278813365685977</v>
      </c>
      <c r="C580" s="20">
        <v>19.278813365685977</v>
      </c>
      <c r="D580" s="20">
        <v>1038.4952554744525</v>
      </c>
      <c r="E580" s="20">
        <v>325.98892944038926</v>
      </c>
      <c r="F580" s="20">
        <v>33.813262939453125</v>
      </c>
      <c r="G580" s="20">
        <v>-43.662765502929688</v>
      </c>
      <c r="H580" s="20">
        <v>7.53777038441185</v>
      </c>
      <c r="I580" s="20">
        <v>0.8029557724716132</v>
      </c>
    </row>
    <row r="581" spans="1:9">
      <c r="A581" s="18">
        <v>759</v>
      </c>
      <c r="B581" s="20">
        <v>25.312162723688203</v>
      </c>
      <c r="C581" s="20">
        <v>19.312162723688203</v>
      </c>
      <c r="D581" s="20">
        <v>1045.2083333333333</v>
      </c>
      <c r="E581" s="20">
        <v>325.8112464183381</v>
      </c>
      <c r="F581" s="20">
        <v>35.021430969238281</v>
      </c>
      <c r="G581" s="20">
        <v>-43.635536193847656</v>
      </c>
      <c r="H581" s="20">
        <v>7.6089604969217488</v>
      </c>
      <c r="I581" s="20">
        <v>0.80901423601802369</v>
      </c>
    </row>
    <row r="582" spans="1:9">
      <c r="A582" s="18">
        <v>760</v>
      </c>
      <c r="B582" s="20">
        <v>25.345512081690426</v>
      </c>
      <c r="C582" s="20">
        <v>19.345512081690426</v>
      </c>
      <c r="D582" s="20">
        <v>1050.9617826617825</v>
      </c>
      <c r="E582" s="20">
        <v>326.04346764346764</v>
      </c>
      <c r="F582" s="20">
        <v>36.056686401367188</v>
      </c>
      <c r="G582" s="20">
        <v>-43.681774139404297</v>
      </c>
      <c r="H582" s="20">
        <v>7.5240027557785139</v>
      </c>
      <c r="I582" s="20">
        <v>0.79104902401755117</v>
      </c>
    </row>
    <row r="583" spans="1:9">
      <c r="A583" s="18">
        <v>761</v>
      </c>
      <c r="B583" s="20">
        <v>25.378861439692649</v>
      </c>
      <c r="C583" s="20">
        <v>19.378861439692649</v>
      </c>
      <c r="D583" s="20">
        <v>1055.8123731040248</v>
      </c>
      <c r="E583" s="20">
        <v>325.46040845575061</v>
      </c>
      <c r="F583" s="20">
        <v>36.929981231689453</v>
      </c>
      <c r="G583" s="20">
        <v>-43.579818725585938</v>
      </c>
      <c r="H583" s="20">
        <v>7.6075977386951985</v>
      </c>
      <c r="I583" s="20">
        <v>0.81902525090034228</v>
      </c>
    </row>
    <row r="584" spans="1:9">
      <c r="A584" s="18">
        <v>762</v>
      </c>
      <c r="B584" s="20">
        <v>25.412210797694875</v>
      </c>
      <c r="C584" s="20">
        <v>19.412210797694875</v>
      </c>
      <c r="D584" s="20">
        <v>1060.1422012806572</v>
      </c>
      <c r="E584" s="20">
        <v>324.73915669928715</v>
      </c>
      <c r="F584" s="20">
        <v>37.709651947021484</v>
      </c>
      <c r="G584" s="20">
        <v>-43.452465057373047</v>
      </c>
      <c r="H584" s="20">
        <v>7.563859839824401</v>
      </c>
      <c r="I584" s="20">
        <v>0.80585077762679524</v>
      </c>
    </row>
    <row r="585" spans="1:9">
      <c r="A585" s="18">
        <v>763</v>
      </c>
      <c r="B585" s="20">
        <v>25.445560155697098</v>
      </c>
      <c r="C585" s="20">
        <v>19.445560155697098</v>
      </c>
      <c r="D585" s="20">
        <v>1065.5772442588727</v>
      </c>
      <c r="E585" s="20">
        <v>324.91324518673161</v>
      </c>
      <c r="F585" s="20">
        <v>38.687732696533203</v>
      </c>
      <c r="G585" s="20">
        <v>-43.487949371337891</v>
      </c>
      <c r="H585" s="20">
        <v>7.7198880831768593</v>
      </c>
      <c r="I585" s="20">
        <v>0.8311693651196842</v>
      </c>
    </row>
    <row r="586" spans="1:9">
      <c r="A586" s="18">
        <v>764</v>
      </c>
      <c r="B586" s="20">
        <v>25.478909513699325</v>
      </c>
      <c r="C586" s="20">
        <v>19.478909513699325</v>
      </c>
      <c r="D586" s="20">
        <v>1070.587485380117</v>
      </c>
      <c r="E586" s="20">
        <v>324.01064327485375</v>
      </c>
      <c r="F586" s="20">
        <v>39.590000152587891</v>
      </c>
      <c r="G586" s="20">
        <v>-43.328273773193359</v>
      </c>
      <c r="H586" s="20">
        <v>7.6875871545503252</v>
      </c>
      <c r="I586" s="20">
        <v>0.79136450930107194</v>
      </c>
    </row>
    <row r="587" spans="1:9">
      <c r="A587" s="18">
        <v>765</v>
      </c>
      <c r="B587" s="20">
        <v>25.512258871701547</v>
      </c>
      <c r="C587" s="20">
        <v>19.512258871701547</v>
      </c>
      <c r="D587" s="20">
        <v>1075.0871225683254</v>
      </c>
      <c r="E587" s="20">
        <v>323.89581095596134</v>
      </c>
      <c r="F587" s="20">
        <v>40.399936676025391</v>
      </c>
      <c r="G587" s="20">
        <v>-43.310787200927734</v>
      </c>
      <c r="H587" s="20">
        <v>7.6103230111231834</v>
      </c>
      <c r="I587" s="20">
        <v>0.7695321665754522</v>
      </c>
    </row>
    <row r="588" spans="1:9">
      <c r="A588" s="18">
        <v>766</v>
      </c>
      <c r="B588" s="20">
        <v>25.54560822970377</v>
      </c>
      <c r="C588" s="20">
        <v>19.54560822970377</v>
      </c>
      <c r="D588" s="20">
        <v>1080.2571979279605</v>
      </c>
      <c r="E588" s="20">
        <v>323.71931092639437</v>
      </c>
      <c r="F588" s="20">
        <v>41.330600738525391</v>
      </c>
      <c r="G588" s="20">
        <v>-43.282627105712891</v>
      </c>
      <c r="H588" s="20">
        <v>7.5748179909375635</v>
      </c>
      <c r="I588" s="20">
        <v>0.77433681285082023</v>
      </c>
    </row>
    <row r="589" spans="1:9">
      <c r="A589" s="18">
        <v>767</v>
      </c>
      <c r="B589" s="20">
        <v>25.578957587705997</v>
      </c>
      <c r="C589" s="20">
        <v>19.578957587705997</v>
      </c>
      <c r="D589" s="20">
        <v>1086.9019461077844</v>
      </c>
      <c r="E589" s="20">
        <v>324.05002495009978</v>
      </c>
      <c r="F589" s="20">
        <v>42.526466369628906</v>
      </c>
      <c r="G589" s="20">
        <v>-43.347343444824219</v>
      </c>
      <c r="H589" s="20">
        <v>7.4436483698433218</v>
      </c>
      <c r="I589" s="20">
        <v>0.76707616587309979</v>
      </c>
    </row>
    <row r="590" spans="1:9">
      <c r="A590" s="18">
        <v>768</v>
      </c>
      <c r="B590" s="20">
        <v>25.61230694570822</v>
      </c>
      <c r="C590" s="20">
        <v>19.61230694570822</v>
      </c>
      <c r="D590" s="20">
        <v>1091.4567577686259</v>
      </c>
      <c r="E590" s="20">
        <v>323.25121677274427</v>
      </c>
      <c r="F590" s="20">
        <v>43.346775054931641</v>
      </c>
      <c r="G590" s="20">
        <v>-43.206108093261719</v>
      </c>
      <c r="H590" s="20">
        <v>7.4422553412225643</v>
      </c>
      <c r="I590" s="20">
        <v>0.77650998851442155</v>
      </c>
    </row>
    <row r="591" spans="1:9">
      <c r="A591" s="18">
        <v>769</v>
      </c>
      <c r="B591" s="20">
        <v>25.645656303710446</v>
      </c>
      <c r="C591" s="20">
        <v>19.645656303710446</v>
      </c>
      <c r="D591" s="20">
        <v>1098.4574903660885</v>
      </c>
      <c r="E591" s="20">
        <v>324.10091522157995</v>
      </c>
      <c r="F591" s="20">
        <v>44.606536865234375</v>
      </c>
      <c r="G591" s="20">
        <v>-43.365016937255859</v>
      </c>
      <c r="H591" s="20">
        <v>7.5761866453874251</v>
      </c>
      <c r="I591" s="20">
        <v>0.76859542395562641</v>
      </c>
    </row>
    <row r="592" spans="1:9">
      <c r="A592" s="18">
        <v>770</v>
      </c>
      <c r="B592" s="20">
        <v>25.679005661712669</v>
      </c>
      <c r="C592" s="20">
        <v>19.679005661712669</v>
      </c>
      <c r="D592" s="20">
        <v>1102.8089860352154</v>
      </c>
      <c r="E592" s="20">
        <v>323.1846994535519</v>
      </c>
      <c r="F592" s="20">
        <v>45.390342712402344</v>
      </c>
      <c r="G592" s="20">
        <v>-43.202377319335938</v>
      </c>
      <c r="H592" s="20">
        <v>7.5446447774360612</v>
      </c>
      <c r="I592" s="20">
        <v>0.79278067028501997</v>
      </c>
    </row>
    <row r="593" spans="1:9">
      <c r="A593" s="18">
        <v>771</v>
      </c>
      <c r="B593" s="20">
        <v>25.712355019714892</v>
      </c>
      <c r="C593" s="20">
        <v>19.712355019714892</v>
      </c>
      <c r="D593" s="20">
        <v>1106.1043010752687</v>
      </c>
      <c r="E593" s="20">
        <v>321.46475507765831</v>
      </c>
      <c r="F593" s="20">
        <v>45.984428405761719</v>
      </c>
      <c r="G593" s="20">
        <v>-42.893501281738281</v>
      </c>
      <c r="H593" s="20">
        <v>7.6062347363123708</v>
      </c>
      <c r="I593" s="20">
        <v>0.78691398804312995</v>
      </c>
    </row>
    <row r="594" spans="1:9">
      <c r="A594" s="18">
        <v>772</v>
      </c>
      <c r="B594" s="20">
        <v>25.745704377717118</v>
      </c>
      <c r="C594" s="20">
        <v>19.745704377717118</v>
      </c>
      <c r="D594" s="20">
        <v>1110.3103615040502</v>
      </c>
      <c r="E594" s="20">
        <v>320.40091887317129</v>
      </c>
      <c r="F594" s="20">
        <v>46.742141723632813</v>
      </c>
      <c r="G594" s="20">
        <v>-42.704032897949219</v>
      </c>
      <c r="H594" s="20">
        <v>7.5611178205790228</v>
      </c>
      <c r="I594" s="20">
        <v>0.78014085917604981</v>
      </c>
    </row>
    <row r="595" spans="1:9">
      <c r="A595" s="18">
        <v>773</v>
      </c>
      <c r="B595" s="20">
        <v>25.779053735719341</v>
      </c>
      <c r="C595" s="20">
        <v>19.779053735719341</v>
      </c>
      <c r="D595" s="20">
        <v>1113.4453660295708</v>
      </c>
      <c r="E595" s="20">
        <v>319.31758624834714</v>
      </c>
      <c r="F595" s="20">
        <v>47.307048797607422</v>
      </c>
      <c r="G595" s="20">
        <v>-42.510261535644531</v>
      </c>
      <c r="H595" s="20">
        <v>7.5830262122271224</v>
      </c>
      <c r="I595" s="20">
        <v>0.79194632824852462</v>
      </c>
    </row>
    <row r="596" spans="1:9">
      <c r="A596" s="18">
        <v>774</v>
      </c>
      <c r="B596" s="20">
        <v>25.812403093721567</v>
      </c>
      <c r="C596" s="20">
        <v>19.812403093721567</v>
      </c>
      <c r="D596" s="20">
        <v>1116.2687394552904</v>
      </c>
      <c r="E596" s="20">
        <v>318.11364184140751</v>
      </c>
      <c r="F596" s="20">
        <v>47.815937042236328</v>
      </c>
      <c r="G596" s="20">
        <v>-42.294429779052734</v>
      </c>
      <c r="H596" s="20">
        <v>7.5734490891479567</v>
      </c>
      <c r="I596" s="20">
        <v>0.82370340671088027</v>
      </c>
    </row>
    <row r="597" spans="1:9">
      <c r="A597" s="18">
        <v>775</v>
      </c>
      <c r="B597" s="20">
        <v>25.84575245172379</v>
      </c>
      <c r="C597" s="20">
        <v>19.84575245172379</v>
      </c>
      <c r="D597" s="20">
        <v>1120.8181600955793</v>
      </c>
      <c r="E597" s="20">
        <v>317.2931899641577</v>
      </c>
      <c r="F597" s="20">
        <v>48.635334014892578</v>
      </c>
      <c r="G597" s="20">
        <v>-42.149257659912109</v>
      </c>
      <c r="H597" s="20">
        <v>7.6062347363123708</v>
      </c>
      <c r="I597" s="20">
        <v>0.77825077433175172</v>
      </c>
    </row>
    <row r="598" spans="1:9">
      <c r="A598" s="18">
        <v>776</v>
      </c>
      <c r="B598" s="20">
        <v>25.879101809726013</v>
      </c>
      <c r="C598" s="20">
        <v>19.879101809726013</v>
      </c>
      <c r="D598" s="20">
        <v>1128.5537268932617</v>
      </c>
      <c r="E598" s="20">
        <v>318.05211687537269</v>
      </c>
      <c r="F598" s="20">
        <v>50.027641296386719</v>
      </c>
      <c r="G598" s="20">
        <v>-42.292251586914063</v>
      </c>
      <c r="H598" s="20">
        <v>7.613047307974762</v>
      </c>
      <c r="I598" s="20">
        <v>0.79454878457032763</v>
      </c>
    </row>
    <row r="599" spans="1:9">
      <c r="A599" s="18">
        <v>777</v>
      </c>
      <c r="B599" s="20">
        <v>25.912451167728239</v>
      </c>
      <c r="C599" s="20">
        <v>19.912451167728239</v>
      </c>
      <c r="D599" s="20">
        <v>1136.1739900779589</v>
      </c>
      <c r="E599" s="20">
        <v>317.39192062367118</v>
      </c>
      <c r="F599" s="20">
        <v>51.399909973144531</v>
      </c>
      <c r="G599" s="20">
        <v>-42.178314208984375</v>
      </c>
      <c r="H599" s="20">
        <v>7.6497303574163178</v>
      </c>
      <c r="I599" s="20">
        <v>0.7996120106396859</v>
      </c>
    </row>
    <row r="600" spans="1:9">
      <c r="A600" s="18">
        <v>778</v>
      </c>
      <c r="B600" s="20">
        <v>25.945800525730462</v>
      </c>
      <c r="C600" s="20">
        <v>19.945800525730462</v>
      </c>
      <c r="D600" s="20">
        <v>1137.2526636225266</v>
      </c>
      <c r="E600" s="20">
        <v>314.76150333684581</v>
      </c>
      <c r="F600" s="20">
        <v>51.595321655273438</v>
      </c>
      <c r="G600" s="20">
        <v>-41.703041076660156</v>
      </c>
      <c r="H600" s="20">
        <v>7.6835399907243964</v>
      </c>
      <c r="I600" s="20">
        <v>0.79158891808766807</v>
      </c>
    </row>
    <row r="601" spans="1:9">
      <c r="A601" s="18">
        <v>779</v>
      </c>
      <c r="B601" s="20">
        <v>25.979149883732688</v>
      </c>
      <c r="C601" s="20">
        <v>19.979149883732688</v>
      </c>
      <c r="D601" s="20">
        <v>1139.4265644955299</v>
      </c>
      <c r="E601" s="20">
        <v>310.96528503425054</v>
      </c>
      <c r="F601" s="20">
        <v>51.988407135009766</v>
      </c>
      <c r="G601" s="20">
        <v>-41.017601013183594</v>
      </c>
      <c r="H601" s="20">
        <v>7.7158578620286908</v>
      </c>
      <c r="I601" s="20">
        <v>0.76220364322793666</v>
      </c>
    </row>
    <row r="602" spans="1:9">
      <c r="A602" s="18">
        <v>780</v>
      </c>
      <c r="B602" s="20">
        <v>26.012499241734911</v>
      </c>
      <c r="C602" s="20">
        <v>20.012499241734911</v>
      </c>
      <c r="D602" s="20">
        <v>1144.7210908239699</v>
      </c>
      <c r="E602" s="20">
        <v>307.64431179775283</v>
      </c>
      <c r="F602" s="20">
        <v>52.943103790283203</v>
      </c>
      <c r="G602" s="20">
        <v>-40.420467376708984</v>
      </c>
      <c r="H602" s="20">
        <v>7.6848892821547166</v>
      </c>
      <c r="I602" s="20">
        <v>0.81603337038853074</v>
      </c>
    </row>
    <row r="603" spans="1:9">
      <c r="A603" s="18">
        <v>781</v>
      </c>
      <c r="B603" s="20">
        <v>26.045848599737134</v>
      </c>
      <c r="C603" s="20">
        <v>20.045848599737134</v>
      </c>
      <c r="D603" s="20">
        <v>1144.8888504155125</v>
      </c>
      <c r="E603" s="20">
        <v>302.61934441366571</v>
      </c>
      <c r="F603" s="20">
        <v>52.975502014160156</v>
      </c>
      <c r="G603" s="20">
        <v>-39.511322021484375</v>
      </c>
      <c r="H603" s="20">
        <v>7.7386680298092179</v>
      </c>
      <c r="I603" s="20">
        <v>0.81831307243966667</v>
      </c>
    </row>
    <row r="604" spans="1:9">
      <c r="A604" s="18">
        <v>782</v>
      </c>
      <c r="B604" s="20">
        <v>26.07919795773936</v>
      </c>
      <c r="C604" s="20">
        <v>20.07919795773936</v>
      </c>
      <c r="D604" s="20">
        <v>1150.7799665711557</v>
      </c>
      <c r="E604" s="20">
        <v>300.63311843361987</v>
      </c>
      <c r="F604" s="20">
        <v>54.036949157714844</v>
      </c>
      <c r="G604" s="20">
        <v>-39.156173706054688</v>
      </c>
      <c r="H604" s="20">
        <v>7.6089604969217488</v>
      </c>
      <c r="I604" s="20">
        <v>0.79998777040898095</v>
      </c>
    </row>
    <row r="605" spans="1:9">
      <c r="A605" s="18">
        <v>783</v>
      </c>
      <c r="B605" s="20">
        <v>26.112547315741583</v>
      </c>
      <c r="C605" s="20">
        <v>20.112547315741583</v>
      </c>
      <c r="D605" s="20">
        <v>1143.2308896111713</v>
      </c>
      <c r="E605" s="20">
        <v>294.70350306970028</v>
      </c>
      <c r="F605" s="20">
        <v>52.680511474609375</v>
      </c>
      <c r="G605" s="20">
        <v>-38.077938079833984</v>
      </c>
      <c r="H605" s="20">
        <v>7.5775550526315625</v>
      </c>
      <c r="I605" s="20">
        <v>0.82184878738705436</v>
      </c>
    </row>
    <row r="606" spans="1:9">
      <c r="A606" s="18">
        <v>784</v>
      </c>
      <c r="B606" s="20">
        <v>26.14589667374381</v>
      </c>
      <c r="C606" s="20">
        <v>20.14589667374381</v>
      </c>
      <c r="D606" s="20">
        <v>1137.8883934101325</v>
      </c>
      <c r="E606" s="20">
        <v>291.11272141706922</v>
      </c>
      <c r="F606" s="20">
        <v>51.720432281494141</v>
      </c>
      <c r="G606" s="20">
        <v>-37.424533843994141</v>
      </c>
      <c r="H606" s="20">
        <v>7.4700665567492237</v>
      </c>
      <c r="I606" s="20">
        <v>0.83873036686151747</v>
      </c>
    </row>
    <row r="607" spans="1:9">
      <c r="A607" s="18">
        <v>785</v>
      </c>
      <c r="B607" s="20">
        <v>26.179246031746032</v>
      </c>
      <c r="C607" s="20">
        <v>20.179246031746032</v>
      </c>
      <c r="D607" s="20">
        <v>1137.2459727385378</v>
      </c>
      <c r="E607" s="20">
        <v>290.43234200743495</v>
      </c>
      <c r="F607" s="20">
        <v>51.605094909667969</v>
      </c>
      <c r="G607" s="20">
        <v>-37.300998687744141</v>
      </c>
      <c r="H607" s="20">
        <v>7.4686784555467254</v>
      </c>
      <c r="I607" s="20">
        <v>0.79201105308901554</v>
      </c>
    </row>
    <row r="608" spans="1:9">
      <c r="A608" s="18">
        <v>786</v>
      </c>
      <c r="B608" s="20">
        <v>26.212595389748255</v>
      </c>
      <c r="C608" s="20">
        <v>20.212595389748255</v>
      </c>
      <c r="D608" s="20">
        <v>1134.4806145720802</v>
      </c>
      <c r="E608" s="20">
        <v>290.02352658744445</v>
      </c>
      <c r="F608" s="20">
        <v>51.107513427734375</v>
      </c>
      <c r="G608" s="20">
        <v>-37.225074768066406</v>
      </c>
      <c r="H608" s="20">
        <v>7.5884934272215778</v>
      </c>
      <c r="I608" s="20">
        <v>0.79308869328383214</v>
      </c>
    </row>
    <row r="609" spans="1:9">
      <c r="A609" s="18">
        <v>787</v>
      </c>
      <c r="B609" s="20">
        <v>26.245944747750482</v>
      </c>
      <c r="C609" s="20">
        <v>20.245944747750482</v>
      </c>
      <c r="D609" s="20">
        <v>1123.2394916911044</v>
      </c>
      <c r="E609" s="20">
        <v>287.78604594330398</v>
      </c>
      <c r="F609" s="20">
        <v>49.085289001464844</v>
      </c>
      <c r="G609" s="20">
        <v>-36.812339782714844</v>
      </c>
      <c r="H609" s="20">
        <v>7.5212462058579037</v>
      </c>
      <c r="I609" s="20">
        <v>0.8162391263931118</v>
      </c>
    </row>
    <row r="610" spans="1:9">
      <c r="A610" s="18">
        <v>788</v>
      </c>
      <c r="B610" s="20">
        <v>26.279294105752705</v>
      </c>
      <c r="C610" s="20">
        <v>20.279294105752705</v>
      </c>
      <c r="D610" s="20">
        <v>1114.4461990451707</v>
      </c>
      <c r="E610" s="20">
        <v>286.39968172358914</v>
      </c>
      <c r="F610" s="20">
        <v>47.503383636474609</v>
      </c>
      <c r="G610" s="20">
        <v>-36.555335998535156</v>
      </c>
      <c r="H610" s="20">
        <v>7.5143504070248861</v>
      </c>
      <c r="I610" s="20">
        <v>0.83088132725098085</v>
      </c>
    </row>
    <row r="611" spans="1:9">
      <c r="A611" s="18">
        <v>789</v>
      </c>
      <c r="B611" s="20">
        <v>26.312643463754931</v>
      </c>
      <c r="C611" s="20">
        <v>20.312643463754931</v>
      </c>
      <c r="D611" s="20">
        <v>1110.8899173145749</v>
      </c>
      <c r="E611" s="20">
        <v>287.44502036282859</v>
      </c>
      <c r="F611" s="20">
        <v>46.862857818603516</v>
      </c>
      <c r="G611" s="20">
        <v>-36.741870880126953</v>
      </c>
      <c r="H611" s="20">
        <v>7.4839334084034252</v>
      </c>
      <c r="I611" s="20">
        <v>0.82416836894367096</v>
      </c>
    </row>
    <row r="612" spans="1:9">
      <c r="A612" s="18">
        <v>790</v>
      </c>
      <c r="B612" s="20">
        <v>26.345992821757154</v>
      </c>
      <c r="C612" s="20">
        <v>20.345992821757154</v>
      </c>
      <c r="D612" s="20">
        <v>1105.3021140609635</v>
      </c>
      <c r="E612" s="20">
        <v>287.46116027531957</v>
      </c>
      <c r="F612" s="20">
        <v>45.857257843017578</v>
      </c>
      <c r="G612" s="20">
        <v>-36.740814208984375</v>
      </c>
      <c r="H612" s="20">
        <v>7.4991573293594787</v>
      </c>
      <c r="I612" s="20">
        <v>0.85229385843641414</v>
      </c>
    </row>
    <row r="613" spans="1:9">
      <c r="A613" s="18">
        <v>791</v>
      </c>
      <c r="B613" s="20">
        <v>26.379342179759377</v>
      </c>
      <c r="C613" s="20">
        <v>20.379342179759377</v>
      </c>
      <c r="D613" s="20">
        <v>1100.5931372549019</v>
      </c>
      <c r="E613" s="20">
        <v>287.7919117647059</v>
      </c>
      <c r="F613" s="20">
        <v>45.009674072265625</v>
      </c>
      <c r="G613" s="20">
        <v>-36.797286987304688</v>
      </c>
      <c r="H613" s="20">
        <v>7.5102098885323407</v>
      </c>
      <c r="I613" s="20">
        <v>0.85480799528770168</v>
      </c>
    </row>
    <row r="614" spans="1:9">
      <c r="A614" s="18">
        <v>792</v>
      </c>
      <c r="B614" s="20">
        <v>26.412691537761603</v>
      </c>
      <c r="C614" s="20">
        <v>20.412691537761603</v>
      </c>
      <c r="D614" s="20">
        <v>1096.4293702893265</v>
      </c>
      <c r="E614" s="20">
        <v>288.48334548990999</v>
      </c>
      <c r="F614" s="20">
        <v>44.260021209716797</v>
      </c>
      <c r="G614" s="20">
        <v>-36.919380187988281</v>
      </c>
      <c r="H614" s="20">
        <v>7.5405208936748602</v>
      </c>
      <c r="I614" s="20">
        <v>0.84761747879144111</v>
      </c>
    </row>
    <row r="615" spans="1:9">
      <c r="A615" s="18">
        <v>793</v>
      </c>
      <c r="B615" s="20">
        <v>26.446040895763826</v>
      </c>
      <c r="C615" s="20">
        <v>20.446040895763826</v>
      </c>
      <c r="D615" s="20">
        <v>1091.6944546456114</v>
      </c>
      <c r="E615" s="20">
        <v>288.96070510466399</v>
      </c>
      <c r="F615" s="20">
        <v>43.407737731933594</v>
      </c>
      <c r="G615" s="20">
        <v>-37.002346038818359</v>
      </c>
      <c r="H615" s="20">
        <v>7.5143504070248861</v>
      </c>
      <c r="I615" s="20">
        <v>0.86288559700972556</v>
      </c>
    </row>
    <row r="616" spans="1:9">
      <c r="A616" s="18">
        <v>794</v>
      </c>
      <c r="B616" s="20">
        <v>26.479390253766052</v>
      </c>
      <c r="C616" s="20">
        <v>20.479390253766052</v>
      </c>
      <c r="D616" s="20">
        <v>1088.08151705455</v>
      </c>
      <c r="E616" s="20">
        <v>289.69129417559412</v>
      </c>
      <c r="F616" s="20">
        <v>42.757217407226563</v>
      </c>
      <c r="G616" s="20">
        <v>-37.131908416748047</v>
      </c>
      <c r="H616" s="20">
        <v>7.4922412001289125</v>
      </c>
      <c r="I616" s="20">
        <v>0.85781539732840684</v>
      </c>
    </row>
    <row r="617" spans="1:9">
      <c r="A617" s="18">
        <v>795</v>
      </c>
      <c r="B617" s="20">
        <v>26.512739611768275</v>
      </c>
      <c r="C617" s="20">
        <v>20.512739611768275</v>
      </c>
      <c r="D617" s="20">
        <v>1081.5873359817022</v>
      </c>
      <c r="E617" s="20">
        <v>289.84182015167931</v>
      </c>
      <c r="F617" s="20">
        <v>41.588554382324219</v>
      </c>
      <c r="G617" s="20">
        <v>-37.154506683349609</v>
      </c>
      <c r="H617" s="20">
        <v>7.5775550526315625</v>
      </c>
      <c r="I617" s="20">
        <v>0.81256930123362514</v>
      </c>
    </row>
    <row r="618" spans="1:9">
      <c r="A618" s="18">
        <v>796</v>
      </c>
      <c r="B618" s="20">
        <v>26.546088969770498</v>
      </c>
      <c r="C618" s="20">
        <v>20.546088969770498</v>
      </c>
      <c r="D618" s="20">
        <v>1073.5859856896125</v>
      </c>
      <c r="E618" s="20">
        <v>289.30767332839866</v>
      </c>
      <c r="F618" s="20">
        <v>40.149154663085938</v>
      </c>
      <c r="G618" s="20">
        <v>-37.052204132080078</v>
      </c>
      <c r="H618" s="20">
        <v>7.4853186806796854</v>
      </c>
      <c r="I618" s="20">
        <v>0.82562963724740801</v>
      </c>
    </row>
    <row r="619" spans="1:9">
      <c r="A619" s="18">
        <v>797</v>
      </c>
      <c r="B619" s="20">
        <v>26.579438327772724</v>
      </c>
      <c r="C619" s="20">
        <v>20.579438327772724</v>
      </c>
      <c r="D619" s="20">
        <v>1071.9462483278608</v>
      </c>
      <c r="E619" s="20">
        <v>290.26802869998784</v>
      </c>
      <c r="F619" s="20">
        <v>39.853595733642578</v>
      </c>
      <c r="G619" s="20">
        <v>-37.224720001220703</v>
      </c>
      <c r="H619" s="20">
        <v>7.5391457644770172</v>
      </c>
      <c r="I619" s="20">
        <v>0.8267997774599507</v>
      </c>
    </row>
    <row r="620" spans="1:9">
      <c r="A620" s="18">
        <v>798</v>
      </c>
      <c r="B620" s="20">
        <v>26.612787685774947</v>
      </c>
      <c r="C620" s="20">
        <v>20.612787685774947</v>
      </c>
      <c r="D620" s="20">
        <v>1066.0942395758013</v>
      </c>
      <c r="E620" s="20">
        <v>290.37274041937815</v>
      </c>
      <c r="F620" s="20">
        <v>38.800613403320313</v>
      </c>
      <c r="G620" s="20">
        <v>-37.239486694335938</v>
      </c>
      <c r="H620" s="20">
        <v>7.5734490891479567</v>
      </c>
      <c r="I620" s="20">
        <v>0.85916731106132649</v>
      </c>
    </row>
    <row r="621" spans="1:9">
      <c r="A621" s="18">
        <v>799</v>
      </c>
      <c r="B621" s="20">
        <v>26.646137043777173</v>
      </c>
      <c r="C621" s="20">
        <v>20.646137043777173</v>
      </c>
      <c r="D621" s="20">
        <v>1061.7008421823507</v>
      </c>
      <c r="E621" s="20">
        <v>291.06749664347609</v>
      </c>
      <c r="F621" s="20">
        <v>38.009750366210938</v>
      </c>
      <c r="G621" s="20">
        <v>-37.362003326416016</v>
      </c>
      <c r="H621" s="20">
        <v>7.5253806520918287</v>
      </c>
      <c r="I621" s="20">
        <v>0.86542070415119277</v>
      </c>
    </row>
    <row r="622" spans="1:9">
      <c r="A622" s="18">
        <v>800</v>
      </c>
      <c r="B622" s="20">
        <v>26.679486401779396</v>
      </c>
      <c r="C622" s="20">
        <v>20.679486401779396</v>
      </c>
      <c r="D622" s="20">
        <v>1054.1663619744058</v>
      </c>
      <c r="E622" s="20">
        <v>290.46496039000607</v>
      </c>
      <c r="F622" s="20">
        <v>36.654571533203125</v>
      </c>
      <c r="G622" s="20">
        <v>-37.247661590576172</v>
      </c>
      <c r="H622" s="20">
        <v>7.5308897162645749</v>
      </c>
      <c r="I622" s="20">
        <v>0.87092784672295243</v>
      </c>
    </row>
    <row r="623" spans="1:9">
      <c r="A623" s="18">
        <v>801</v>
      </c>
      <c r="B623" s="20">
        <v>26.712835759781619</v>
      </c>
      <c r="C623" s="20">
        <v>20.712835759781619</v>
      </c>
      <c r="D623" s="20">
        <v>1051.708409842086</v>
      </c>
      <c r="E623" s="20">
        <v>290.94234300403969</v>
      </c>
      <c r="F623" s="20">
        <v>36.212074279785156</v>
      </c>
      <c r="G623" s="20">
        <v>-37.332244873046875</v>
      </c>
      <c r="H623" s="20">
        <v>7.5143504070248861</v>
      </c>
      <c r="I623" s="20">
        <v>0.87742551979529348</v>
      </c>
    </row>
    <row r="624" spans="1:9">
      <c r="A624" s="18">
        <v>802</v>
      </c>
      <c r="B624" s="20">
        <v>26.746185117783845</v>
      </c>
      <c r="C624" s="20">
        <v>20.746185117783845</v>
      </c>
      <c r="D624" s="20">
        <v>1047.9050211736237</v>
      </c>
      <c r="E624" s="20">
        <v>292.21451905626134</v>
      </c>
      <c r="F624" s="20">
        <v>35.527069091796875</v>
      </c>
      <c r="G624" s="20">
        <v>-37.559597015380859</v>
      </c>
      <c r="H624" s="20">
        <v>7.5583748065868592</v>
      </c>
      <c r="I624" s="20">
        <v>0.84874463886408347</v>
      </c>
    </row>
    <row r="625" spans="1:9">
      <c r="A625" s="18">
        <v>803</v>
      </c>
      <c r="B625" s="20">
        <v>26.779534475786068</v>
      </c>
      <c r="C625" s="20">
        <v>20.779534475786068</v>
      </c>
      <c r="D625" s="20">
        <v>1040.2881065884367</v>
      </c>
      <c r="E625" s="20">
        <v>291.40496271849406</v>
      </c>
      <c r="F625" s="20">
        <v>34.157291412353516</v>
      </c>
      <c r="G625" s="20">
        <v>-37.407760620117188</v>
      </c>
      <c r="H625" s="20">
        <v>7.51986755197301</v>
      </c>
      <c r="I625" s="20">
        <v>0.82650226391335324</v>
      </c>
    </row>
    <row r="626" spans="1:9">
      <c r="A626" s="18">
        <v>804</v>
      </c>
      <c r="B626" s="20">
        <v>26.812883833788291</v>
      </c>
      <c r="C626" s="20">
        <v>20.812883833788291</v>
      </c>
      <c r="D626" s="20">
        <v>1035.6747430249634</v>
      </c>
      <c r="E626" s="20">
        <v>291.81375428291727</v>
      </c>
      <c r="F626" s="20">
        <v>33.327125549316406</v>
      </c>
      <c r="G626" s="20">
        <v>-37.4783935546875</v>
      </c>
      <c r="H626" s="20">
        <v>7.5157300729516914</v>
      </c>
      <c r="I626" s="20">
        <v>0.81504229214755941</v>
      </c>
    </row>
    <row r="627" spans="1:9">
      <c r="A627" s="18">
        <v>805</v>
      </c>
      <c r="B627" s="20">
        <v>26.846233191790517</v>
      </c>
      <c r="C627" s="20">
        <v>20.846233191790517</v>
      </c>
      <c r="D627" s="20">
        <v>1031.2817227916057</v>
      </c>
      <c r="E627" s="20">
        <v>292.64641288433381</v>
      </c>
      <c r="F627" s="20">
        <v>32.536365509033203</v>
      </c>
      <c r="G627" s="20">
        <v>-37.625839233398438</v>
      </c>
      <c r="H627" s="20">
        <v>7.5267582961586736</v>
      </c>
      <c r="I627" s="20">
        <v>0.83081550358105316</v>
      </c>
    </row>
    <row r="628" spans="1:9">
      <c r="A628" s="18">
        <v>806</v>
      </c>
      <c r="B628" s="20">
        <v>26.87958254979274</v>
      </c>
      <c r="C628" s="20">
        <v>20.87958254979274</v>
      </c>
      <c r="D628" s="20">
        <v>1024.3231143552309</v>
      </c>
      <c r="E628" s="20">
        <v>292.19708029197079</v>
      </c>
      <c r="F628" s="20">
        <v>31.284929275512695</v>
      </c>
      <c r="G628" s="20">
        <v>-37.539615631103516</v>
      </c>
      <c r="H628" s="20">
        <v>7.53777038441185</v>
      </c>
      <c r="I628" s="20">
        <v>0.8510912583040865</v>
      </c>
    </row>
    <row r="629" spans="1:9">
      <c r="A629" s="18">
        <v>807</v>
      </c>
      <c r="B629" s="20">
        <v>26.912931907794967</v>
      </c>
      <c r="C629" s="20">
        <v>20.912931907794967</v>
      </c>
      <c r="D629" s="20">
        <v>1021.1963720477233</v>
      </c>
      <c r="E629" s="20">
        <v>292.79011443876306</v>
      </c>
      <c r="F629" s="20">
        <v>30.722114562988281</v>
      </c>
      <c r="G629" s="20">
        <v>-37.644622802734375</v>
      </c>
      <c r="H629" s="20">
        <v>7.5350188711300268</v>
      </c>
      <c r="I629" s="20">
        <v>0.87490311863303039</v>
      </c>
    </row>
    <row r="630" spans="1:9">
      <c r="A630" s="18">
        <v>808</v>
      </c>
      <c r="B630" s="20">
        <v>26.94628126579719</v>
      </c>
      <c r="C630" s="20">
        <v>20.94628126579719</v>
      </c>
      <c r="D630" s="20">
        <v>1015.6533039107513</v>
      </c>
      <c r="E630" s="20">
        <v>293.30930489150421</v>
      </c>
      <c r="F630" s="20">
        <v>29.724740982055664</v>
      </c>
      <c r="G630" s="20">
        <v>-37.734554290771484</v>
      </c>
      <c r="H630" s="20">
        <v>7.5088292083315888</v>
      </c>
      <c r="I630" s="20">
        <v>0.85156859828944276</v>
      </c>
    </row>
    <row r="631" spans="1:9">
      <c r="A631" s="18">
        <v>809</v>
      </c>
      <c r="B631" s="20">
        <v>26.979630623799412</v>
      </c>
      <c r="C631" s="20">
        <v>20.979630623799412</v>
      </c>
      <c r="D631" s="20">
        <v>1012.1918077017414</v>
      </c>
      <c r="E631" s="20">
        <v>293.35307824380669</v>
      </c>
      <c r="F631" s="20">
        <v>29.102104187011719</v>
      </c>
      <c r="G631" s="20">
        <v>-37.739997863769531</v>
      </c>
      <c r="H631" s="20">
        <v>7.5074482742126314</v>
      </c>
      <c r="I631" s="20">
        <v>0.88320894263686589</v>
      </c>
    </row>
    <row r="632" spans="1:9">
      <c r="A632" s="18">
        <v>810</v>
      </c>
      <c r="B632" s="20">
        <v>27.012979981801639</v>
      </c>
      <c r="C632" s="20">
        <v>21.012979981801639</v>
      </c>
      <c r="D632" s="20">
        <v>1006.2123733719247</v>
      </c>
      <c r="E632" s="20">
        <v>293.08490110950311</v>
      </c>
      <c r="F632" s="20">
        <v>28.026813507080078</v>
      </c>
      <c r="G632" s="20">
        <v>-37.687232971191406</v>
      </c>
      <c r="H632" s="20">
        <v>7.5707105430128072</v>
      </c>
      <c r="I632" s="20">
        <v>0.85854607224543622</v>
      </c>
    </row>
    <row r="633" spans="1:9">
      <c r="A633" s="18">
        <v>811</v>
      </c>
      <c r="B633" s="20">
        <v>27.046329339803862</v>
      </c>
      <c r="C633" s="20">
        <v>21.046329339803862</v>
      </c>
      <c r="D633" s="20">
        <v>1000.7196606418296</v>
      </c>
      <c r="E633" s="20">
        <v>293.87483093569409</v>
      </c>
      <c r="F633" s="20">
        <v>27.038375854492188</v>
      </c>
      <c r="G633" s="20">
        <v>-37.826148986816406</v>
      </c>
      <c r="H633" s="20">
        <v>7.4977746138818162</v>
      </c>
      <c r="I633" s="20">
        <v>0.83518937058458453</v>
      </c>
    </row>
    <row r="634" spans="1:9">
      <c r="A634" s="18">
        <v>812</v>
      </c>
      <c r="B634" s="20">
        <v>27.079678697806088</v>
      </c>
      <c r="C634" s="20">
        <v>21.079678697806088</v>
      </c>
      <c r="D634" s="20">
        <v>996.03698169592826</v>
      </c>
      <c r="E634" s="20">
        <v>293.76229610260242</v>
      </c>
      <c r="F634" s="20">
        <v>26.196271896362305</v>
      </c>
      <c r="G634" s="20">
        <v>-37.802455902099609</v>
      </c>
      <c r="H634" s="20">
        <v>7.450609606162975</v>
      </c>
      <c r="I634" s="20">
        <v>0.81684513747899035</v>
      </c>
    </row>
    <row r="635" spans="1:9">
      <c r="A635" s="18">
        <v>813</v>
      </c>
      <c r="B635" s="20">
        <v>27.113028055808311</v>
      </c>
      <c r="C635" s="20">
        <v>21.113028055808311</v>
      </c>
      <c r="D635" s="20">
        <v>989.2589705518435</v>
      </c>
      <c r="E635" s="20">
        <v>293.22531551596137</v>
      </c>
      <c r="F635" s="20">
        <v>24.977666854858398</v>
      </c>
      <c r="G635" s="20">
        <v>-37.700515747070313</v>
      </c>
      <c r="H635" s="20">
        <v>7.4742293135820566</v>
      </c>
      <c r="I635" s="20">
        <v>0.80606605412370436</v>
      </c>
    </row>
    <row r="636" spans="1:9">
      <c r="A636" s="18">
        <v>814</v>
      </c>
      <c r="B636" s="20">
        <v>27.146377413810534</v>
      </c>
      <c r="C636" s="20">
        <v>21.146377413810534</v>
      </c>
      <c r="D636" s="20">
        <v>981.05146969142572</v>
      </c>
      <c r="E636" s="20">
        <v>292.97987559458471</v>
      </c>
      <c r="F636" s="20">
        <v>23.501846313476563</v>
      </c>
      <c r="G636" s="20">
        <v>-37.650279998779297</v>
      </c>
      <c r="H636" s="20">
        <v>7.528135688117529</v>
      </c>
      <c r="I636" s="20">
        <v>0.8559532796514876</v>
      </c>
    </row>
    <row r="637" spans="1:9">
      <c r="A637" s="18">
        <v>815</v>
      </c>
      <c r="B637" s="20">
        <v>27.17972677181276</v>
      </c>
      <c r="C637" s="20">
        <v>21.17972677181276</v>
      </c>
      <c r="D637" s="20">
        <v>976.94649446494464</v>
      </c>
      <c r="E637" s="20">
        <v>293.71500615006147</v>
      </c>
      <c r="F637" s="20">
        <v>22.763124465942383</v>
      </c>
      <c r="G637" s="20">
        <v>-37.780265808105469</v>
      </c>
      <c r="H637" s="20">
        <v>7.4963916433611733</v>
      </c>
      <c r="I637" s="20">
        <v>0.8516653217065342</v>
      </c>
    </row>
    <row r="638" spans="1:9">
      <c r="A638" s="18">
        <v>816</v>
      </c>
      <c r="B638" s="20">
        <v>27.213076129814983</v>
      </c>
      <c r="C638" s="20">
        <v>21.213076129814983</v>
      </c>
      <c r="D638" s="20">
        <v>975.30671641791048</v>
      </c>
      <c r="E638" s="20">
        <v>294.39651741293528</v>
      </c>
      <c r="F638" s="20">
        <v>22.467754364013672</v>
      </c>
      <c r="G638" s="20">
        <v>-37.902320861816406</v>
      </c>
      <c r="H638" s="20">
        <v>7.4547832277802755</v>
      </c>
      <c r="I638" s="20">
        <v>0.84223729373509959</v>
      </c>
    </row>
    <row r="639" spans="1:9">
      <c r="A639" s="18">
        <v>817</v>
      </c>
      <c r="B639" s="20">
        <v>27.246425487817209</v>
      </c>
      <c r="C639" s="20">
        <v>21.246425487817209</v>
      </c>
      <c r="D639" s="20">
        <v>968.76007326007323</v>
      </c>
      <c r="E639" s="20">
        <v>294.47387057387056</v>
      </c>
      <c r="F639" s="20">
        <v>21.290470123291016</v>
      </c>
      <c r="G639" s="20">
        <v>-37.911628723144531</v>
      </c>
      <c r="H639" s="20">
        <v>7.5240027557785139</v>
      </c>
      <c r="I639" s="20">
        <v>0.86213007514886997</v>
      </c>
    </row>
    <row r="640" spans="1:9">
      <c r="A640" s="18">
        <v>818</v>
      </c>
      <c r="B640" s="20">
        <v>27.279774845819432</v>
      </c>
      <c r="C640" s="20">
        <v>21.279774845819432</v>
      </c>
      <c r="D640" s="20">
        <v>963.38732480194994</v>
      </c>
      <c r="E640" s="20">
        <v>294.72212065813528</v>
      </c>
      <c r="F640" s="20">
        <v>20.324182510375977</v>
      </c>
      <c r="G640" s="20">
        <v>-37.952671051025391</v>
      </c>
      <c r="H640" s="20">
        <v>7.5308897162645749</v>
      </c>
      <c r="I640" s="20">
        <v>0.8425831546891579</v>
      </c>
    </row>
    <row r="641" spans="1:9">
      <c r="A641" s="18">
        <v>819</v>
      </c>
      <c r="B641" s="20">
        <v>27.313124203821655</v>
      </c>
      <c r="C641" s="20">
        <v>21.313124203821655</v>
      </c>
      <c r="D641" s="20">
        <v>956.51338019484513</v>
      </c>
      <c r="E641" s="20">
        <v>294.61487236403997</v>
      </c>
      <c r="F641" s="20">
        <v>19.088264465332031</v>
      </c>
      <c r="G641" s="20">
        <v>-37.928371429443359</v>
      </c>
      <c r="H641" s="20">
        <v>7.4867036966376359</v>
      </c>
      <c r="I641" s="20">
        <v>0.8523883704664923</v>
      </c>
    </row>
    <row r="642" spans="1:9">
      <c r="A642" s="18">
        <v>820</v>
      </c>
      <c r="B642" s="20">
        <v>27.346473561823881</v>
      </c>
      <c r="C642" s="20">
        <v>21.346473561823881</v>
      </c>
      <c r="D642" s="20">
        <v>952.74410523703148</v>
      </c>
      <c r="E642" s="20">
        <v>294.79188384214444</v>
      </c>
      <c r="F642" s="20">
        <v>18.410400390625</v>
      </c>
      <c r="G642" s="20">
        <v>-37.957679748535156</v>
      </c>
      <c r="H642" s="20">
        <v>7.4631234689429027</v>
      </c>
      <c r="I642" s="20">
        <v>0.82632403032617152</v>
      </c>
    </row>
    <row r="643" spans="1:9">
      <c r="A643" s="18">
        <v>821</v>
      </c>
      <c r="B643" s="20">
        <v>27.379822919826104</v>
      </c>
      <c r="C643" s="20">
        <v>21.379822919826104</v>
      </c>
      <c r="D643" s="20">
        <v>952.60576563084987</v>
      </c>
      <c r="E643" s="20">
        <v>294.67228254087109</v>
      </c>
      <c r="F643" s="20">
        <v>18.385625839233398</v>
      </c>
      <c r="G643" s="20">
        <v>-37.935955047607422</v>
      </c>
      <c r="H643" s="20">
        <v>7.4422553412225643</v>
      </c>
      <c r="I643" s="20">
        <v>0.81501433029749093</v>
      </c>
    </row>
    <row r="644" spans="1:9">
      <c r="A644" s="18">
        <v>822</v>
      </c>
      <c r="B644" s="20">
        <v>27.41317227782833</v>
      </c>
      <c r="C644" s="20">
        <v>21.41317227782833</v>
      </c>
      <c r="D644" s="20">
        <v>944.98969936519336</v>
      </c>
      <c r="E644" s="20">
        <v>294.79003473469874</v>
      </c>
      <c r="F644" s="20">
        <v>17.016189575195313</v>
      </c>
      <c r="G644" s="20">
        <v>-37.951805114746094</v>
      </c>
      <c r="H644" s="20">
        <v>7.5966868722145788</v>
      </c>
      <c r="I644" s="20">
        <v>0.798492530047196</v>
      </c>
    </row>
    <row r="645" spans="1:9">
      <c r="A645" s="18">
        <v>823</v>
      </c>
      <c r="B645" s="20">
        <v>27.446521635830553</v>
      </c>
      <c r="C645" s="20">
        <v>21.446521635830553</v>
      </c>
      <c r="D645" s="20">
        <v>938.14423311387452</v>
      </c>
      <c r="E645" s="20">
        <v>295.25786393562544</v>
      </c>
      <c r="F645" s="20">
        <v>15.785083770751953</v>
      </c>
      <c r="G645" s="20">
        <v>-38.031494140625</v>
      </c>
      <c r="H645" s="20">
        <v>7.5295128281067525</v>
      </c>
      <c r="I645" s="20">
        <v>0.8736249518658683</v>
      </c>
    </row>
    <row r="646" spans="1:9">
      <c r="A646" s="18">
        <v>824</v>
      </c>
      <c r="B646" s="20">
        <v>27.479870993832776</v>
      </c>
      <c r="C646" s="20">
        <v>21.479870993832776</v>
      </c>
      <c r="D646" s="20">
        <v>935.26654434250759</v>
      </c>
      <c r="E646" s="20">
        <v>295.28636085626908</v>
      </c>
      <c r="F646" s="20">
        <v>15.2677001953125</v>
      </c>
      <c r="G646" s="20">
        <v>-38.034584045410156</v>
      </c>
      <c r="H646" s="20">
        <v>7.517109485659085</v>
      </c>
      <c r="I646" s="20">
        <v>0.84932748750915021</v>
      </c>
    </row>
    <row r="647" spans="1:9">
      <c r="A647" s="18">
        <v>825</v>
      </c>
      <c r="B647" s="20">
        <v>27.513220351835002</v>
      </c>
      <c r="C647" s="20">
        <v>21.513220351835002</v>
      </c>
      <c r="D647" s="20">
        <v>935.0641587533479</v>
      </c>
      <c r="E647" s="20">
        <v>295.2571219868517</v>
      </c>
      <c r="F647" s="20">
        <v>15.23133659362793</v>
      </c>
      <c r="G647" s="20">
        <v>-38.029151916503906</v>
      </c>
      <c r="H647" s="20">
        <v>7.5350188711300268</v>
      </c>
      <c r="I647" s="20">
        <v>0.83264013361339961</v>
      </c>
    </row>
    <row r="648" spans="1:9">
      <c r="A648" s="18">
        <v>826</v>
      </c>
      <c r="B648" s="20">
        <v>27.546569709837225</v>
      </c>
      <c r="C648" s="20">
        <v>21.546569709837225</v>
      </c>
      <c r="D648" s="20">
        <v>925.94675759751135</v>
      </c>
      <c r="E648" s="20">
        <v>295.99844460397225</v>
      </c>
      <c r="F648" s="20">
        <v>13.591641426086426</v>
      </c>
      <c r="G648" s="20">
        <v>-38.156661987304688</v>
      </c>
      <c r="H648" s="20">
        <v>7.6007802825909545</v>
      </c>
      <c r="I648" s="20">
        <v>0.84154530800064387</v>
      </c>
    </row>
    <row r="649" spans="1:9">
      <c r="A649" s="18">
        <v>827</v>
      </c>
      <c r="B649" s="20">
        <v>27.579919067839452</v>
      </c>
      <c r="C649" s="20">
        <v>21.579919067839452</v>
      </c>
      <c r="D649" s="20">
        <v>921.60887096774195</v>
      </c>
      <c r="E649" s="20">
        <v>296.569403714565</v>
      </c>
      <c r="F649" s="20">
        <v>12.811347007751465</v>
      </c>
      <c r="G649" s="20">
        <v>-38.256782531738281</v>
      </c>
      <c r="H649" s="20">
        <v>7.5212462058579037</v>
      </c>
      <c r="I649" s="20">
        <v>0.82402570273363385</v>
      </c>
    </row>
    <row r="650" spans="1:9">
      <c r="A650" s="18">
        <v>828</v>
      </c>
      <c r="B650" s="20">
        <v>27.613268425841675</v>
      </c>
      <c r="C650" s="20">
        <v>21.613268425841675</v>
      </c>
      <c r="D650" s="20">
        <v>919.40817816721426</v>
      </c>
      <c r="E650" s="20">
        <v>296.90763052208837</v>
      </c>
      <c r="F650" s="20">
        <v>12.415454864501953</v>
      </c>
      <c r="G650" s="20">
        <v>-38.316356658935547</v>
      </c>
      <c r="H650" s="20">
        <v>7.5363947533420124</v>
      </c>
      <c r="I650" s="20">
        <v>0.80376573481591285</v>
      </c>
    </row>
    <row r="651" spans="1:9">
      <c r="A651" s="18">
        <v>829</v>
      </c>
      <c r="B651" s="20">
        <v>27.646617783843897</v>
      </c>
      <c r="C651" s="20">
        <v>21.646617783843897</v>
      </c>
      <c r="D651" s="20">
        <v>913.67041878479779</v>
      </c>
      <c r="E651" s="20">
        <v>297.09864439603001</v>
      </c>
      <c r="F651" s="20">
        <v>11.383847236633301</v>
      </c>
      <c r="G651" s="20">
        <v>-38.346778869628906</v>
      </c>
      <c r="H651" s="20">
        <v>7.5570029262222453</v>
      </c>
      <c r="I651" s="20">
        <v>0.8415188840710075</v>
      </c>
    </row>
    <row r="652" spans="1:9">
      <c r="A652" s="18">
        <v>830</v>
      </c>
      <c r="B652" s="20">
        <v>27.679967141846124</v>
      </c>
      <c r="C652" s="20">
        <v>21.679967141846124</v>
      </c>
      <c r="D652" s="20">
        <v>905.61607582471675</v>
      </c>
      <c r="E652" s="20">
        <v>296.50590841949776</v>
      </c>
      <c r="F652" s="20">
        <v>9.9365348815917969</v>
      </c>
      <c r="G652" s="20">
        <v>-38.233860015869141</v>
      </c>
      <c r="H652" s="20">
        <v>7.493624936626099</v>
      </c>
      <c r="I652" s="20">
        <v>0.80643124164472979</v>
      </c>
    </row>
    <row r="653" spans="1:9">
      <c r="A653" s="18">
        <v>831</v>
      </c>
      <c r="B653" s="20">
        <v>27.713316499848347</v>
      </c>
      <c r="C653" s="20">
        <v>21.713316499848347</v>
      </c>
      <c r="D653" s="20">
        <v>904.00824108241068</v>
      </c>
      <c r="E653" s="20">
        <v>296.1212792127921</v>
      </c>
      <c r="F653" s="20">
        <v>9.647852897644043</v>
      </c>
      <c r="G653" s="20">
        <v>-38.163173675537109</v>
      </c>
      <c r="H653" s="20">
        <v>7.4963916433611733</v>
      </c>
      <c r="I653" s="20">
        <v>0.81085338168865129</v>
      </c>
    </row>
    <row r="654" spans="1:9">
      <c r="A654" s="18">
        <v>832</v>
      </c>
      <c r="B654" s="20">
        <v>27.746665857850573</v>
      </c>
      <c r="C654" s="20">
        <v>21.746665857850573</v>
      </c>
      <c r="D654" s="20">
        <v>902.57079909491483</v>
      </c>
      <c r="E654" s="20">
        <v>296.22555674645702</v>
      </c>
      <c r="F654" s="20">
        <v>9.3893871307373047</v>
      </c>
      <c r="G654" s="20">
        <v>-38.180995941162109</v>
      </c>
      <c r="H654" s="20">
        <v>7.6184929791346043</v>
      </c>
      <c r="I654" s="20">
        <v>0.81215081901561548</v>
      </c>
    </row>
    <row r="655" spans="1:9">
      <c r="A655" s="18">
        <v>833</v>
      </c>
      <c r="B655" s="20">
        <v>27.780015215852796</v>
      </c>
      <c r="C655" s="20">
        <v>21.780015215852796</v>
      </c>
      <c r="D655" s="20">
        <v>886.01234128396811</v>
      </c>
      <c r="E655" s="20">
        <v>297.73869704521184</v>
      </c>
      <c r="F655" s="20">
        <v>6.4118666648864746</v>
      </c>
      <c r="G655" s="20">
        <v>-38.44268798828125</v>
      </c>
      <c r="H655" s="20">
        <v>7.6320901575044937</v>
      </c>
      <c r="I655" s="20">
        <v>0.82818716894028666</v>
      </c>
    </row>
    <row r="656" spans="1:9">
      <c r="A656" s="18">
        <v>834</v>
      </c>
      <c r="B656" s="20">
        <v>27.813364573855019</v>
      </c>
      <c r="C656" s="20">
        <v>21.813364573855019</v>
      </c>
      <c r="D656" s="20">
        <v>880.50766983199412</v>
      </c>
      <c r="E656" s="20">
        <v>296.98405161918674</v>
      </c>
      <c r="F656" s="20">
        <v>5.4232039451599121</v>
      </c>
      <c r="G656" s="20">
        <v>-38.302322387695313</v>
      </c>
      <c r="H656" s="20">
        <v>7.5350188711300268</v>
      </c>
      <c r="I656" s="20">
        <v>0.79707762930921622</v>
      </c>
    </row>
    <row r="657" spans="1:9">
      <c r="A657" s="18">
        <v>835</v>
      </c>
      <c r="B657" s="20">
        <v>27.846713931857245</v>
      </c>
      <c r="C657" s="20">
        <v>21.846713931857245</v>
      </c>
      <c r="D657" s="20">
        <v>877.64988530725566</v>
      </c>
      <c r="E657" s="20">
        <v>296.46915368827717</v>
      </c>
      <c r="F657" s="20">
        <v>4.9100594520568848</v>
      </c>
      <c r="G657" s="20">
        <v>-38.207202911376953</v>
      </c>
      <c r="H657" s="20">
        <v>7.5666008654044363</v>
      </c>
      <c r="I657" s="20">
        <v>0.81403516187597813</v>
      </c>
    </row>
    <row r="658" spans="1:9">
      <c r="A658" s="18">
        <v>836</v>
      </c>
      <c r="B658" s="20">
        <v>27.880063289859468</v>
      </c>
      <c r="C658" s="20">
        <v>21.880063289859468</v>
      </c>
      <c r="D658" s="20">
        <v>875.51091703056773</v>
      </c>
      <c r="E658" s="20">
        <v>295.78311499272201</v>
      </c>
      <c r="F658" s="20">
        <v>4.5262651443481445</v>
      </c>
      <c r="G658" s="20">
        <v>-38.081661224365234</v>
      </c>
      <c r="H658" s="20">
        <v>7.5487664083239023</v>
      </c>
      <c r="I658" s="20">
        <v>0.8129023624192262</v>
      </c>
    </row>
    <row r="659" spans="1:9">
      <c r="A659" s="18">
        <v>837</v>
      </c>
      <c r="B659" s="20">
        <v>27.913412647861694</v>
      </c>
      <c r="C659" s="20">
        <v>21.913412647861694</v>
      </c>
      <c r="D659" s="20">
        <v>871.98561416451491</v>
      </c>
      <c r="E659" s="20">
        <v>295.04020656584288</v>
      </c>
      <c r="F659" s="20">
        <v>3.8933894634246826</v>
      </c>
      <c r="G659" s="20">
        <v>-37.944850921630859</v>
      </c>
      <c r="H659" s="20">
        <v>7.4977746138818162</v>
      </c>
      <c r="I659" s="20">
        <v>0.8046341878863329</v>
      </c>
    </row>
    <row r="660" spans="1:9">
      <c r="A660" s="18">
        <v>838</v>
      </c>
      <c r="B660" s="20">
        <v>27.946762005863917</v>
      </c>
      <c r="C660" s="20">
        <v>21.946762005863917</v>
      </c>
      <c r="D660" s="20">
        <v>866.98185460115462</v>
      </c>
      <c r="E660" s="20">
        <v>294.50335807705903</v>
      </c>
      <c r="F660" s="20">
        <v>2.9946737289428711</v>
      </c>
      <c r="G660" s="20">
        <v>-37.84423828125</v>
      </c>
      <c r="H660" s="20">
        <v>7.6592120985506327</v>
      </c>
      <c r="I660" s="20">
        <v>0.76262463112988688</v>
      </c>
    </row>
    <row r="661" spans="1:9">
      <c r="A661" s="18">
        <v>839</v>
      </c>
      <c r="B661" s="20">
        <v>27.98011136386614</v>
      </c>
      <c r="C661" s="20">
        <v>21.98011136386614</v>
      </c>
      <c r="D661" s="20">
        <v>853.4845745962881</v>
      </c>
      <c r="E661" s="20">
        <v>296.04675825500118</v>
      </c>
      <c r="F661" s="20">
        <v>0.56780147552490234</v>
      </c>
      <c r="G661" s="20">
        <v>-38.113563537597656</v>
      </c>
      <c r="H661" s="20">
        <v>7.5734490891479567</v>
      </c>
      <c r="I661" s="20">
        <v>0.78374444541832355</v>
      </c>
    </row>
    <row r="662" spans="1:9">
      <c r="A662" s="18">
        <v>840</v>
      </c>
      <c r="B662" s="20">
        <v>28.013460721868366</v>
      </c>
      <c r="C662" s="20">
        <v>22.013460721868366</v>
      </c>
      <c r="D662" s="20">
        <v>848.39753542821927</v>
      </c>
      <c r="E662" s="20">
        <v>296.38829328404188</v>
      </c>
      <c r="F662" s="20">
        <v>-0.34660598635673523</v>
      </c>
      <c r="G662" s="20">
        <v>-38.171661376953125</v>
      </c>
      <c r="H662" s="20">
        <v>7.489472960167384</v>
      </c>
      <c r="I662" s="20">
        <v>0.79378835804200243</v>
      </c>
    </row>
    <row r="663" spans="1:9">
      <c r="A663" s="18">
        <v>841</v>
      </c>
      <c r="B663" s="20">
        <v>28.046810079870589</v>
      </c>
      <c r="C663" s="20">
        <v>22.046810079870589</v>
      </c>
      <c r="D663" s="20">
        <v>845.23782097432195</v>
      </c>
      <c r="E663" s="20">
        <v>296.10079193664507</v>
      </c>
      <c r="F663" s="20">
        <v>-0.91408658027648926</v>
      </c>
      <c r="G663" s="20">
        <v>-38.117435455322266</v>
      </c>
      <c r="H663" s="20">
        <v>7.5898596156253433</v>
      </c>
      <c r="I663" s="20">
        <v>0.76294562617365247</v>
      </c>
    </row>
    <row r="664" spans="1:9">
      <c r="A664" s="18">
        <v>842</v>
      </c>
      <c r="B664" s="20">
        <v>28.080159437872815</v>
      </c>
      <c r="C664" s="20">
        <v>22.080159437872815</v>
      </c>
      <c r="D664" s="20">
        <v>840.24516908212559</v>
      </c>
      <c r="E664" s="20">
        <v>295.19070048309175</v>
      </c>
      <c r="F664" s="20">
        <v>-1.8102813959121704</v>
      </c>
      <c r="G664" s="20">
        <v>-37.949371337890625</v>
      </c>
      <c r="H664" s="20">
        <v>7.5652304767550733</v>
      </c>
      <c r="I664" s="20">
        <v>0.74639467127968739</v>
      </c>
    </row>
    <row r="665" spans="1:9">
      <c r="A665" s="18">
        <v>843</v>
      </c>
      <c r="B665" s="20">
        <v>28.113508795875038</v>
      </c>
      <c r="C665" s="20">
        <v>22.113508795875038</v>
      </c>
      <c r="D665" s="20">
        <v>835.70265083363313</v>
      </c>
      <c r="E665" s="20">
        <v>294.55979369077602</v>
      </c>
      <c r="F665" s="20">
        <v>-2.6258397102355957</v>
      </c>
      <c r="G665" s="20">
        <v>-37.832096099853516</v>
      </c>
      <c r="H665" s="20">
        <v>7.5912255581569861</v>
      </c>
      <c r="I665" s="20">
        <v>0.80260017844972054</v>
      </c>
    </row>
    <row r="666" spans="1:9">
      <c r="A666" s="18">
        <v>844</v>
      </c>
      <c r="B666" s="20">
        <v>28.146858153877261</v>
      </c>
      <c r="C666" s="20">
        <v>22.146858153877261</v>
      </c>
      <c r="D666" s="20">
        <v>832.39851158324325</v>
      </c>
      <c r="E666" s="20">
        <v>294.30908654423234</v>
      </c>
      <c r="F666" s="20">
        <v>-3.2192404270172119</v>
      </c>
      <c r="G666" s="20">
        <v>-37.784423828125</v>
      </c>
      <c r="H666" s="20">
        <v>7.5884934272215778</v>
      </c>
      <c r="I666" s="20">
        <v>0.76861289836880764</v>
      </c>
    </row>
    <row r="667" spans="1:9">
      <c r="A667" s="18">
        <v>845</v>
      </c>
      <c r="B667" s="20">
        <v>28.180207511879487</v>
      </c>
      <c r="C667" s="20">
        <v>22.180207511879487</v>
      </c>
      <c r="D667" s="20">
        <v>828.75705175374048</v>
      </c>
      <c r="E667" s="20">
        <v>294.08204562178071</v>
      </c>
      <c r="F667" s="20">
        <v>-3.8732450008392334</v>
      </c>
      <c r="G667" s="20">
        <v>-37.740791320800781</v>
      </c>
      <c r="H667" s="20">
        <v>7.5074482742126314</v>
      </c>
      <c r="I667" s="20">
        <v>0.76309369888504031</v>
      </c>
    </row>
    <row r="668" spans="1:9">
      <c r="A668" s="18">
        <v>846</v>
      </c>
      <c r="B668" s="20">
        <v>28.21355686988171</v>
      </c>
      <c r="C668" s="20">
        <v>22.21355686988171</v>
      </c>
      <c r="D668" s="20">
        <v>823.83327274930321</v>
      </c>
      <c r="E668" s="20">
        <v>293.88270931782381</v>
      </c>
      <c r="F668" s="20">
        <v>-4.7576513290405273</v>
      </c>
      <c r="G668" s="20">
        <v>-37.701255798339844</v>
      </c>
      <c r="H668" s="20">
        <v>7.5528857900265809</v>
      </c>
      <c r="I668" s="20">
        <v>0.76141666428547661</v>
      </c>
    </row>
    <row r="669" spans="1:9">
      <c r="A669" s="18">
        <v>847</v>
      </c>
      <c r="B669" s="20">
        <v>28.246906227883937</v>
      </c>
      <c r="C669" s="20">
        <v>22.246906227883937</v>
      </c>
      <c r="D669" s="20">
        <v>818.01403123474859</v>
      </c>
      <c r="E669" s="20">
        <v>293.18374816983896</v>
      </c>
      <c r="F669" s="20">
        <v>-5.8023810386657715</v>
      </c>
      <c r="G669" s="20">
        <v>-37.570781707763672</v>
      </c>
      <c r="H669" s="20">
        <v>7.5267582961586736</v>
      </c>
      <c r="I669" s="20">
        <v>0.75859924069608808</v>
      </c>
    </row>
    <row r="670" spans="1:9">
      <c r="A670" s="18">
        <v>848</v>
      </c>
      <c r="B670" s="20">
        <v>28.28025558588616</v>
      </c>
      <c r="C670" s="20">
        <v>22.28025558588616</v>
      </c>
      <c r="D670" s="20">
        <v>812.19478787878779</v>
      </c>
      <c r="E670" s="20">
        <v>292.99345454545454</v>
      </c>
      <c r="F670" s="20">
        <v>-6.8475847244262695</v>
      </c>
      <c r="G670" s="20">
        <v>-37.532241821289063</v>
      </c>
      <c r="H670" s="20">
        <v>7.5515129124745641</v>
      </c>
      <c r="I670" s="20">
        <v>0.77207787782702753</v>
      </c>
    </row>
    <row r="671" spans="1:9">
      <c r="A671" s="18">
        <v>849</v>
      </c>
      <c r="B671" s="20">
        <v>28.313604943888382</v>
      </c>
      <c r="C671" s="20">
        <v>22.313604943888382</v>
      </c>
      <c r="D671" s="20">
        <v>808.29435483870964</v>
      </c>
      <c r="E671" s="20">
        <v>292.82673509286411</v>
      </c>
      <c r="F671" s="20">
        <v>-7.5480728149414063</v>
      </c>
      <c r="G671" s="20">
        <v>-37.49932861328125</v>
      </c>
      <c r="H671" s="20">
        <v>7.5212462058579037</v>
      </c>
      <c r="I671" s="20">
        <v>0.74582581387745195</v>
      </c>
    </row>
    <row r="672" spans="1:9">
      <c r="A672" s="18">
        <v>850</v>
      </c>
      <c r="B672" s="20">
        <v>28.346954301890609</v>
      </c>
      <c r="C672" s="20">
        <v>22.346954301890609</v>
      </c>
      <c r="D672" s="20">
        <v>801.76228906823189</v>
      </c>
      <c r="E672" s="20">
        <v>293.13524089019319</v>
      </c>
      <c r="F672" s="20">
        <v>-8.7217636108398438</v>
      </c>
      <c r="G672" s="20">
        <v>-37.550426483154297</v>
      </c>
      <c r="H672" s="20">
        <v>7.5184886452864435</v>
      </c>
      <c r="I672" s="20">
        <v>0.76886291325410805</v>
      </c>
    </row>
    <row r="673" spans="1:9">
      <c r="A673" s="18">
        <v>851</v>
      </c>
      <c r="B673" s="20">
        <v>28.380303659892832</v>
      </c>
      <c r="C673" s="20">
        <v>22.380303659892832</v>
      </c>
      <c r="D673" s="20">
        <v>794.89713731198435</v>
      </c>
      <c r="E673" s="20">
        <v>293.14022319262489</v>
      </c>
      <c r="F673" s="20">
        <v>-9.9549131393432617</v>
      </c>
      <c r="G673" s="20">
        <v>-37.546428680419922</v>
      </c>
      <c r="H673" s="20">
        <v>7.5487664083239023</v>
      </c>
      <c r="I673" s="20">
        <v>0.7547064725432675</v>
      </c>
    </row>
    <row r="674" spans="1:9">
      <c r="A674" s="18">
        <v>852</v>
      </c>
      <c r="B674" s="20">
        <v>28.413653017895058</v>
      </c>
      <c r="C674" s="20">
        <v>22.413653017895058</v>
      </c>
      <c r="D674" s="20">
        <v>789.68162239770277</v>
      </c>
      <c r="E674" s="20">
        <v>293.12502991146204</v>
      </c>
      <c r="F674" s="20">
        <v>-10.891696929931641</v>
      </c>
      <c r="G674" s="20">
        <v>-37.539962768554688</v>
      </c>
      <c r="H674" s="20">
        <v>7.6007802825909545</v>
      </c>
      <c r="I674" s="20">
        <v>0.75342592542942355</v>
      </c>
    </row>
    <row r="675" spans="1:9">
      <c r="A675" s="18">
        <v>853</v>
      </c>
      <c r="B675" s="20">
        <v>28.447002375897281</v>
      </c>
      <c r="C675" s="20">
        <v>22.447002375897281</v>
      </c>
      <c r="D675" s="20">
        <v>786.06659428157798</v>
      </c>
      <c r="E675" s="20">
        <v>293.82856798166239</v>
      </c>
      <c r="F675" s="20">
        <v>-11.541750907897949</v>
      </c>
      <c r="G675" s="20">
        <v>-37.664520263671875</v>
      </c>
      <c r="H675" s="20">
        <v>7.5693408983986119</v>
      </c>
      <c r="I675" s="20">
        <v>0.75639730282153084</v>
      </c>
    </row>
    <row r="676" spans="1:9">
      <c r="A676" s="18">
        <v>854</v>
      </c>
      <c r="B676" s="20">
        <v>28.480351733899504</v>
      </c>
      <c r="C676" s="20">
        <v>22.480351733899504</v>
      </c>
      <c r="D676" s="20">
        <v>784.33253397282169</v>
      </c>
      <c r="E676" s="20">
        <v>294.44090441932167</v>
      </c>
      <c r="F676" s="20">
        <v>-11.85385799407959</v>
      </c>
      <c r="G676" s="20">
        <v>-37.773933410644531</v>
      </c>
      <c r="H676" s="20">
        <v>7.780090877551995</v>
      </c>
      <c r="I676" s="20">
        <v>0.79043553077326412</v>
      </c>
    </row>
    <row r="677" spans="1:9">
      <c r="A677" s="18">
        <v>855</v>
      </c>
      <c r="B677" s="20">
        <v>28.51370109190173</v>
      </c>
      <c r="C677" s="20">
        <v>22.51370109190173</v>
      </c>
      <c r="D677" s="20">
        <v>763.38429849340855</v>
      </c>
      <c r="E677" s="20">
        <v>303.43961864406782</v>
      </c>
      <c r="F677" s="20">
        <v>-15.626009941101074</v>
      </c>
      <c r="G677" s="20">
        <v>-39.385135650634766</v>
      </c>
      <c r="H677" s="20">
        <v>7.6632721105498076</v>
      </c>
      <c r="I677" s="20">
        <v>0.82830748290368839</v>
      </c>
    </row>
    <row r="678" spans="1:9">
      <c r="A678" s="18">
        <v>856</v>
      </c>
      <c r="B678" s="20">
        <v>28.547050449903953</v>
      </c>
      <c r="C678" s="20">
        <v>22.547050449903953</v>
      </c>
      <c r="D678" s="20">
        <v>769.73090340430645</v>
      </c>
      <c r="E678" s="20">
        <v>303.83748345964153</v>
      </c>
      <c r="F678" s="20">
        <v>-14.486545562744141</v>
      </c>
      <c r="G678" s="20">
        <v>-39.46160888671875</v>
      </c>
      <c r="H678" s="20">
        <v>7.5802911260381594</v>
      </c>
      <c r="I678" s="20">
        <v>0.77902014040530421</v>
      </c>
    </row>
    <row r="679" spans="1:9">
      <c r="A679" s="18">
        <v>857</v>
      </c>
      <c r="B679" s="20">
        <v>28.580399807906179</v>
      </c>
      <c r="C679" s="20">
        <v>22.580399807906179</v>
      </c>
      <c r="D679" s="20">
        <v>765.53868845019281</v>
      </c>
      <c r="E679" s="20">
        <v>309.73326525981389</v>
      </c>
      <c r="F679" s="20">
        <v>-15.245938301086426</v>
      </c>
      <c r="G679" s="20">
        <v>-40.524188995361328</v>
      </c>
      <c r="H679" s="20">
        <v>7.8053704185874366</v>
      </c>
      <c r="I679" s="20">
        <v>0.79305201314723373</v>
      </c>
    </row>
    <row r="680" spans="1:9">
      <c r="A680" s="18">
        <v>858</v>
      </c>
      <c r="B680" s="20">
        <v>28.613749165908402</v>
      </c>
      <c r="C680" s="20">
        <v>22.613749165908402</v>
      </c>
      <c r="D680" s="20">
        <v>771.65035785521525</v>
      </c>
      <c r="E680" s="20">
        <v>312.68872462747856</v>
      </c>
      <c r="F680" s="20">
        <v>-14.151363372802734</v>
      </c>
      <c r="G680" s="20">
        <v>-41.062824249267578</v>
      </c>
      <c r="H680" s="20">
        <v>7.6754392610174982</v>
      </c>
      <c r="I680" s="20">
        <v>0.82433743766998391</v>
      </c>
    </row>
    <row r="681" spans="1:9">
      <c r="A681" s="18">
        <v>859</v>
      </c>
      <c r="B681" s="20">
        <v>28.647098523910625</v>
      </c>
      <c r="C681" s="20">
        <v>22.647098523910625</v>
      </c>
      <c r="D681" s="20">
        <v>771.32203591390169</v>
      </c>
      <c r="E681" s="20">
        <v>317.50671899155662</v>
      </c>
      <c r="F681" s="20">
        <v>-14.215549468994141</v>
      </c>
      <c r="G681" s="20">
        <v>-41.933540344238281</v>
      </c>
      <c r="H681" s="20">
        <v>7.6239347605278427</v>
      </c>
      <c r="I681" s="20">
        <v>0.80423088944601784</v>
      </c>
    </row>
    <row r="682" spans="1:9">
      <c r="A682" s="18">
        <v>860</v>
      </c>
      <c r="B682" s="20">
        <v>28.680447881912851</v>
      </c>
      <c r="C682" s="20">
        <v>22.680447881912851</v>
      </c>
      <c r="D682" s="20">
        <v>772.74409356725141</v>
      </c>
      <c r="E682" s="20">
        <v>320.99847953216374</v>
      </c>
      <c r="F682" s="20">
        <v>-13.963865280151367</v>
      </c>
      <c r="G682" s="20">
        <v>-42.565834045410156</v>
      </c>
      <c r="H682" s="20">
        <v>7.6875871545503252</v>
      </c>
      <c r="I682" s="20">
        <v>0.8204041858008484</v>
      </c>
    </row>
    <row r="683" spans="1:9">
      <c r="A683" s="18">
        <v>861</v>
      </c>
      <c r="B683" s="20">
        <v>28.713797239915074</v>
      </c>
      <c r="C683" s="20">
        <v>22.713797239915074</v>
      </c>
      <c r="D683" s="20">
        <v>779.92224675006128</v>
      </c>
      <c r="E683" s="20">
        <v>321.81506009320577</v>
      </c>
      <c r="F683" s="20">
        <v>-12.67519474029541</v>
      </c>
      <c r="G683" s="20">
        <v>-42.718704223632813</v>
      </c>
      <c r="H683" s="20">
        <v>7.5074482742126314</v>
      </c>
      <c r="I683" s="20">
        <v>0.82262568852651829</v>
      </c>
    </row>
    <row r="684" spans="1:9">
      <c r="A684" s="18">
        <v>862</v>
      </c>
      <c r="B684" s="20">
        <v>28.7471465979173</v>
      </c>
      <c r="C684" s="20">
        <v>22.7471465979173</v>
      </c>
      <c r="D684" s="20">
        <v>785.10809488872576</v>
      </c>
      <c r="E684" s="20">
        <v>322.30166299828807</v>
      </c>
      <c r="F684" s="20">
        <v>-11.744038581848145</v>
      </c>
      <c r="G684" s="20">
        <v>-42.810466766357422</v>
      </c>
      <c r="H684" s="20">
        <v>7.5184886452864435</v>
      </c>
      <c r="I684" s="20">
        <v>0.78988998038631764</v>
      </c>
    </row>
    <row r="685" spans="1:9">
      <c r="A685" s="18">
        <v>863</v>
      </c>
      <c r="B685" s="20">
        <v>28.780495955919523</v>
      </c>
      <c r="C685" s="20">
        <v>22.780495955919523</v>
      </c>
      <c r="D685" s="20">
        <v>789.85978447220168</v>
      </c>
      <c r="E685" s="20">
        <v>322.66678912564294</v>
      </c>
      <c r="F685" s="20">
        <v>-10.890717506408691</v>
      </c>
      <c r="G685" s="20">
        <v>-42.879951477050781</v>
      </c>
      <c r="H685" s="20">
        <v>7.5129704877391674</v>
      </c>
      <c r="I685" s="20">
        <v>0.81444387904767257</v>
      </c>
    </row>
    <row r="686" spans="1:9">
      <c r="A686" s="18">
        <v>864</v>
      </c>
      <c r="B686" s="20">
        <v>28.813845313921746</v>
      </c>
      <c r="C686" s="20">
        <v>22.813845313921746</v>
      </c>
      <c r="D686" s="20">
        <v>795.24540633863592</v>
      </c>
      <c r="E686" s="20">
        <v>323.15797262301146</v>
      </c>
      <c r="F686" s="20">
        <v>-9.9235992431640625</v>
      </c>
      <c r="G686" s="20">
        <v>-42.972694396972656</v>
      </c>
      <c r="H686" s="20">
        <v>7.4867036966376359</v>
      </c>
      <c r="I686" s="20">
        <v>0.83438482405888603</v>
      </c>
    </row>
    <row r="687" spans="1:9">
      <c r="A687" s="18">
        <v>865</v>
      </c>
      <c r="B687" s="20">
        <v>28.847194671923972</v>
      </c>
      <c r="C687" s="20">
        <v>22.847194671923972</v>
      </c>
      <c r="D687" s="20">
        <v>799.30593777116644</v>
      </c>
      <c r="E687" s="20">
        <v>323.35167968265773</v>
      </c>
      <c r="F687" s="20">
        <v>-9.1942310333251953</v>
      </c>
      <c r="G687" s="20">
        <v>-43.010688781738281</v>
      </c>
      <c r="H687" s="20">
        <v>7.4672900963088642</v>
      </c>
      <c r="I687" s="20">
        <v>0.80727114773855024</v>
      </c>
    </row>
    <row r="688" spans="1:9">
      <c r="A688" s="18">
        <v>866</v>
      </c>
      <c r="B688" s="20">
        <v>28.880544029926195</v>
      </c>
      <c r="C688" s="20">
        <v>22.880544029926195</v>
      </c>
      <c r="D688" s="20">
        <v>804.30552546045499</v>
      </c>
      <c r="E688" s="20">
        <v>323.83953292403993</v>
      </c>
      <c r="F688" s="20">
        <v>-8.2963943481445313</v>
      </c>
      <c r="G688" s="20">
        <v>-43.102554321289063</v>
      </c>
      <c r="H688" s="20">
        <v>7.5775550526315625</v>
      </c>
      <c r="I688" s="20">
        <v>0.80877158639936941</v>
      </c>
    </row>
    <row r="689" spans="1:9">
      <c r="A689" s="18">
        <v>867</v>
      </c>
      <c r="B689" s="20">
        <v>28.913893387928422</v>
      </c>
      <c r="C689" s="20">
        <v>22.913893387928422</v>
      </c>
      <c r="D689" s="20">
        <v>809.70619381849519</v>
      </c>
      <c r="E689" s="20">
        <v>324.66469646595243</v>
      </c>
      <c r="F689" s="20">
        <v>-7.3268070220947266</v>
      </c>
      <c r="G689" s="20">
        <v>-43.255710601806641</v>
      </c>
      <c r="H689" s="20">
        <v>7.4922412001289125</v>
      </c>
      <c r="I689" s="20">
        <v>0.77818091654259847</v>
      </c>
    </row>
    <row r="690" spans="1:9">
      <c r="A690" s="18">
        <v>868</v>
      </c>
      <c r="B690" s="20">
        <v>28.947242745930645</v>
      </c>
      <c r="C690" s="20">
        <v>22.947242745930645</v>
      </c>
      <c r="D690" s="20">
        <v>812.14754703061601</v>
      </c>
      <c r="E690" s="20">
        <v>325.12332472642316</v>
      </c>
      <c r="F690" s="20">
        <v>-6.8885784149169922</v>
      </c>
      <c r="G690" s="20">
        <v>-43.340427398681641</v>
      </c>
      <c r="H690" s="20">
        <v>7.4977746138818162</v>
      </c>
      <c r="I690" s="20">
        <v>0.76712436438527276</v>
      </c>
    </row>
    <row r="691" spans="1:9">
      <c r="A691" s="18">
        <v>869</v>
      </c>
      <c r="B691" s="20">
        <v>28.980592103932867</v>
      </c>
      <c r="C691" s="20">
        <v>22.980592103932867</v>
      </c>
      <c r="D691" s="20">
        <v>815.86157984837359</v>
      </c>
      <c r="E691" s="20">
        <v>325.8355343604793</v>
      </c>
      <c r="F691" s="20">
        <v>-6.2218899726867676</v>
      </c>
      <c r="G691" s="20">
        <v>-43.471935272216797</v>
      </c>
      <c r="H691" s="20">
        <v>7.5184886452864435</v>
      </c>
      <c r="I691" s="20">
        <v>0.78107688346123971</v>
      </c>
    </row>
    <row r="692" spans="1:9">
      <c r="A692" s="18">
        <v>870</v>
      </c>
      <c r="B692" s="20">
        <v>29.013941461935094</v>
      </c>
      <c r="C692" s="20">
        <v>23.013941461935094</v>
      </c>
      <c r="D692" s="20">
        <v>820.10729355033152</v>
      </c>
      <c r="E692" s="20">
        <v>326.19807112718502</v>
      </c>
      <c r="F692" s="20">
        <v>-5.4592814445495605</v>
      </c>
      <c r="G692" s="20">
        <v>-43.540599822998047</v>
      </c>
      <c r="H692" s="20">
        <v>7.5720799398844596</v>
      </c>
      <c r="I692" s="20">
        <v>0.78602053537864858</v>
      </c>
    </row>
    <row r="693" spans="1:9">
      <c r="A693" s="18">
        <v>871</v>
      </c>
      <c r="B693" s="20">
        <v>29.047290819937317</v>
      </c>
      <c r="C693" s="20">
        <v>23.047290819937317</v>
      </c>
      <c r="D693" s="20">
        <v>830.19369866372438</v>
      </c>
      <c r="E693" s="20">
        <v>325.27583670467084</v>
      </c>
      <c r="F693" s="20">
        <v>-3.6457281112670898</v>
      </c>
      <c r="G693" s="20">
        <v>-43.381210327148438</v>
      </c>
      <c r="H693" s="20">
        <v>7.5088292083315888</v>
      </c>
      <c r="I693" s="20">
        <v>0.79046449095718418</v>
      </c>
    </row>
    <row r="694" spans="1:9">
      <c r="A694" s="18">
        <v>872</v>
      </c>
      <c r="B694" s="20">
        <v>29.080640177939543</v>
      </c>
      <c r="C694" s="20">
        <v>23.080640177939543</v>
      </c>
      <c r="D694" s="20">
        <v>839.85797950219614</v>
      </c>
      <c r="E694" s="20">
        <v>324.52903855539284</v>
      </c>
      <c r="F694" s="20">
        <v>-1.9081379175186157</v>
      </c>
      <c r="G694" s="20">
        <v>-43.253231048583984</v>
      </c>
      <c r="H694" s="20">
        <v>7.5267582961586736</v>
      </c>
      <c r="I694" s="20">
        <v>0.78279605488485215</v>
      </c>
    </row>
    <row r="695" spans="1:9">
      <c r="A695" s="18">
        <v>873</v>
      </c>
      <c r="B695" s="20">
        <v>29.113989535941766</v>
      </c>
      <c r="C695" s="20">
        <v>23.113989535941766</v>
      </c>
      <c r="D695" s="20">
        <v>846.31143552311426</v>
      </c>
      <c r="E695" s="20">
        <v>324.33138686131389</v>
      </c>
      <c r="F695" s="20">
        <v>-0.74807024002075195</v>
      </c>
      <c r="G695" s="20">
        <v>-43.222202301025391</v>
      </c>
      <c r="H695" s="20">
        <v>7.53777038441185</v>
      </c>
      <c r="I695" s="20">
        <v>0.78508827965762007</v>
      </c>
    </row>
    <row r="696" spans="1:9">
      <c r="A696" s="18">
        <v>874</v>
      </c>
      <c r="B696" s="20">
        <v>29.147338893943989</v>
      </c>
      <c r="C696" s="20">
        <v>23.147338893943989</v>
      </c>
      <c r="D696" s="20">
        <v>852.42064658339461</v>
      </c>
      <c r="E696" s="20">
        <v>323.95028165564537</v>
      </c>
      <c r="F696" s="20">
        <v>0.35032874345779419</v>
      </c>
      <c r="G696" s="20">
        <v>-43.157749176025391</v>
      </c>
      <c r="H696" s="20">
        <v>7.5129704877391674</v>
      </c>
      <c r="I696" s="20">
        <v>0.78873093036245279</v>
      </c>
    </row>
    <row r="697" spans="1:9">
      <c r="A697" s="18">
        <v>875</v>
      </c>
      <c r="B697" s="20">
        <v>29.180688251946215</v>
      </c>
      <c r="C697" s="20">
        <v>23.180688251946215</v>
      </c>
      <c r="D697" s="20">
        <v>859.53815694744424</v>
      </c>
      <c r="E697" s="20">
        <v>322.95728341732661</v>
      </c>
      <c r="F697" s="20">
        <v>1.630568265914917</v>
      </c>
      <c r="G697" s="20">
        <v>-42.983364105224609</v>
      </c>
      <c r="H697" s="20">
        <v>7.5898596156253433</v>
      </c>
      <c r="I697" s="20">
        <v>0.78352941049886715</v>
      </c>
    </row>
    <row r="698" spans="1:9">
      <c r="A698" s="18">
        <v>876</v>
      </c>
      <c r="B698" s="20">
        <v>29.214037609948438</v>
      </c>
      <c r="C698" s="20">
        <v>23.214037609948438</v>
      </c>
      <c r="D698" s="20">
        <v>866.7072751809593</v>
      </c>
      <c r="E698" s="20">
        <v>322.93215556373451</v>
      </c>
      <c r="F698" s="20">
        <v>2.9192330837249756</v>
      </c>
      <c r="G698" s="20">
        <v>-42.984062194824219</v>
      </c>
      <c r="H698" s="20">
        <v>7.5060670860353254</v>
      </c>
      <c r="I698" s="20">
        <v>0.76882216698633554</v>
      </c>
    </row>
    <row r="699" spans="1:9">
      <c r="A699" s="18">
        <v>877</v>
      </c>
      <c r="B699" s="20">
        <v>29.247386967950664</v>
      </c>
      <c r="C699" s="20">
        <v>23.247386967950664</v>
      </c>
      <c r="D699" s="20">
        <v>873.1111932028075</v>
      </c>
      <c r="E699" s="20">
        <v>323.01157492919589</v>
      </c>
      <c r="F699" s="20">
        <v>4.0703082084655762</v>
      </c>
      <c r="G699" s="20">
        <v>-43.003101348876953</v>
      </c>
      <c r="H699" s="20">
        <v>7.4922412001289125</v>
      </c>
      <c r="I699" s="20">
        <v>0.75408820158257972</v>
      </c>
    </row>
    <row r="700" spans="1:9">
      <c r="A700" s="18">
        <v>878</v>
      </c>
      <c r="B700" s="20">
        <v>29.280736325952887</v>
      </c>
      <c r="C700" s="20">
        <v>23.280736325952887</v>
      </c>
      <c r="D700" s="20">
        <v>877.20605838524477</v>
      </c>
      <c r="E700" s="20">
        <v>323.04030780505678</v>
      </c>
      <c r="F700" s="20">
        <v>4.8063821792602539</v>
      </c>
      <c r="G700" s="20">
        <v>-43.01129150390625</v>
      </c>
      <c r="H700" s="20">
        <v>7.5226246070801173</v>
      </c>
      <c r="I700" s="20">
        <v>0.76021673517504984</v>
      </c>
    </row>
    <row r="701" spans="1:9">
      <c r="A701" s="18">
        <v>879</v>
      </c>
      <c r="B701" s="20">
        <v>29.31408568395511</v>
      </c>
      <c r="C701" s="20">
        <v>23.31408568395511</v>
      </c>
      <c r="D701" s="20">
        <v>883.29160671462819</v>
      </c>
      <c r="E701" s="20">
        <v>323.2615107913669</v>
      </c>
      <c r="F701" s="20">
        <v>5.900177001953125</v>
      </c>
      <c r="G701" s="20">
        <v>-43.055744171142578</v>
      </c>
      <c r="H701" s="20">
        <v>7.5925912549492098</v>
      </c>
      <c r="I701" s="20">
        <v>0.81467775587798874</v>
      </c>
    </row>
    <row r="702" spans="1:9">
      <c r="A702" s="18">
        <v>880</v>
      </c>
      <c r="B702" s="20">
        <v>29.347435041957336</v>
      </c>
      <c r="C702" s="20">
        <v>23.347435041957336</v>
      </c>
      <c r="D702" s="20">
        <v>888.81056466302368</v>
      </c>
      <c r="E702" s="20">
        <v>323.38639951426836</v>
      </c>
      <c r="F702" s="20">
        <v>6.8922309875488281</v>
      </c>
      <c r="G702" s="20">
        <v>-43.082366943359375</v>
      </c>
      <c r="H702" s="20">
        <v>7.5446447774360612</v>
      </c>
      <c r="I702" s="20">
        <v>0.81089610650297528</v>
      </c>
    </row>
    <row r="703" spans="1:9">
      <c r="A703" s="18">
        <v>881</v>
      </c>
      <c r="B703" s="20">
        <v>29.380784399959559</v>
      </c>
      <c r="C703" s="20">
        <v>23.380784399959559</v>
      </c>
      <c r="D703" s="20">
        <v>892.5861686390532</v>
      </c>
      <c r="E703" s="20">
        <v>323.3626725838264</v>
      </c>
      <c r="F703" s="20">
        <v>7.5710372924804688</v>
      </c>
      <c r="G703" s="20">
        <v>-43.080833435058594</v>
      </c>
      <c r="H703" s="20">
        <v>7.4880884564195043</v>
      </c>
      <c r="I703" s="20">
        <v>0.81450423724475662</v>
      </c>
    </row>
    <row r="704" spans="1:9">
      <c r="A704" s="18">
        <v>882</v>
      </c>
      <c r="B704" s="20">
        <v>29.414133757961785</v>
      </c>
      <c r="C704" s="20">
        <v>23.414133757961785</v>
      </c>
      <c r="D704" s="20">
        <v>898.07009962789573</v>
      </c>
      <c r="E704" s="20">
        <v>323.07021966150523</v>
      </c>
      <c r="F704" s="20">
        <v>8.557225227355957</v>
      </c>
      <c r="G704" s="20">
        <v>-43.031948089599609</v>
      </c>
      <c r="H704" s="20">
        <v>7.5884934272215778</v>
      </c>
      <c r="I704" s="20">
        <v>0.8149169192942497</v>
      </c>
    </row>
    <row r="705" spans="1:9">
      <c r="A705" s="18">
        <v>883</v>
      </c>
      <c r="B705" s="20">
        <v>29.447483115964008</v>
      </c>
      <c r="C705" s="20">
        <v>23.447483115964008</v>
      </c>
      <c r="D705" s="20">
        <v>902.75967018309677</v>
      </c>
      <c r="E705" s="20">
        <v>323.17024372499088</v>
      </c>
      <c r="F705" s="20">
        <v>9.4002704620361328</v>
      </c>
      <c r="G705" s="20">
        <v>-43.053466796875</v>
      </c>
      <c r="H705" s="20">
        <v>7.5501397852857473</v>
      </c>
      <c r="I705" s="20">
        <v>0.79025465074828349</v>
      </c>
    </row>
    <row r="706" spans="1:9">
      <c r="A706" s="18">
        <v>884</v>
      </c>
      <c r="B706" s="20">
        <v>29.480832473966231</v>
      </c>
      <c r="C706" s="20">
        <v>23.480832473966231</v>
      </c>
      <c r="D706" s="20">
        <v>908.56606280193228</v>
      </c>
      <c r="E706" s="20">
        <v>324.29963768115942</v>
      </c>
      <c r="F706" s="20">
        <v>10.443286895751953</v>
      </c>
      <c r="G706" s="20">
        <v>-43.261993408203125</v>
      </c>
      <c r="H706" s="20">
        <v>7.5652304767550733</v>
      </c>
      <c r="I706" s="20">
        <v>0.77488543374639873</v>
      </c>
    </row>
    <row r="707" spans="1:9">
      <c r="A707" s="18">
        <v>885</v>
      </c>
      <c r="B707" s="20">
        <v>29.514181831968457</v>
      </c>
      <c r="C707" s="20">
        <v>23.514181831968457</v>
      </c>
      <c r="D707" s="20">
        <v>912.75639639639644</v>
      </c>
      <c r="E707" s="20">
        <v>324.01501501501502</v>
      </c>
      <c r="F707" s="20">
        <v>11.196972846984863</v>
      </c>
      <c r="G707" s="20">
        <v>-43.213573455810547</v>
      </c>
      <c r="H707" s="20">
        <v>7.5857603122662898</v>
      </c>
      <c r="I707" s="20">
        <v>0.78523426940505126</v>
      </c>
    </row>
    <row r="708" spans="1:9">
      <c r="A708" s="18">
        <v>886</v>
      </c>
      <c r="B708" s="20">
        <v>29.54753118997068</v>
      </c>
      <c r="C708" s="20">
        <v>23.54753118997068</v>
      </c>
      <c r="D708" s="20">
        <v>916.87205387205381</v>
      </c>
      <c r="E708" s="20">
        <v>323.78487253487253</v>
      </c>
      <c r="F708" s="20">
        <v>11.937195777893066</v>
      </c>
      <c r="G708" s="20">
        <v>-43.174957275390625</v>
      </c>
      <c r="H708" s="20">
        <v>7.5816587924680601</v>
      </c>
      <c r="I708" s="20">
        <v>0.79058896888607799</v>
      </c>
    </row>
    <row r="709" spans="1:9">
      <c r="A709" s="18">
        <v>887</v>
      </c>
      <c r="B709" s="20">
        <v>29.580880547972907</v>
      </c>
      <c r="C709" s="20">
        <v>23.580880547972907</v>
      </c>
      <c r="D709" s="20">
        <v>922.25863712175362</v>
      </c>
      <c r="E709" s="20">
        <v>323.66630926852508</v>
      </c>
      <c r="F709" s="20">
        <v>12.905876159667969</v>
      </c>
      <c r="G709" s="20">
        <v>-43.157447814941406</v>
      </c>
      <c r="H709" s="20">
        <v>7.6171319263360466</v>
      </c>
      <c r="I709" s="20">
        <v>0.82380926906192098</v>
      </c>
    </row>
    <row r="710" spans="1:9">
      <c r="A710" s="18">
        <v>888</v>
      </c>
      <c r="B710" s="20">
        <v>29.614229905975129</v>
      </c>
      <c r="C710" s="20">
        <v>23.614229905975129</v>
      </c>
      <c r="D710" s="20">
        <v>930.54231184731725</v>
      </c>
      <c r="E710" s="20">
        <v>323.3986316168527</v>
      </c>
      <c r="F710" s="20">
        <v>14.395663261413574</v>
      </c>
      <c r="G710" s="20">
        <v>-43.115081787109375</v>
      </c>
      <c r="H710" s="20">
        <v>7.5884934272215778</v>
      </c>
      <c r="I710" s="20">
        <v>0.82034917586840173</v>
      </c>
    </row>
    <row r="711" spans="1:9">
      <c r="A711" s="18">
        <v>889</v>
      </c>
      <c r="B711" s="20">
        <v>29.647579263977352</v>
      </c>
      <c r="C711" s="20">
        <v>23.647579263977352</v>
      </c>
      <c r="D711" s="20">
        <v>938.49545019157074</v>
      </c>
      <c r="E711" s="20">
        <v>323.04322318007661</v>
      </c>
      <c r="F711" s="20">
        <v>15.826153755187988</v>
      </c>
      <c r="G711" s="20">
        <v>-43.056606292724609</v>
      </c>
      <c r="H711" s="20">
        <v>7.598051587373746</v>
      </c>
      <c r="I711" s="20">
        <v>0.80669615018177121</v>
      </c>
    </row>
    <row r="712" spans="1:9">
      <c r="A712" s="18">
        <v>890</v>
      </c>
      <c r="B712" s="20">
        <v>29.680928621979579</v>
      </c>
      <c r="C712" s="20">
        <v>23.680928621979579</v>
      </c>
      <c r="D712" s="20">
        <v>943.64039229930984</v>
      </c>
      <c r="E712" s="20">
        <v>323.09359486620656</v>
      </c>
      <c r="F712" s="20">
        <v>16.751365661621094</v>
      </c>
      <c r="G712" s="20">
        <v>-43.069480895996094</v>
      </c>
      <c r="H712" s="20">
        <v>7.5556307967645031</v>
      </c>
      <c r="I712" s="20">
        <v>0.76690240818501743</v>
      </c>
    </row>
    <row r="713" spans="1:9">
      <c r="A713" s="18">
        <v>891</v>
      </c>
      <c r="B713" s="20">
        <v>29.714277979981802</v>
      </c>
      <c r="C713" s="20">
        <v>23.714277979981802</v>
      </c>
      <c r="D713" s="20">
        <v>949.79078649003452</v>
      </c>
      <c r="E713" s="20">
        <v>323.93113736722756</v>
      </c>
      <c r="F713" s="20">
        <v>17.856821060180664</v>
      </c>
      <c r="G713" s="20">
        <v>-43.225490570068359</v>
      </c>
      <c r="H713" s="20">
        <v>7.6103230111231834</v>
      </c>
      <c r="I713" s="20">
        <v>0.78161283763409928</v>
      </c>
    </row>
    <row r="714" spans="1:9">
      <c r="A714" s="18">
        <v>892</v>
      </c>
      <c r="B714" s="20">
        <v>29.747627337984028</v>
      </c>
      <c r="C714" s="20">
        <v>23.747627337984028</v>
      </c>
      <c r="D714" s="20">
        <v>956.58881220486739</v>
      </c>
      <c r="E714" s="20">
        <v>324.18840053275215</v>
      </c>
      <c r="F714" s="20">
        <v>19.079261779785156</v>
      </c>
      <c r="G714" s="20">
        <v>-43.277004241943359</v>
      </c>
      <c r="H714" s="20">
        <v>7.5556307967645031</v>
      </c>
      <c r="I714" s="20">
        <v>0.79140452892016733</v>
      </c>
    </row>
    <row r="715" spans="1:9">
      <c r="A715" s="18">
        <v>893</v>
      </c>
      <c r="B715" s="20">
        <v>29.780976695986251</v>
      </c>
      <c r="C715" s="20">
        <v>23.780976695986251</v>
      </c>
      <c r="D715" s="20">
        <v>959.10252672497563</v>
      </c>
      <c r="E715" s="20">
        <v>324.23323615160348</v>
      </c>
      <c r="F715" s="20">
        <v>19.531339645385742</v>
      </c>
      <c r="G715" s="20">
        <v>-43.286956787109375</v>
      </c>
      <c r="H715" s="20">
        <v>7.5432704000173461</v>
      </c>
      <c r="I715" s="20">
        <v>0.80791016104951974</v>
      </c>
    </row>
    <row r="716" spans="1:9">
      <c r="A716" s="18">
        <v>894</v>
      </c>
      <c r="B716" s="20">
        <v>29.814326053988474</v>
      </c>
      <c r="C716" s="20">
        <v>23.814326053988474</v>
      </c>
      <c r="D716" s="20">
        <v>962.69998814182372</v>
      </c>
      <c r="E716" s="20">
        <v>323.72643187477763</v>
      </c>
      <c r="F716" s="20">
        <v>20.178766250610352</v>
      </c>
      <c r="G716" s="20">
        <v>-43.197902679443359</v>
      </c>
      <c r="H716" s="20">
        <v>7.6348066872781866</v>
      </c>
      <c r="I716" s="20">
        <v>0.81184206476262466</v>
      </c>
    </row>
    <row r="717" spans="1:9">
      <c r="A717" s="18">
        <v>895</v>
      </c>
      <c r="B717" s="20">
        <v>29.8476754119907</v>
      </c>
      <c r="C717" s="20">
        <v>23.8476754119907</v>
      </c>
      <c r="D717" s="20">
        <v>968.85560293769242</v>
      </c>
      <c r="E717" s="20">
        <v>323.98365316275766</v>
      </c>
      <c r="F717" s="20">
        <v>21.285751342773438</v>
      </c>
      <c r="G717" s="20">
        <v>-43.248935699462891</v>
      </c>
      <c r="H717" s="20">
        <v>7.6388796705965873</v>
      </c>
      <c r="I717" s="20">
        <v>0.82852011548972326</v>
      </c>
    </row>
    <row r="718" spans="1:9">
      <c r="A718" s="18">
        <v>896</v>
      </c>
      <c r="B718" s="20">
        <v>29.881024769992923</v>
      </c>
      <c r="C718" s="20">
        <v>23.881024769992923</v>
      </c>
      <c r="D718" s="20">
        <v>974.2885697187312</v>
      </c>
      <c r="E718" s="20">
        <v>324.05876720526629</v>
      </c>
      <c r="F718" s="20">
        <v>22.262939453125</v>
      </c>
      <c r="G718" s="20">
        <v>-43.266502380371094</v>
      </c>
      <c r="H718" s="20">
        <v>7.5994160574552083</v>
      </c>
      <c r="I718" s="20">
        <v>0.79170603399941419</v>
      </c>
    </row>
    <row r="719" spans="1:9">
      <c r="A719" s="18">
        <v>897</v>
      </c>
      <c r="B719" s="20">
        <v>29.914374127995149</v>
      </c>
      <c r="C719" s="20">
        <v>23.914374127995149</v>
      </c>
      <c r="D719" s="20">
        <v>978.64774071445459</v>
      </c>
      <c r="E719" s="20">
        <v>323.95185710906077</v>
      </c>
      <c r="F719" s="20">
        <v>23.047138214111328</v>
      </c>
      <c r="G719" s="20">
        <v>-43.250347137451172</v>
      </c>
      <c r="H719" s="20">
        <v>7.6443069392532443</v>
      </c>
      <c r="I719" s="20">
        <v>0.8336094795496366</v>
      </c>
    </row>
    <row r="720" spans="1:9">
      <c r="A720" s="18">
        <v>898</v>
      </c>
      <c r="B720" s="20">
        <v>29.947723485997372</v>
      </c>
      <c r="C720" s="20">
        <v>23.947723485997372</v>
      </c>
      <c r="D720" s="20">
        <v>984.61131080757241</v>
      </c>
      <c r="E720" s="20">
        <v>324.25664989216392</v>
      </c>
      <c r="F720" s="20">
        <v>24.119667053222656</v>
      </c>
      <c r="G720" s="20">
        <v>-43.309856414794922</v>
      </c>
      <c r="H720" s="20">
        <v>7.5953219118456046</v>
      </c>
      <c r="I720" s="20">
        <v>0.79344102271789818</v>
      </c>
    </row>
    <row r="721" spans="1:9">
      <c r="A721" s="18">
        <v>899</v>
      </c>
      <c r="B721" s="20">
        <v>29.981072843999595</v>
      </c>
      <c r="C721" s="20">
        <v>23.981072843999595</v>
      </c>
      <c r="D721" s="20">
        <v>991.62651761028962</v>
      </c>
      <c r="E721" s="20">
        <v>324.44764995792758</v>
      </c>
      <c r="F721" s="20">
        <v>25.381507873535156</v>
      </c>
      <c r="G721" s="20">
        <v>-43.34954833984375</v>
      </c>
      <c r="H721" s="20">
        <v>7.5830262122271224</v>
      </c>
      <c r="I721" s="20">
        <v>0.78829472825760671</v>
      </c>
    </row>
    <row r="722" spans="1:9">
      <c r="A722" s="18">
        <v>900</v>
      </c>
      <c r="B722" s="20">
        <v>30.014422202001821</v>
      </c>
      <c r="C722" s="20">
        <v>24.014422202001821</v>
      </c>
      <c r="D722" s="20">
        <v>996.31687242798353</v>
      </c>
      <c r="E722" s="20">
        <v>324.59973372064871</v>
      </c>
      <c r="F722" s="20">
        <v>26.225191116333008</v>
      </c>
      <c r="G722" s="20">
        <v>-43.380496978759766</v>
      </c>
      <c r="H722" s="20">
        <v>7.5570029262222453</v>
      </c>
      <c r="I722" s="20">
        <v>0.78545527680628846</v>
      </c>
    </row>
    <row r="723" spans="1:9">
      <c r="A723" s="18">
        <v>901</v>
      </c>
      <c r="B723" s="20">
        <v>30.047771560004044</v>
      </c>
      <c r="C723" s="20">
        <v>24.047771560004044</v>
      </c>
      <c r="D723" s="20">
        <v>1000.288880724957</v>
      </c>
      <c r="E723" s="20">
        <v>325.1958119030125</v>
      </c>
      <c r="F723" s="20">
        <v>26.939353942871094</v>
      </c>
      <c r="G723" s="20">
        <v>-43.491256713867188</v>
      </c>
      <c r="H723" s="20">
        <v>7.5129704877391674</v>
      </c>
      <c r="I723" s="20">
        <v>0.8067840345822711</v>
      </c>
    </row>
    <row r="724" spans="1:9">
      <c r="A724" s="18">
        <v>902</v>
      </c>
      <c r="B724" s="20">
        <v>30.08112091800627</v>
      </c>
      <c r="C724" s="20">
        <v>24.08112091800627</v>
      </c>
      <c r="D724" s="20">
        <v>1007.1900201016908</v>
      </c>
      <c r="E724" s="20">
        <v>325.68251152891094</v>
      </c>
      <c r="F724" s="20">
        <v>28.180610656738281</v>
      </c>
      <c r="G724" s="20">
        <v>-43.584381103515625</v>
      </c>
      <c r="H724" s="20">
        <v>7.6456631544576092</v>
      </c>
      <c r="I724" s="20">
        <v>0.81037754239796578</v>
      </c>
    </row>
    <row r="725" spans="1:9">
      <c r="A725" s="18">
        <v>903</v>
      </c>
      <c r="B725" s="20">
        <v>30.114470276008493</v>
      </c>
      <c r="C725" s="20">
        <v>24.114470276008493</v>
      </c>
      <c r="D725" s="20">
        <v>1014.1703382689298</v>
      </c>
      <c r="E725" s="20">
        <v>326.32466594438426</v>
      </c>
      <c r="F725" s="20">
        <v>29.43608283996582</v>
      </c>
      <c r="G725" s="20">
        <v>-43.7056884765625</v>
      </c>
      <c r="H725" s="20">
        <v>7.5775550526315625</v>
      </c>
      <c r="I725" s="20">
        <v>0.79600404798908586</v>
      </c>
    </row>
    <row r="726" spans="1:9">
      <c r="A726" s="18">
        <v>904</v>
      </c>
      <c r="B726" s="20">
        <v>30.147819634010716</v>
      </c>
      <c r="C726" s="20">
        <v>24.147819634010716</v>
      </c>
      <c r="D726" s="20">
        <v>1017.3466033601169</v>
      </c>
      <c r="E726" s="20">
        <v>326.699780861943</v>
      </c>
      <c r="F726" s="20">
        <v>30.007329940795898</v>
      </c>
      <c r="G726" s="20">
        <v>-43.775890350341797</v>
      </c>
      <c r="H726" s="20">
        <v>7.5350188711300268</v>
      </c>
      <c r="I726" s="20">
        <v>0.80236967336761944</v>
      </c>
    </row>
    <row r="727" spans="1:9">
      <c r="A727" s="18">
        <v>905</v>
      </c>
      <c r="B727" s="20">
        <v>30.181168992012942</v>
      </c>
      <c r="C727" s="20">
        <v>24.181168992012942</v>
      </c>
      <c r="D727" s="20">
        <v>1024.47872212176</v>
      </c>
      <c r="E727" s="20">
        <v>326.6581072935503</v>
      </c>
      <c r="F727" s="20">
        <v>31.290660858154297</v>
      </c>
      <c r="G727" s="20">
        <v>-43.773586273193359</v>
      </c>
      <c r="H727" s="20">
        <v>7.5720799398844596</v>
      </c>
      <c r="I727" s="20">
        <v>0.82066157219267988</v>
      </c>
    </row>
    <row r="728" spans="1:9">
      <c r="A728" s="18">
        <v>906</v>
      </c>
      <c r="B728" s="20">
        <v>30.214518350015165</v>
      </c>
      <c r="C728" s="20">
        <v>24.214518350015165</v>
      </c>
      <c r="D728" s="20">
        <v>1028.1968874411871</v>
      </c>
      <c r="E728" s="20">
        <v>325.86898298950416</v>
      </c>
      <c r="F728" s="20">
        <v>31.960201263427734</v>
      </c>
      <c r="G728" s="20">
        <v>-43.633514404296875</v>
      </c>
      <c r="H728" s="20">
        <v>7.5693408983986119</v>
      </c>
      <c r="I728" s="20">
        <v>0.79797923334725429</v>
      </c>
    </row>
    <row r="729" spans="1:9">
      <c r="A729" s="18">
        <v>907</v>
      </c>
      <c r="B729" s="20">
        <v>30.247867708017392</v>
      </c>
      <c r="C729" s="20">
        <v>24.247867708017392</v>
      </c>
      <c r="D729" s="20">
        <v>1033.297507788162</v>
      </c>
      <c r="E729" s="20">
        <v>325.86544452432304</v>
      </c>
      <c r="F729" s="20">
        <v>32.878013610839844</v>
      </c>
      <c r="G729" s="20">
        <v>-43.636611938476563</v>
      </c>
      <c r="H729" s="20">
        <v>7.5953219118456046</v>
      </c>
      <c r="I729" s="20">
        <v>0.80611662055950639</v>
      </c>
    </row>
    <row r="730" spans="1:9">
      <c r="A730" s="18">
        <v>908</v>
      </c>
      <c r="B730" s="20">
        <v>30.281217066019614</v>
      </c>
      <c r="C730" s="20">
        <v>24.281217066019614</v>
      </c>
      <c r="D730" s="20">
        <v>1038.130965325601</v>
      </c>
      <c r="E730" s="20">
        <v>326.40123233055454</v>
      </c>
      <c r="F730" s="20">
        <v>33.747455596923828</v>
      </c>
      <c r="G730" s="20">
        <v>-43.737113952636719</v>
      </c>
      <c r="H730" s="20">
        <v>7.563859839824401</v>
      </c>
      <c r="I730" s="20">
        <v>0.80209324534305093</v>
      </c>
    </row>
    <row r="731" spans="1:9">
      <c r="A731" s="18">
        <v>909</v>
      </c>
      <c r="B731" s="20">
        <v>30.314566424021837</v>
      </c>
      <c r="C731" s="20">
        <v>24.314566424021837</v>
      </c>
      <c r="D731" s="20">
        <v>1046.2682983682982</v>
      </c>
      <c r="E731" s="20">
        <v>326.27937062937065</v>
      </c>
      <c r="F731" s="20">
        <v>35.211891174316406</v>
      </c>
      <c r="G731" s="20">
        <v>-43.721023559570313</v>
      </c>
      <c r="H731" s="20">
        <v>7.7010623395711377</v>
      </c>
      <c r="I731" s="20">
        <v>0.8103792865939129</v>
      </c>
    </row>
    <row r="732" spans="1:9">
      <c r="A732" s="18">
        <v>910</v>
      </c>
      <c r="B732" s="20">
        <v>30.347915782024064</v>
      </c>
      <c r="C732" s="20">
        <v>24.347915782024064</v>
      </c>
      <c r="D732" s="20">
        <v>1050.975119047619</v>
      </c>
      <c r="E732" s="20">
        <v>325.95785714285716</v>
      </c>
      <c r="F732" s="20">
        <v>36.059131622314453</v>
      </c>
      <c r="G732" s="20">
        <v>-43.666294097900391</v>
      </c>
      <c r="H732" s="20">
        <v>7.619853788822895</v>
      </c>
      <c r="I732" s="20">
        <v>0.85149465959990789</v>
      </c>
    </row>
    <row r="733" spans="1:9">
      <c r="A733" s="18">
        <v>911</v>
      </c>
      <c r="B733" s="20">
        <v>30.381265140026287</v>
      </c>
      <c r="C733" s="20">
        <v>24.381265140026287</v>
      </c>
      <c r="D733" s="20">
        <v>1055.5204019857124</v>
      </c>
      <c r="E733" s="20">
        <v>326.2069257779392</v>
      </c>
      <c r="F733" s="20">
        <v>36.876987457275391</v>
      </c>
      <c r="G733" s="20">
        <v>-43.714702606201172</v>
      </c>
      <c r="H733" s="20">
        <v>7.5556307967645031</v>
      </c>
      <c r="I733" s="20">
        <v>0.80034893107948812</v>
      </c>
    </row>
    <row r="734" spans="1:9">
      <c r="A734" s="18">
        <v>912</v>
      </c>
      <c r="B734" s="20">
        <v>30.414614498028513</v>
      </c>
      <c r="C734" s="20">
        <v>24.414614498028513</v>
      </c>
      <c r="D734" s="20">
        <v>1059.4718368314952</v>
      </c>
      <c r="E734" s="20">
        <v>325.48369500770781</v>
      </c>
      <c r="F734" s="20">
        <v>37.588558197021484</v>
      </c>
      <c r="G734" s="20">
        <v>-43.586715698242188</v>
      </c>
      <c r="H734" s="20">
        <v>7.6348066872781866</v>
      </c>
      <c r="I734" s="20">
        <v>0.81184206082577948</v>
      </c>
    </row>
    <row r="735" spans="1:9">
      <c r="A735" s="18">
        <v>913</v>
      </c>
      <c r="B735" s="20">
        <v>30.447963856030736</v>
      </c>
      <c r="C735" s="20">
        <v>24.447963856030736</v>
      </c>
      <c r="D735" s="20">
        <v>1065.0071225071224</v>
      </c>
      <c r="E735" s="20">
        <v>325.22139126305791</v>
      </c>
      <c r="F735" s="20">
        <v>38.584934234619141</v>
      </c>
      <c r="G735" s="20">
        <v>-43.543300628662109</v>
      </c>
      <c r="H735" s="20">
        <v>7.6307315299623522</v>
      </c>
      <c r="I735" s="20">
        <v>0.82128793063575467</v>
      </c>
    </row>
    <row r="736" spans="1:9">
      <c r="A736" s="18">
        <v>914</v>
      </c>
      <c r="B736" s="20">
        <v>30.481313214032959</v>
      </c>
      <c r="C736" s="20">
        <v>24.481313214032959</v>
      </c>
      <c r="D736" s="20">
        <v>1070.1061804838894</v>
      </c>
      <c r="E736" s="20">
        <v>324.38734090127281</v>
      </c>
      <c r="F736" s="20">
        <v>39.503158569335938</v>
      </c>
      <c r="G736" s="20">
        <v>-43.396091461181641</v>
      </c>
      <c r="H736" s="20">
        <v>7.7640824431469895</v>
      </c>
      <c r="I736" s="20">
        <v>0.80827150728177122</v>
      </c>
    </row>
    <row r="737" spans="1:9">
      <c r="A737" s="18">
        <v>915</v>
      </c>
      <c r="B737" s="20">
        <v>30.514662572035185</v>
      </c>
      <c r="C737" s="20">
        <v>24.514662572035185</v>
      </c>
      <c r="D737" s="20">
        <v>1073.7587391871073</v>
      </c>
      <c r="E737" s="20">
        <v>323.94620215665361</v>
      </c>
      <c r="F737" s="20">
        <v>40.160820007324219</v>
      </c>
      <c r="G737" s="20">
        <v>-43.318931579589844</v>
      </c>
      <c r="H737" s="20">
        <v>7.6375222508309886</v>
      </c>
      <c r="I737" s="20">
        <v>0.79598703078879829</v>
      </c>
    </row>
    <row r="738" spans="1:9">
      <c r="A738" s="18">
        <v>916</v>
      </c>
      <c r="B738" s="20">
        <v>30.548011930037408</v>
      </c>
      <c r="C738" s="20">
        <v>24.548011930037408</v>
      </c>
      <c r="D738" s="20">
        <v>1078.0850650139748</v>
      </c>
      <c r="E738" s="20">
        <v>323.16867177056747</v>
      </c>
      <c r="F738" s="20">
        <v>40.939937591552734</v>
      </c>
      <c r="G738" s="20">
        <v>-43.181385040283203</v>
      </c>
      <c r="H738" s="20">
        <v>7.5418957721426034</v>
      </c>
      <c r="I738" s="20">
        <v>0.74753191821276455</v>
      </c>
    </row>
    <row r="739" spans="1:9">
      <c r="A739" s="18">
        <v>917</v>
      </c>
      <c r="B739" s="20">
        <v>30.581361288039634</v>
      </c>
      <c r="C739" s="20">
        <v>24.581361288039634</v>
      </c>
      <c r="D739" s="20">
        <v>1086.241458408789</v>
      </c>
      <c r="E739" s="20">
        <v>324.16382953036339</v>
      </c>
      <c r="F739" s="20">
        <v>42.407508850097656</v>
      </c>
      <c r="G739" s="20">
        <v>-43.367454528808594</v>
      </c>
      <c r="H739" s="20">
        <v>7.5666008654044363</v>
      </c>
      <c r="I739" s="20">
        <v>0.76071547030446607</v>
      </c>
    </row>
    <row r="740" spans="1:9">
      <c r="A740" s="18">
        <v>918</v>
      </c>
      <c r="B740" s="20">
        <v>30.614710646041857</v>
      </c>
      <c r="C740" s="20">
        <v>24.614710646041857</v>
      </c>
      <c r="D740" s="20">
        <v>1091.4034077273818</v>
      </c>
      <c r="E740" s="20">
        <v>324.02795776337894</v>
      </c>
      <c r="F740" s="20">
        <v>43.336761474609375</v>
      </c>
      <c r="G740" s="20">
        <v>-43.346645355224609</v>
      </c>
      <c r="H740" s="20">
        <v>7.5898596156253433</v>
      </c>
      <c r="I740" s="20">
        <v>0.77137214152772049</v>
      </c>
    </row>
    <row r="741" spans="1:9">
      <c r="A741" s="18">
        <v>919</v>
      </c>
      <c r="B741" s="20">
        <v>30.64806000404408</v>
      </c>
      <c r="C741" s="20">
        <v>24.64806000404408</v>
      </c>
      <c r="D741" s="20">
        <v>1097.8498783454988</v>
      </c>
      <c r="E741" s="20">
        <v>323.55742092457416</v>
      </c>
      <c r="F741" s="20">
        <v>44.497428894042969</v>
      </c>
      <c r="G741" s="20">
        <v>-43.266208648681641</v>
      </c>
      <c r="H741" s="20">
        <v>7.53777038441185</v>
      </c>
      <c r="I741" s="20">
        <v>0.79394664077561261</v>
      </c>
    </row>
    <row r="742" spans="1:9">
      <c r="A742" s="18">
        <v>920</v>
      </c>
      <c r="B742" s="20">
        <v>30.681409362046306</v>
      </c>
      <c r="C742" s="20">
        <v>24.681409362046306</v>
      </c>
      <c r="D742" s="20">
        <v>1101.5278473464518</v>
      </c>
      <c r="E742" s="20">
        <v>322.32915921288014</v>
      </c>
      <c r="F742" s="20">
        <v>45.16015625</v>
      </c>
      <c r="G742" s="20">
        <v>-43.046600341796875</v>
      </c>
      <c r="H742" s="20">
        <v>7.613047307974762</v>
      </c>
      <c r="I742" s="20">
        <v>0.79454878457032763</v>
      </c>
    </row>
    <row r="743" spans="1:9">
      <c r="A743" s="18">
        <v>921</v>
      </c>
      <c r="B743" s="20">
        <v>30.714758720048529</v>
      </c>
      <c r="C743" s="20">
        <v>24.714758720048529</v>
      </c>
      <c r="D743" s="20">
        <v>1103.238880918221</v>
      </c>
      <c r="E743" s="20">
        <v>320.36190817790532</v>
      </c>
      <c r="F743" s="20">
        <v>45.46917724609375</v>
      </c>
      <c r="G743" s="20">
        <v>-42.691810607910156</v>
      </c>
      <c r="H743" s="20">
        <v>7.6035079985526526</v>
      </c>
      <c r="I743" s="20">
        <v>0.82086498736512103</v>
      </c>
    </row>
    <row r="744" spans="1:9">
      <c r="A744" s="18">
        <v>922</v>
      </c>
      <c r="B744" s="20">
        <v>30.748108078050755</v>
      </c>
      <c r="C744" s="20">
        <v>24.748108078050755</v>
      </c>
      <c r="D744" s="20">
        <v>1108.5987944544906</v>
      </c>
      <c r="E744" s="20">
        <v>319.83134418324289</v>
      </c>
      <c r="F744" s="20">
        <v>46.434310913085938</v>
      </c>
      <c r="G744" s="20">
        <v>-42.599700927734375</v>
      </c>
      <c r="H744" s="20">
        <v>7.5720799398844596</v>
      </c>
      <c r="I744" s="20">
        <v>0.80383755961227132</v>
      </c>
    </row>
    <row r="745" spans="1:9">
      <c r="A745" s="18">
        <v>923</v>
      </c>
      <c r="B745" s="20">
        <v>30.781457436052978</v>
      </c>
      <c r="C745" s="20">
        <v>24.781457436052978</v>
      </c>
      <c r="D745" s="20">
        <v>1113.8877757901012</v>
      </c>
      <c r="E745" s="20">
        <v>319.28837209302327</v>
      </c>
      <c r="F745" s="20">
        <v>47.386726379394531</v>
      </c>
      <c r="G745" s="20">
        <v>-42.505294799804688</v>
      </c>
      <c r="H745" s="20">
        <v>7.613047307974762</v>
      </c>
      <c r="I745" s="20">
        <v>0.77713067177590311</v>
      </c>
    </row>
    <row r="746" spans="1:9">
      <c r="A746" s="18">
        <v>924</v>
      </c>
      <c r="B746" s="20">
        <v>30.814806794055201</v>
      </c>
      <c r="C746" s="20">
        <v>24.814806794055201</v>
      </c>
      <c r="D746" s="20">
        <v>1115.1542502387774</v>
      </c>
      <c r="E746" s="20">
        <v>317.70857211079272</v>
      </c>
      <c r="F746" s="20">
        <v>47.615497589111328</v>
      </c>
      <c r="G746" s="20">
        <v>-42.220306396484375</v>
      </c>
      <c r="H746" s="20">
        <v>7.6089604969217488</v>
      </c>
      <c r="I746" s="20">
        <v>0.79629307527978843</v>
      </c>
    </row>
    <row r="747" spans="1:9">
      <c r="A747" s="18">
        <v>925</v>
      </c>
      <c r="B747" s="20">
        <v>30.848156152057427</v>
      </c>
      <c r="C747" s="20">
        <v>24.848156152057427</v>
      </c>
      <c r="D747" s="20">
        <v>1119.3142655367233</v>
      </c>
      <c r="E747" s="20">
        <v>316.60381355932202</v>
      </c>
      <c r="F747" s="20">
        <v>48.364921569824219</v>
      </c>
      <c r="G747" s="20">
        <v>-42.023406982421875</v>
      </c>
      <c r="H747" s="20">
        <v>7.6632721105498076</v>
      </c>
      <c r="I747" s="20">
        <v>0.78636641641702831</v>
      </c>
    </row>
    <row r="748" spans="1:9">
      <c r="A748" s="18">
        <v>926</v>
      </c>
      <c r="B748" s="20">
        <v>30.88150551005965</v>
      </c>
      <c r="C748" s="20">
        <v>24.88150551005965</v>
      </c>
      <c r="D748" s="20">
        <v>1126.5986727209222</v>
      </c>
      <c r="E748" s="20">
        <v>316.89859122132958</v>
      </c>
      <c r="F748" s="20">
        <v>49.676197052001953</v>
      </c>
      <c r="G748" s="20">
        <v>-42.082057952880859</v>
      </c>
      <c r="H748" s="20">
        <v>7.705100299652627</v>
      </c>
      <c r="I748" s="20">
        <v>0.77179014695805803</v>
      </c>
    </row>
    <row r="749" spans="1:9">
      <c r="A749" s="18">
        <v>927</v>
      </c>
      <c r="B749" s="20">
        <v>30.914854868061877</v>
      </c>
      <c r="C749" s="20">
        <v>24.914854868061877</v>
      </c>
      <c r="D749" s="20">
        <v>1133.0055710306406</v>
      </c>
      <c r="E749" s="20">
        <v>316.15854224698234</v>
      </c>
      <c r="F749" s="20">
        <v>50.830036163330078</v>
      </c>
      <c r="G749" s="20">
        <v>-41.952785491943359</v>
      </c>
      <c r="H749" s="20">
        <v>7.7172015029377929</v>
      </c>
      <c r="I749" s="20">
        <v>0.76487999215024982</v>
      </c>
    </row>
    <row r="750" spans="1:9">
      <c r="A750" s="18">
        <v>928</v>
      </c>
      <c r="B750" s="20">
        <v>30.948204226064099</v>
      </c>
      <c r="C750" s="20">
        <v>24.948204226064099</v>
      </c>
      <c r="D750" s="20">
        <v>1136.651872725138</v>
      </c>
      <c r="E750" s="20">
        <v>314.22413995538335</v>
      </c>
      <c r="F750" s="20">
        <v>51.487388610839844</v>
      </c>
      <c r="G750" s="20">
        <v>-41.605354309082031</v>
      </c>
      <c r="H750" s="20">
        <v>7.6727371172051821</v>
      </c>
      <c r="I750" s="20">
        <v>0.80705688708234713</v>
      </c>
    </row>
    <row r="751" spans="1:9">
      <c r="A751" s="18">
        <v>929</v>
      </c>
      <c r="B751" s="20">
        <v>30.981553584066322</v>
      </c>
      <c r="C751" s="20">
        <v>24.981553584066322</v>
      </c>
      <c r="D751" s="20">
        <v>1142.5730869462211</v>
      </c>
      <c r="E751" s="20">
        <v>311.99218194740581</v>
      </c>
      <c r="F751" s="20">
        <v>52.554466247558594</v>
      </c>
      <c r="G751" s="20">
        <v>-41.205726623535156</v>
      </c>
      <c r="H751" s="20">
        <v>7.6388796705965873</v>
      </c>
      <c r="I751" s="20">
        <v>0.80629139767422175</v>
      </c>
    </row>
    <row r="752" spans="1:9">
      <c r="A752" s="18">
        <v>930</v>
      </c>
      <c r="B752" s="20">
        <v>31.014902942068549</v>
      </c>
      <c r="C752" s="20">
        <v>25.014902942068549</v>
      </c>
      <c r="D752" s="20">
        <v>1139.5730375426622</v>
      </c>
      <c r="E752" s="20">
        <v>305.84482366325369</v>
      </c>
      <c r="F752" s="20">
        <v>52.017070770263672</v>
      </c>
      <c r="G752" s="20">
        <v>-40.091121673583984</v>
      </c>
      <c r="H752" s="20">
        <v>7.7947363940056915</v>
      </c>
      <c r="I752" s="20">
        <v>0.79594793624743365</v>
      </c>
    </row>
    <row r="753" spans="1:9">
      <c r="A753" s="18">
        <v>931</v>
      </c>
      <c r="B753" s="20">
        <v>31.048252300070772</v>
      </c>
      <c r="C753" s="20">
        <v>25.048252300070772</v>
      </c>
      <c r="D753" s="20">
        <v>1148.5260563380282</v>
      </c>
      <c r="E753" s="20">
        <v>304.14284037558684</v>
      </c>
      <c r="F753" s="20">
        <v>53.629657745361328</v>
      </c>
      <c r="G753" s="20">
        <v>-39.78961181640625</v>
      </c>
      <c r="H753" s="20">
        <v>7.6740883080437285</v>
      </c>
      <c r="I753" s="20">
        <v>0.79219792082515228</v>
      </c>
    </row>
    <row r="754" spans="1:9">
      <c r="A754" s="18">
        <v>932</v>
      </c>
      <c r="B754" s="20">
        <v>31.081601658072998</v>
      </c>
      <c r="C754" s="20">
        <v>25.081601658072998</v>
      </c>
      <c r="D754" s="20">
        <v>1146.5409892770667</v>
      </c>
      <c r="E754" s="20">
        <v>298.46627464545139</v>
      </c>
      <c r="F754" s="20">
        <v>53.274761199951172</v>
      </c>
      <c r="G754" s="20">
        <v>-38.761074066162109</v>
      </c>
      <c r="H754" s="20">
        <v>7.7426863778237447</v>
      </c>
      <c r="I754" s="20">
        <v>0.77094872577215001</v>
      </c>
    </row>
    <row r="755" spans="1:9">
      <c r="A755" s="18">
        <v>933</v>
      </c>
      <c r="B755" s="20">
        <v>31.114951016075221</v>
      </c>
      <c r="C755" s="20">
        <v>25.114951016075221</v>
      </c>
      <c r="D755" s="20">
        <v>1146.1146834195613</v>
      </c>
      <c r="E755" s="20">
        <v>295.4125400344912</v>
      </c>
      <c r="F755" s="20">
        <v>53.199333190917969</v>
      </c>
      <c r="G755" s="20">
        <v>-38.208278656005859</v>
      </c>
      <c r="H755" s="20">
        <v>7.4908572080232423</v>
      </c>
      <c r="I755" s="20">
        <v>0.81899378974234349</v>
      </c>
    </row>
    <row r="756" spans="1:9">
      <c r="A756" s="18">
        <v>934</v>
      </c>
      <c r="B756" s="20">
        <v>31.148300374077444</v>
      </c>
      <c r="C756" s="20">
        <v>25.148300374077444</v>
      </c>
      <c r="D756" s="20">
        <v>1141.8983174835405</v>
      </c>
      <c r="E756" s="20">
        <v>292.14240429163618</v>
      </c>
      <c r="F756" s="20">
        <v>52.441776275634766</v>
      </c>
      <c r="G756" s="20">
        <v>-37.613662719726563</v>
      </c>
      <c r="H756" s="20">
        <v>7.5295128281067525</v>
      </c>
      <c r="I756" s="20">
        <v>0.81803437104677945</v>
      </c>
    </row>
    <row r="757" spans="1:9">
      <c r="A757" s="18">
        <v>935</v>
      </c>
      <c r="B757" s="20">
        <v>31.18164973207967</v>
      </c>
      <c r="C757" s="20">
        <v>25.18164973207967</v>
      </c>
      <c r="D757" s="20">
        <v>1140.500795691027</v>
      </c>
      <c r="E757" s="20">
        <v>291.09291222915903</v>
      </c>
      <c r="F757" s="20">
        <v>52.190689086914063</v>
      </c>
      <c r="G757" s="20">
        <v>-37.422817230224609</v>
      </c>
      <c r="H757" s="20">
        <v>7.5143504070248861</v>
      </c>
      <c r="I757" s="20">
        <v>0.83088132725098085</v>
      </c>
    </row>
    <row r="758" spans="1:9">
      <c r="A758" s="18">
        <v>936</v>
      </c>
      <c r="B758" s="20">
        <v>31.214999090081893</v>
      </c>
      <c r="C758" s="20">
        <v>25.214999090081893</v>
      </c>
      <c r="D758" s="20">
        <v>1130.8909815284317</v>
      </c>
      <c r="E758" s="20">
        <v>288.23711215743089</v>
      </c>
      <c r="F758" s="20">
        <v>50.462230682373047</v>
      </c>
      <c r="G758" s="20">
        <v>-36.899379730224609</v>
      </c>
      <c r="H758" s="20">
        <v>7.5666008654044363</v>
      </c>
      <c r="I758" s="20">
        <v>0.83283261194380742</v>
      </c>
    </row>
    <row r="759" spans="1:9">
      <c r="A759" s="18">
        <v>937</v>
      </c>
      <c r="B759" s="20">
        <v>31.248348448084119</v>
      </c>
      <c r="C759" s="20">
        <v>25.248348448084119</v>
      </c>
      <c r="D759" s="20">
        <v>1121.4957041464327</v>
      </c>
      <c r="E759" s="20">
        <v>287.07047690200471</v>
      </c>
      <c r="F759" s="20">
        <v>48.77178955078125</v>
      </c>
      <c r="G759" s="20">
        <v>-36.681671142578125</v>
      </c>
      <c r="H759" s="20">
        <v>7.450609606162975</v>
      </c>
      <c r="I759" s="20">
        <v>0.79986961829324721</v>
      </c>
    </row>
    <row r="760" spans="1:9">
      <c r="A760" s="18">
        <v>938</v>
      </c>
      <c r="B760" s="20">
        <v>31.281697806086342</v>
      </c>
      <c r="C760" s="20">
        <v>25.281697806086342</v>
      </c>
      <c r="D760" s="20">
        <v>1112.1893034825869</v>
      </c>
      <c r="E760" s="20">
        <v>285.63768656716417</v>
      </c>
      <c r="F760" s="20">
        <v>47.097606658935547</v>
      </c>
      <c r="G760" s="20">
        <v>-36.415912628173828</v>
      </c>
      <c r="H760" s="20">
        <v>7.4547832277802755</v>
      </c>
      <c r="I760" s="20">
        <v>0.83816419429132982</v>
      </c>
    </row>
    <row r="761" spans="1:9">
      <c r="A761" s="18">
        <v>939</v>
      </c>
      <c r="B761" s="20">
        <v>31.315047164088565</v>
      </c>
      <c r="C761" s="20">
        <v>25.315047164088565</v>
      </c>
      <c r="D761" s="20">
        <v>1108.1721221037146</v>
      </c>
      <c r="E761" s="20">
        <v>286.498222385681</v>
      </c>
      <c r="F761" s="20">
        <v>46.374229431152344</v>
      </c>
      <c r="G761" s="20">
        <v>-36.568698883056641</v>
      </c>
      <c r="H761" s="20">
        <v>7.5088292083315888</v>
      </c>
      <c r="I761" s="20">
        <v>0.8433759121206027</v>
      </c>
    </row>
    <row r="762" spans="1:9">
      <c r="A762" s="18">
        <v>940</v>
      </c>
      <c r="B762" s="20">
        <v>31.348396522090791</v>
      </c>
      <c r="C762" s="20">
        <v>25.348396522090791</v>
      </c>
      <c r="D762" s="20">
        <v>1105.1885595804365</v>
      </c>
      <c r="E762" s="20">
        <v>287.30686669105989</v>
      </c>
      <c r="F762" s="20">
        <v>45.836906433105469</v>
      </c>
      <c r="G762" s="20">
        <v>-36.71282958984375</v>
      </c>
      <c r="H762" s="20">
        <v>7.528135688117529</v>
      </c>
      <c r="I762" s="20">
        <v>0.86605447544163805</v>
      </c>
    </row>
    <row r="763" spans="1:9">
      <c r="A763" s="18">
        <v>941</v>
      </c>
      <c r="B763" s="20">
        <v>31.381745880093014</v>
      </c>
      <c r="C763" s="20">
        <v>25.381745880093014</v>
      </c>
      <c r="D763" s="20">
        <v>1101.0831512503034</v>
      </c>
      <c r="E763" s="20">
        <v>288.11446953143962</v>
      </c>
      <c r="F763" s="20">
        <v>45.097682952880859</v>
      </c>
      <c r="G763" s="20">
        <v>-36.855976104736328</v>
      </c>
      <c r="H763" s="20">
        <v>7.5460189045355959</v>
      </c>
      <c r="I763" s="20">
        <v>0.86297894970081312</v>
      </c>
    </row>
    <row r="764" spans="1:9">
      <c r="A764" s="18">
        <v>942</v>
      </c>
      <c r="B764" s="20">
        <v>31.41509523809524</v>
      </c>
      <c r="C764" s="20">
        <v>25.41509523809524</v>
      </c>
      <c r="D764" s="20">
        <v>1096.9258312020461</v>
      </c>
      <c r="E764" s="20">
        <v>288.89891608817436</v>
      </c>
      <c r="F764" s="20">
        <v>44.349143981933594</v>
      </c>
      <c r="G764" s="20">
        <v>-36.994899749755859</v>
      </c>
      <c r="H764" s="20">
        <v>7.5336427376382975</v>
      </c>
      <c r="I764" s="20">
        <v>0.86732202681440296</v>
      </c>
    </row>
    <row r="765" spans="1:9">
      <c r="A765" s="18">
        <v>943</v>
      </c>
      <c r="B765" s="20">
        <v>31.448444596097463</v>
      </c>
      <c r="C765" s="20">
        <v>25.448444596097463</v>
      </c>
      <c r="D765" s="20">
        <v>1092.2902266815311</v>
      </c>
      <c r="E765" s="20">
        <v>289.37619224575741</v>
      </c>
      <c r="F765" s="20">
        <v>43.514732360839844</v>
      </c>
      <c r="G765" s="20">
        <v>-37.077919006347656</v>
      </c>
      <c r="H765" s="20">
        <v>7.4700665567492237</v>
      </c>
      <c r="I765" s="20">
        <v>0.84860418952904293</v>
      </c>
    </row>
    <row r="766" spans="1:9">
      <c r="A766" s="18">
        <v>944</v>
      </c>
      <c r="B766" s="20">
        <v>31.481793954099686</v>
      </c>
      <c r="C766" s="20">
        <v>25.481793954099686</v>
      </c>
      <c r="D766" s="20">
        <v>1087.7663679362706</v>
      </c>
      <c r="E766" s="20">
        <v>289.5414488424197</v>
      </c>
      <c r="F766" s="20">
        <v>42.700584411621094</v>
      </c>
      <c r="G766" s="20">
        <v>-37.104583740234375</v>
      </c>
      <c r="H766" s="20">
        <v>7.4520010730919362</v>
      </c>
      <c r="I766" s="20">
        <v>0.85155786870611561</v>
      </c>
    </row>
    <row r="767" spans="1:9">
      <c r="A767" s="18">
        <v>945</v>
      </c>
      <c r="B767" s="20">
        <v>31.515143312101912</v>
      </c>
      <c r="C767" s="20">
        <v>25.515143312101912</v>
      </c>
      <c r="D767" s="20">
        <v>1080.661696969697</v>
      </c>
      <c r="E767" s="20">
        <v>289.63672727272728</v>
      </c>
      <c r="F767" s="20">
        <v>41.422130584716797</v>
      </c>
      <c r="G767" s="20">
        <v>-37.116752624511719</v>
      </c>
      <c r="H767" s="20">
        <v>7.5515129124745641</v>
      </c>
      <c r="I767" s="20">
        <v>0.83628939782133815</v>
      </c>
    </row>
    <row r="768" spans="1:9">
      <c r="A768" s="18">
        <v>946</v>
      </c>
      <c r="B768" s="20">
        <v>31.548492670104135</v>
      </c>
      <c r="C768" s="20">
        <v>25.548492670104135</v>
      </c>
      <c r="D768" s="20">
        <v>1074.9319154137636</v>
      </c>
      <c r="E768" s="20">
        <v>290.09607627429409</v>
      </c>
      <c r="F768" s="20">
        <v>40.390884399414063</v>
      </c>
      <c r="G768" s="20">
        <v>-37.195747375488281</v>
      </c>
      <c r="H768" s="20">
        <v>7.51986755197301</v>
      </c>
      <c r="I768" s="20">
        <v>0.81321433958244571</v>
      </c>
    </row>
    <row r="769" spans="1:9">
      <c r="A769" s="18">
        <v>947</v>
      </c>
      <c r="B769" s="20">
        <v>31.581842028106358</v>
      </c>
      <c r="C769" s="20">
        <v>25.581842028106358</v>
      </c>
      <c r="D769" s="20">
        <v>1071.5031215571062</v>
      </c>
      <c r="E769" s="20">
        <v>290.42465418043821</v>
      </c>
      <c r="F769" s="20">
        <v>39.773777008056641</v>
      </c>
      <c r="G769" s="20">
        <v>-37.252731323242188</v>
      </c>
      <c r="H769" s="20">
        <v>7.5143504070248861</v>
      </c>
      <c r="I769" s="20">
        <v>0.84870412218468705</v>
      </c>
    </row>
    <row r="770" spans="1:9">
      <c r="A770" s="18">
        <v>948</v>
      </c>
      <c r="B770" s="20">
        <v>31.615191386108584</v>
      </c>
      <c r="C770" s="20">
        <v>25.615191386108584</v>
      </c>
      <c r="D770" s="20">
        <v>1065.997427416391</v>
      </c>
      <c r="E770" s="20">
        <v>290.41247090530442</v>
      </c>
      <c r="F770" s="20">
        <v>38.783172607421875</v>
      </c>
      <c r="G770" s="20">
        <v>-37.246601104736328</v>
      </c>
      <c r="H770" s="20">
        <v>7.5115903149549048</v>
      </c>
      <c r="I770" s="20">
        <v>0.8480807625650143</v>
      </c>
    </row>
    <row r="771" spans="1:9">
      <c r="A771" s="18">
        <v>949</v>
      </c>
      <c r="B771" s="20">
        <v>31.648540744110807</v>
      </c>
      <c r="C771" s="20">
        <v>25.648540744110807</v>
      </c>
      <c r="D771" s="20">
        <v>1058.9171842650103</v>
      </c>
      <c r="E771" s="20">
        <v>290.35208866155159</v>
      </c>
      <c r="F771" s="20">
        <v>37.509361267089844</v>
      </c>
      <c r="G771" s="20">
        <v>-37.230632781982422</v>
      </c>
      <c r="H771" s="20">
        <v>7.5336427376382975</v>
      </c>
      <c r="I771" s="20">
        <v>0.85306764238735366</v>
      </c>
    </row>
    <row r="772" spans="1:9">
      <c r="A772" s="18">
        <v>950</v>
      </c>
      <c r="B772" s="20">
        <v>31.681890102113034</v>
      </c>
      <c r="C772" s="20">
        <v>25.681890102113034</v>
      </c>
      <c r="D772" s="20">
        <v>1055.1143766838109</v>
      </c>
      <c r="E772" s="20">
        <v>290.59625275532699</v>
      </c>
      <c r="F772" s="20">
        <v>36.825046539306641</v>
      </c>
      <c r="G772" s="20">
        <v>-37.272079467773438</v>
      </c>
      <c r="H772" s="20">
        <v>7.5129704877391674</v>
      </c>
      <c r="I772" s="20">
        <v>0.86979046048971975</v>
      </c>
    </row>
    <row r="773" spans="1:9">
      <c r="A773" s="18">
        <v>951</v>
      </c>
      <c r="B773" s="20">
        <v>31.715239460115257</v>
      </c>
      <c r="C773" s="20">
        <v>25.715239460115257</v>
      </c>
      <c r="D773" s="20">
        <v>1053.3254525304765</v>
      </c>
      <c r="E773" s="20">
        <v>291.73636251693137</v>
      </c>
      <c r="F773" s="20">
        <v>36.502521514892578</v>
      </c>
      <c r="G773" s="20">
        <v>-37.476993560791016</v>
      </c>
      <c r="H773" s="20">
        <v>7.4922412001289125</v>
      </c>
      <c r="I773" s="20">
        <v>0.86799865009831112</v>
      </c>
    </row>
    <row r="774" spans="1:9">
      <c r="A774" s="18">
        <v>952</v>
      </c>
      <c r="B774" s="20">
        <v>31.748588818117479</v>
      </c>
      <c r="C774" s="20">
        <v>25.748588818117479</v>
      </c>
      <c r="D774" s="20">
        <v>1048.7946065755448</v>
      </c>
      <c r="E774" s="20">
        <v>292.35500554118948</v>
      </c>
      <c r="F774" s="20">
        <v>35.687015533447266</v>
      </c>
      <c r="G774" s="20">
        <v>-37.585643768310547</v>
      </c>
      <c r="H774" s="20">
        <v>7.4922412001289125</v>
      </c>
      <c r="I774" s="20">
        <v>0.86201159089104273</v>
      </c>
    </row>
    <row r="775" spans="1:9">
      <c r="A775" s="18">
        <v>953</v>
      </c>
      <c r="B775" s="20">
        <v>31.781938176119706</v>
      </c>
      <c r="C775" s="20">
        <v>25.781938176119706</v>
      </c>
      <c r="D775" s="20">
        <v>1039.7968788100463</v>
      </c>
      <c r="E775" s="20">
        <v>291.79602535966836</v>
      </c>
      <c r="F775" s="20">
        <v>34.068683624267578</v>
      </c>
      <c r="G775" s="20">
        <v>-37.478130340576172</v>
      </c>
      <c r="H775" s="20">
        <v>7.5295128281067525</v>
      </c>
      <c r="I775" s="20">
        <v>0.83142371543126004</v>
      </c>
    </row>
    <row r="776" spans="1:9">
      <c r="A776" s="18">
        <v>954</v>
      </c>
      <c r="B776" s="20">
        <v>31.815287534121929</v>
      </c>
      <c r="C776" s="20">
        <v>25.815287534121929</v>
      </c>
      <c r="D776" s="20">
        <v>1034.3447094801222</v>
      </c>
      <c r="E776" s="20">
        <v>292.44379204892965</v>
      </c>
      <c r="F776" s="20">
        <v>33.087486267089844</v>
      </c>
      <c r="G776" s="20">
        <v>-37.591381072998047</v>
      </c>
      <c r="H776" s="20">
        <v>7.517109485659085</v>
      </c>
      <c r="I776" s="20">
        <v>0.82589610300450966</v>
      </c>
    </row>
    <row r="777" spans="1:9">
      <c r="A777" s="18">
        <v>955</v>
      </c>
      <c r="B777" s="20">
        <v>31.848636892124155</v>
      </c>
      <c r="C777" s="20">
        <v>25.848636892124155</v>
      </c>
      <c r="D777" s="20">
        <v>1030.9474969474968</v>
      </c>
      <c r="E777" s="20">
        <v>293.06727716727715</v>
      </c>
      <c r="F777" s="20">
        <v>32.475975036621094</v>
      </c>
      <c r="G777" s="20">
        <v>-37.701713562011719</v>
      </c>
      <c r="H777" s="20">
        <v>7.5240027557785139</v>
      </c>
      <c r="I777" s="20">
        <v>0.83986024211367649</v>
      </c>
    </row>
    <row r="778" spans="1:9">
      <c r="A778" s="18">
        <v>956</v>
      </c>
      <c r="B778" s="20">
        <v>31.881986250126378</v>
      </c>
      <c r="C778" s="20">
        <v>25.881986250126378</v>
      </c>
      <c r="D778" s="20">
        <v>1023.3327294685989</v>
      </c>
      <c r="E778" s="20">
        <v>292.18115942028987</v>
      </c>
      <c r="F778" s="20">
        <v>31.106786727905273</v>
      </c>
      <c r="G778" s="20">
        <v>-37.536026000976563</v>
      </c>
      <c r="H778" s="20">
        <v>7.5652304767550733</v>
      </c>
      <c r="I778" s="20">
        <v>0.84335225574171313</v>
      </c>
    </row>
    <row r="779" spans="1:9">
      <c r="A779" s="18">
        <v>957</v>
      </c>
      <c r="B779" s="20">
        <v>31.915335608128601</v>
      </c>
      <c r="C779" s="20">
        <v>25.915335608128601</v>
      </c>
      <c r="D779" s="20">
        <v>1022.0647153266641</v>
      </c>
      <c r="E779" s="20">
        <v>293.25330369272569</v>
      </c>
      <c r="F779" s="20">
        <v>30.878007888793945</v>
      </c>
      <c r="G779" s="20">
        <v>-37.72900390625</v>
      </c>
      <c r="H779" s="20">
        <v>7.4811620943263994</v>
      </c>
      <c r="I779" s="20">
        <v>0.83717233792331991</v>
      </c>
    </row>
    <row r="780" spans="1:9">
      <c r="A780" s="18">
        <v>958</v>
      </c>
      <c r="B780" s="20">
        <v>31.948684966130827</v>
      </c>
      <c r="C780" s="20">
        <v>25.948684966130827</v>
      </c>
      <c r="D780" s="20">
        <v>1016.5822368421053</v>
      </c>
      <c r="E780" s="20">
        <v>293.98391812865498</v>
      </c>
      <c r="F780" s="20">
        <v>29.891374588012695</v>
      </c>
      <c r="G780" s="20">
        <v>-37.857212066650391</v>
      </c>
      <c r="H780" s="20">
        <v>7.5322663527290965</v>
      </c>
      <c r="I780" s="20">
        <v>0.8890580100065022</v>
      </c>
    </row>
    <row r="781" spans="1:9">
      <c r="A781" s="18">
        <v>959</v>
      </c>
      <c r="B781" s="20">
        <v>31.98203432413305</v>
      </c>
      <c r="C781" s="20">
        <v>25.98203432413305</v>
      </c>
      <c r="D781" s="20">
        <v>1012.0999516557891</v>
      </c>
      <c r="E781" s="20">
        <v>293.51196519216825</v>
      </c>
      <c r="F781" s="20">
        <v>29.085475921630859</v>
      </c>
      <c r="G781" s="20">
        <v>-37.768661499023438</v>
      </c>
      <c r="H781" s="20">
        <v>7.5624889544774243</v>
      </c>
      <c r="I781" s="20">
        <v>0.87097243636616228</v>
      </c>
    </row>
    <row r="782" spans="1:9">
      <c r="A782" s="18">
        <v>960</v>
      </c>
      <c r="B782" s="20">
        <v>32.015383682135273</v>
      </c>
      <c r="C782" s="20">
        <v>26.015383682135273</v>
      </c>
      <c r="D782" s="20">
        <v>1007.1246483180428</v>
      </c>
      <c r="E782" s="20">
        <v>294.18948012232414</v>
      </c>
      <c r="F782" s="20">
        <v>28.190139770507813</v>
      </c>
      <c r="G782" s="20">
        <v>-37.887626647949219</v>
      </c>
      <c r="H782" s="20">
        <v>7.517109485659085</v>
      </c>
      <c r="I782" s="20">
        <v>0.8534477435507164</v>
      </c>
    </row>
    <row r="783" spans="1:9">
      <c r="A783" s="18">
        <v>961</v>
      </c>
      <c r="B783" s="20">
        <v>32.048733040137499</v>
      </c>
      <c r="C783" s="20">
        <v>26.048733040137499</v>
      </c>
      <c r="D783" s="20">
        <v>999.790348591986</v>
      </c>
      <c r="E783" s="20">
        <v>294.11599057188931</v>
      </c>
      <c r="F783" s="20">
        <v>26.871068954467773</v>
      </c>
      <c r="G783" s="20">
        <v>-37.869094848632813</v>
      </c>
      <c r="H783" s="20">
        <v>7.4645126031511078</v>
      </c>
      <c r="I783" s="20">
        <v>0.81051112672926162</v>
      </c>
    </row>
    <row r="784" spans="1:9">
      <c r="A784" s="18">
        <v>962</v>
      </c>
      <c r="B784" s="20">
        <v>32.082082398139725</v>
      </c>
      <c r="C784" s="20">
        <v>26.082082398139725</v>
      </c>
      <c r="D784" s="20">
        <v>993.97546468401492</v>
      </c>
      <c r="E784" s="20">
        <v>293.79789343246591</v>
      </c>
      <c r="F784" s="20">
        <v>25.825489044189453</v>
      </c>
      <c r="G784" s="20">
        <v>-37.807418823242188</v>
      </c>
      <c r="H784" s="20">
        <v>7.4686784555467254</v>
      </c>
      <c r="I784" s="20">
        <v>0.81415125170578884</v>
      </c>
    </row>
    <row r="785" spans="1:9">
      <c r="A785" s="18">
        <v>963</v>
      </c>
      <c r="B785" s="20">
        <v>32.115431756141945</v>
      </c>
      <c r="C785" s="20">
        <v>26.115431756141945</v>
      </c>
      <c r="D785" s="20">
        <v>989.02211514702242</v>
      </c>
      <c r="E785" s="20">
        <v>293.67815665925377</v>
      </c>
      <c r="F785" s="20">
        <v>24.934745788574219</v>
      </c>
      <c r="G785" s="20">
        <v>-37.782230377197266</v>
      </c>
      <c r="H785" s="20">
        <v>7.4797760522405206</v>
      </c>
      <c r="I785" s="20">
        <v>0.83401603407294633</v>
      </c>
    </row>
    <row r="786" spans="1:9">
      <c r="A786" s="18">
        <v>964</v>
      </c>
      <c r="B786" s="20">
        <v>32.148781114144171</v>
      </c>
      <c r="C786" s="20">
        <v>26.148781114144171</v>
      </c>
      <c r="D786" s="20">
        <v>981.0314787701318</v>
      </c>
      <c r="E786" s="20">
        <v>293.15385553928741</v>
      </c>
      <c r="F786" s="20">
        <v>23.498132705688477</v>
      </c>
      <c r="G786" s="20">
        <v>-37.681720733642578</v>
      </c>
      <c r="H786" s="20">
        <v>7.5267582961586736</v>
      </c>
      <c r="I786" s="20">
        <v>0.87298587590702925</v>
      </c>
    </row>
    <row r="787" spans="1:9">
      <c r="A787" s="18">
        <v>965</v>
      </c>
      <c r="B787" s="20">
        <v>32.182130472146397</v>
      </c>
      <c r="C787" s="20">
        <v>26.182130472146397</v>
      </c>
      <c r="D787" s="20">
        <v>976.93805309734512</v>
      </c>
      <c r="E787" s="20">
        <v>293.70685840707966</v>
      </c>
      <c r="F787" s="20">
        <v>22.761615753173828</v>
      </c>
      <c r="G787" s="20">
        <v>-37.778785705566406</v>
      </c>
      <c r="H787" s="20">
        <v>7.4991573293594787</v>
      </c>
      <c r="I787" s="20">
        <v>0.86659504806273502</v>
      </c>
    </row>
    <row r="788" spans="1:9">
      <c r="A788" s="18">
        <v>966</v>
      </c>
      <c r="B788" s="20">
        <v>32.215479830148624</v>
      </c>
      <c r="C788" s="20">
        <v>26.215479830148624</v>
      </c>
      <c r="D788" s="20">
        <v>974.59970834852356</v>
      </c>
      <c r="E788" s="20">
        <v>294.77105359095879</v>
      </c>
      <c r="F788" s="20">
        <v>22.340349197387695</v>
      </c>
      <c r="G788" s="20">
        <v>-37.969539642333984</v>
      </c>
      <c r="H788" s="20">
        <v>7.5418957721426034</v>
      </c>
      <c r="I788" s="20">
        <v>0.84504774892590873</v>
      </c>
    </row>
    <row r="789" spans="1:9">
      <c r="A789" s="18">
        <v>967</v>
      </c>
      <c r="B789" s="20">
        <v>32.248829188150843</v>
      </c>
      <c r="C789" s="20">
        <v>26.248829188150843</v>
      </c>
      <c r="D789" s="20">
        <v>969.00344149459181</v>
      </c>
      <c r="E789" s="20">
        <v>294.78195673549652</v>
      </c>
      <c r="F789" s="20">
        <v>21.333999633789063</v>
      </c>
      <c r="G789" s="20">
        <v>-37.967510223388672</v>
      </c>
      <c r="H789" s="20">
        <v>7.4991573293594787</v>
      </c>
      <c r="I789" s="20">
        <v>0.87692589484523387</v>
      </c>
    </row>
    <row r="790" spans="1:9">
      <c r="A790" s="18">
        <v>968</v>
      </c>
      <c r="B790" s="20">
        <v>32.282178546153069</v>
      </c>
      <c r="C790" s="20">
        <v>26.282178546153069</v>
      </c>
      <c r="D790" s="20">
        <v>963.11710380495015</v>
      </c>
      <c r="E790" s="20">
        <v>294.79731560152686</v>
      </c>
      <c r="F790" s="20">
        <v>20.275539398193359</v>
      </c>
      <c r="G790" s="20">
        <v>-37.966075897216797</v>
      </c>
      <c r="H790" s="20">
        <v>7.4922412001289125</v>
      </c>
      <c r="I790" s="20">
        <v>0.83965376760223298</v>
      </c>
    </row>
    <row r="791" spans="1:9">
      <c r="A791" s="18">
        <v>969</v>
      </c>
      <c r="B791" s="20">
        <v>32.315527904155296</v>
      </c>
      <c r="C791" s="20">
        <v>26.315527904155296</v>
      </c>
      <c r="D791" s="20">
        <v>956.89889010854972</v>
      </c>
      <c r="E791" s="20">
        <v>294.80156116599585</v>
      </c>
      <c r="F791" s="20">
        <v>19.157436370849609</v>
      </c>
      <c r="G791" s="20">
        <v>-37.96240234375</v>
      </c>
      <c r="H791" s="20">
        <v>7.528135688117529</v>
      </c>
      <c r="I791" s="20">
        <v>0.83393267394411452</v>
      </c>
    </row>
    <row r="792" spans="1:9">
      <c r="A792" s="18">
        <v>970</v>
      </c>
      <c r="B792" s="20">
        <v>32.348877262157515</v>
      </c>
      <c r="C792" s="20">
        <v>26.348877262157515</v>
      </c>
      <c r="D792" s="20">
        <v>955.12886597938143</v>
      </c>
      <c r="E792" s="20">
        <v>294.85395189003435</v>
      </c>
      <c r="F792" s="20">
        <v>18.839139938354492</v>
      </c>
      <c r="G792" s="20">
        <v>-37.970607757568359</v>
      </c>
      <c r="H792" s="20">
        <v>7.5046856436593981</v>
      </c>
      <c r="I792" s="20">
        <v>0.83555326511914596</v>
      </c>
    </row>
    <row r="793" spans="1:9">
      <c r="A793" s="18">
        <v>971</v>
      </c>
      <c r="B793" s="20">
        <v>32.382226620159742</v>
      </c>
      <c r="C793" s="20">
        <v>26.382226620159742</v>
      </c>
      <c r="D793" s="20">
        <v>951.34457478005868</v>
      </c>
      <c r="E793" s="20">
        <v>295.1269550342131</v>
      </c>
      <c r="F793" s="20">
        <v>18.158515930175781</v>
      </c>
      <c r="G793" s="20">
        <v>-38.017261505126953</v>
      </c>
      <c r="H793" s="20">
        <v>7.5212462058579037</v>
      </c>
      <c r="I793" s="20">
        <v>0.85317609461382582</v>
      </c>
    </row>
    <row r="794" spans="1:9">
      <c r="A794" s="18">
        <v>972</v>
      </c>
      <c r="B794" s="20">
        <v>32.415575978161968</v>
      </c>
      <c r="C794" s="20">
        <v>26.415575978161968</v>
      </c>
      <c r="D794" s="20">
        <v>943.90733452593918</v>
      </c>
      <c r="E794" s="20">
        <v>295.33249850924267</v>
      </c>
      <c r="F794" s="20">
        <v>16.821168899536133</v>
      </c>
      <c r="G794" s="20">
        <v>-38.049106597900391</v>
      </c>
      <c r="H794" s="20">
        <v>7.613047307974762</v>
      </c>
      <c r="I794" s="20">
        <v>0.83744729679115681</v>
      </c>
    </row>
    <row r="795" spans="1:9">
      <c r="A795" s="18">
        <v>973</v>
      </c>
      <c r="B795" s="20">
        <v>32.448925336164187</v>
      </c>
      <c r="C795" s="20">
        <v>26.448925336164187</v>
      </c>
      <c r="D795" s="20">
        <v>937.14924104432293</v>
      </c>
      <c r="E795" s="20">
        <v>295.55895567698843</v>
      </c>
      <c r="F795" s="20">
        <v>15.605958938598633</v>
      </c>
      <c r="G795" s="20">
        <v>-38.085216522216797</v>
      </c>
      <c r="H795" s="20">
        <v>7.5446447774360612</v>
      </c>
      <c r="I795" s="20">
        <v>0.83195772577885463</v>
      </c>
    </row>
    <row r="796" spans="1:9">
      <c r="A796" s="18">
        <v>974</v>
      </c>
      <c r="B796" s="20">
        <v>32.482274694166414</v>
      </c>
      <c r="C796" s="20">
        <v>26.482274694166414</v>
      </c>
      <c r="D796" s="20">
        <v>935.19601409648794</v>
      </c>
      <c r="E796" s="20">
        <v>295.74808603718554</v>
      </c>
      <c r="F796" s="20">
        <v>15.254645347595215</v>
      </c>
      <c r="G796" s="20">
        <v>-38.118011474609375</v>
      </c>
      <c r="H796" s="20">
        <v>7.5418957721426034</v>
      </c>
      <c r="I796" s="20">
        <v>0.8549377198170347</v>
      </c>
    </row>
    <row r="797" spans="1:9">
      <c r="A797" s="18">
        <v>975</v>
      </c>
      <c r="B797" s="20">
        <v>32.51562405216864</v>
      </c>
      <c r="C797" s="20">
        <v>26.51562405216864</v>
      </c>
      <c r="D797" s="20">
        <v>934.08547322083643</v>
      </c>
      <c r="E797" s="20">
        <v>295.7948153582783</v>
      </c>
      <c r="F797" s="20">
        <v>15.054953575134277</v>
      </c>
      <c r="G797" s="20">
        <v>-38.12567138671875</v>
      </c>
      <c r="H797" s="20">
        <v>7.5184886452864435</v>
      </c>
      <c r="I797" s="20">
        <v>0.84267150351628284</v>
      </c>
    </row>
    <row r="798" spans="1:9">
      <c r="A798" s="18">
        <v>976</v>
      </c>
      <c r="B798" s="20">
        <v>32.548973410170866</v>
      </c>
      <c r="C798" s="20">
        <v>26.548973410170866</v>
      </c>
      <c r="D798" s="20">
        <v>924.81481481481478</v>
      </c>
      <c r="E798" s="20">
        <v>296.48051948051949</v>
      </c>
      <c r="F798" s="20">
        <v>13.387752532958984</v>
      </c>
      <c r="G798" s="20">
        <v>-38.243007659912109</v>
      </c>
      <c r="H798" s="20">
        <v>7.5816587924680601</v>
      </c>
      <c r="I798" s="20">
        <v>0.83731643987449889</v>
      </c>
    </row>
    <row r="799" spans="1:9">
      <c r="A799" s="18">
        <v>977</v>
      </c>
      <c r="B799" s="20">
        <v>32.582322768173086</v>
      </c>
      <c r="C799" s="20">
        <v>26.582322768173086</v>
      </c>
      <c r="D799" s="20">
        <v>921.27362253802039</v>
      </c>
      <c r="E799" s="20">
        <v>296.90488656195458</v>
      </c>
      <c r="F799" s="20">
        <v>12.750800132751465</v>
      </c>
      <c r="G799" s="20">
        <v>-38.317192077636719</v>
      </c>
      <c r="H799" s="20">
        <v>7.4464336452896633</v>
      </c>
      <c r="I799" s="20">
        <v>0.84614976778688955</v>
      </c>
    </row>
    <row r="800" spans="1:9">
      <c r="A800" s="18">
        <v>978</v>
      </c>
      <c r="B800" s="20">
        <v>32.615672126175312</v>
      </c>
      <c r="C800" s="20">
        <v>26.615672126175312</v>
      </c>
      <c r="D800" s="20">
        <v>919.64290022921932</v>
      </c>
      <c r="E800" s="20">
        <v>296.98045602605862</v>
      </c>
      <c r="F800" s="20">
        <v>12.457582473754883</v>
      </c>
      <c r="G800" s="20">
        <v>-38.329692840576172</v>
      </c>
      <c r="H800" s="20">
        <v>7.5693408983986119</v>
      </c>
      <c r="I800" s="20">
        <v>0.79797923205738086</v>
      </c>
    </row>
    <row r="801" spans="1:9">
      <c r="A801" s="18">
        <v>979</v>
      </c>
      <c r="B801" s="20">
        <v>32.649021484177538</v>
      </c>
      <c r="C801" s="20">
        <v>26.649021484177538</v>
      </c>
      <c r="D801" s="20">
        <v>912.52262633537384</v>
      </c>
      <c r="E801" s="20">
        <v>297.25363101668466</v>
      </c>
      <c r="F801" s="20">
        <v>11.177394866943359</v>
      </c>
      <c r="G801" s="20">
        <v>-38.373981475830078</v>
      </c>
      <c r="H801" s="20">
        <v>7.5884934272215778</v>
      </c>
      <c r="I801" s="20">
        <v>0.79308869328383214</v>
      </c>
    </row>
    <row r="802" spans="1:9">
      <c r="A802" s="18">
        <v>980</v>
      </c>
      <c r="B802" s="20">
        <v>32.682370842179758</v>
      </c>
      <c r="C802" s="20">
        <v>26.682370842179758</v>
      </c>
      <c r="D802" s="20">
        <v>906.44684750733143</v>
      </c>
      <c r="E802" s="20">
        <v>296.43084066471158</v>
      </c>
      <c r="F802" s="20">
        <v>10.08592700958252</v>
      </c>
      <c r="G802" s="20">
        <v>-38.220882415771484</v>
      </c>
      <c r="H802" s="20">
        <v>7.5212462058579037</v>
      </c>
      <c r="I802" s="20">
        <v>0.80698604378000438</v>
      </c>
    </row>
    <row r="803" spans="1:9">
      <c r="A803" s="18">
        <v>981</v>
      </c>
      <c r="B803" s="20">
        <v>32.715720200181984</v>
      </c>
      <c r="C803" s="20">
        <v>26.715720200181984</v>
      </c>
      <c r="D803" s="20">
        <v>902.94903381642496</v>
      </c>
      <c r="E803" s="20">
        <v>296.06980676328499</v>
      </c>
      <c r="F803" s="20">
        <v>9.4575071334838867</v>
      </c>
      <c r="G803" s="20">
        <v>-38.153106689453125</v>
      </c>
      <c r="H803" s="20">
        <v>7.5652304767550733</v>
      </c>
      <c r="I803" s="20">
        <v>0.82031045721231277</v>
      </c>
    </row>
    <row r="804" spans="1:9">
      <c r="A804" s="18">
        <v>982</v>
      </c>
      <c r="B804" s="20">
        <v>32.74906955818421</v>
      </c>
      <c r="C804" s="20">
        <v>26.74906955818421</v>
      </c>
      <c r="D804" s="20">
        <v>896.35469466570112</v>
      </c>
      <c r="E804" s="20">
        <v>296.86000482741974</v>
      </c>
      <c r="F804" s="20">
        <v>8.2715291976928711</v>
      </c>
      <c r="G804" s="20">
        <v>-38.291244506835938</v>
      </c>
      <c r="H804" s="20">
        <v>7.5679710059073653</v>
      </c>
      <c r="I804" s="20">
        <v>0.83033997123736913</v>
      </c>
    </row>
    <row r="805" spans="1:9">
      <c r="A805" s="18">
        <v>983</v>
      </c>
      <c r="B805" s="20">
        <v>32.78241891618643</v>
      </c>
      <c r="C805" s="20">
        <v>26.78241891618643</v>
      </c>
      <c r="D805" s="20">
        <v>891.18253391472854</v>
      </c>
      <c r="E805" s="20">
        <v>297.06770833333331</v>
      </c>
      <c r="F805" s="20">
        <v>7.3417196273803711</v>
      </c>
      <c r="G805" s="20">
        <v>-38.325092315673828</v>
      </c>
      <c r="H805" s="20">
        <v>7.5542584180779002</v>
      </c>
      <c r="I805" s="20">
        <v>0.81408562507932702</v>
      </c>
    </row>
    <row r="806" spans="1:9">
      <c r="A806" s="18">
        <v>984</v>
      </c>
      <c r="B806" s="20">
        <v>32.815768274188656</v>
      </c>
      <c r="C806" s="20">
        <v>26.815768274188656</v>
      </c>
      <c r="D806" s="20">
        <v>882.94668605355616</v>
      </c>
      <c r="E806" s="20">
        <v>296.4877014418999</v>
      </c>
      <c r="F806" s="20">
        <v>5.8619990348815918</v>
      </c>
      <c r="G806" s="20">
        <v>-38.214344024658203</v>
      </c>
      <c r="H806" s="20">
        <v>7.5528857900265809</v>
      </c>
      <c r="I806" s="20">
        <v>0.82037134147095991</v>
      </c>
    </row>
    <row r="807" spans="1:9">
      <c r="A807" s="18">
        <v>985</v>
      </c>
      <c r="B807" s="20">
        <v>32.849117632190882</v>
      </c>
      <c r="C807" s="20">
        <v>26.849117632190882</v>
      </c>
      <c r="D807" s="20">
        <v>880.22339489885655</v>
      </c>
      <c r="E807" s="20">
        <v>295.73011684885034</v>
      </c>
      <c r="F807" s="20">
        <v>5.3732295036315918</v>
      </c>
      <c r="G807" s="20">
        <v>-38.075447082519531</v>
      </c>
      <c r="H807" s="20">
        <v>7.4171360878359982</v>
      </c>
      <c r="I807" s="20">
        <v>0.83256806049840948</v>
      </c>
    </row>
    <row r="808" spans="1:9">
      <c r="A808" s="18">
        <v>986</v>
      </c>
      <c r="B808" s="20">
        <v>32.882466990193109</v>
      </c>
      <c r="C808" s="20">
        <v>26.882466990193109</v>
      </c>
      <c r="D808" s="20">
        <v>877.87648426980036</v>
      </c>
      <c r="E808" s="20">
        <v>295.23491247398704</v>
      </c>
      <c r="F808" s="20">
        <v>4.9518861770629883</v>
      </c>
      <c r="G808" s="20">
        <v>-37.984260559082031</v>
      </c>
      <c r="H808" s="20">
        <v>7.5143504070248861</v>
      </c>
      <c r="I808" s="20">
        <v>0.82137022630583523</v>
      </c>
    </row>
    <row r="809" spans="1:9">
      <c r="A809" s="18">
        <v>987</v>
      </c>
      <c r="B809" s="20">
        <v>32.915816348195328</v>
      </c>
      <c r="C809" s="20">
        <v>26.915816348195328</v>
      </c>
      <c r="D809" s="20">
        <v>869.96882065928833</v>
      </c>
      <c r="E809" s="20">
        <v>295.38569558491014</v>
      </c>
      <c r="F809" s="20">
        <v>3.5306389331817627</v>
      </c>
      <c r="G809" s="20">
        <v>-38.005859375</v>
      </c>
      <c r="H809" s="20">
        <v>7.6212143555311451</v>
      </c>
      <c r="I809" s="20">
        <v>0.79473409507845638</v>
      </c>
    </row>
    <row r="810" spans="1:9">
      <c r="A810" s="18">
        <v>988</v>
      </c>
      <c r="B810" s="20">
        <v>32.949165706197554</v>
      </c>
      <c r="C810" s="20">
        <v>26.949165706197554</v>
      </c>
      <c r="D810" s="20">
        <v>861.51257746992349</v>
      </c>
      <c r="E810" s="20">
        <v>295.70676874468342</v>
      </c>
      <c r="F810" s="20">
        <v>2.0107197761535645</v>
      </c>
      <c r="G810" s="20">
        <v>-38.057849884033203</v>
      </c>
      <c r="H810" s="20">
        <v>7.5418957721426034</v>
      </c>
      <c r="I810" s="20">
        <v>0.78337857010239476</v>
      </c>
    </row>
    <row r="811" spans="1:9">
      <c r="A811" s="18">
        <v>989</v>
      </c>
      <c r="B811" s="20">
        <v>32.982515064199781</v>
      </c>
      <c r="C811" s="20">
        <v>26.982515064199781</v>
      </c>
      <c r="D811" s="20">
        <v>858.07043467553251</v>
      </c>
      <c r="E811" s="20">
        <v>294.97808151705453</v>
      </c>
      <c r="F811" s="20">
        <v>1.3928533792495728</v>
      </c>
      <c r="G811" s="20">
        <v>-37.923679351806641</v>
      </c>
      <c r="H811" s="20">
        <v>7.4922412001289125</v>
      </c>
      <c r="I811" s="20">
        <v>0.81267497096625341</v>
      </c>
    </row>
    <row r="812" spans="1:9">
      <c r="A812" s="18">
        <v>990</v>
      </c>
      <c r="B812" s="20">
        <v>33.015864422202</v>
      </c>
      <c r="C812" s="20">
        <v>27.015864422202</v>
      </c>
      <c r="D812" s="20">
        <v>855.34658811978386</v>
      </c>
      <c r="E812" s="20">
        <v>294.55216003927342</v>
      </c>
      <c r="F812" s="20">
        <v>0.90378987789154053</v>
      </c>
      <c r="G812" s="20">
        <v>-37.844745635986328</v>
      </c>
      <c r="H812" s="20">
        <v>7.5046856436593981</v>
      </c>
      <c r="I812" s="20">
        <v>0.79437963661207611</v>
      </c>
    </row>
    <row r="813" spans="1:9">
      <c r="A813" s="18">
        <v>991</v>
      </c>
      <c r="B813" s="20">
        <v>33.049213780204227</v>
      </c>
      <c r="C813" s="20">
        <v>27.049213780204227</v>
      </c>
      <c r="D813" s="20">
        <v>852.52968036529671</v>
      </c>
      <c r="E813" s="20">
        <v>294.01024311983213</v>
      </c>
      <c r="F813" s="20">
        <v>0.398133784532547</v>
      </c>
      <c r="G813" s="20">
        <v>-37.744789123535156</v>
      </c>
      <c r="H813" s="20">
        <v>7.4839334084034252</v>
      </c>
      <c r="I813" s="20">
        <v>0.78891009565355608</v>
      </c>
    </row>
    <row r="814" spans="1:9">
      <c r="A814" s="18">
        <v>992</v>
      </c>
      <c r="B814" s="20">
        <v>33.082563138206453</v>
      </c>
      <c r="C814" s="20">
        <v>27.082563138206453</v>
      </c>
      <c r="D814" s="20">
        <v>840.43225030084227</v>
      </c>
      <c r="E814" s="20">
        <v>295.41720818291213</v>
      </c>
      <c r="F814" s="20">
        <v>-1.776887059211731</v>
      </c>
      <c r="G814" s="20">
        <v>-37.990444183349609</v>
      </c>
      <c r="H814" s="20">
        <v>7.5789232128038808</v>
      </c>
      <c r="I814" s="20">
        <v>0.79368414056773073</v>
      </c>
    </row>
    <row r="815" spans="1:9">
      <c r="A815" s="18">
        <v>993</v>
      </c>
      <c r="B815" s="20">
        <v>33.115912496208672</v>
      </c>
      <c r="C815" s="20">
        <v>27.115912496208672</v>
      </c>
      <c r="D815" s="20">
        <v>830.51514050387595</v>
      </c>
      <c r="E815" s="20">
        <v>296.11131298449612</v>
      </c>
      <c r="F815" s="20">
        <v>-3.5593786239624023</v>
      </c>
      <c r="G815" s="20">
        <v>-38.108810424804688</v>
      </c>
      <c r="H815" s="20">
        <v>7.5542584180779002</v>
      </c>
      <c r="I815" s="20">
        <v>0.74423120846438384</v>
      </c>
    </row>
    <row r="816" spans="1:9">
      <c r="A816" s="18">
        <v>994</v>
      </c>
      <c r="B816" s="20">
        <v>33.149261854210899</v>
      </c>
      <c r="C816" s="20">
        <v>27.149261854210899</v>
      </c>
      <c r="D816" s="20">
        <v>826.11385658914719</v>
      </c>
      <c r="E816" s="20">
        <v>295.69452519379843</v>
      </c>
      <c r="F816" s="20">
        <v>-4.3497209548950195</v>
      </c>
      <c r="G816" s="20">
        <v>-38.030330657958984</v>
      </c>
      <c r="H816" s="20">
        <v>7.5542584180779002</v>
      </c>
      <c r="I816" s="20">
        <v>0.73292121810497479</v>
      </c>
    </row>
    <row r="817" spans="1:9">
      <c r="A817" s="18">
        <v>995</v>
      </c>
      <c r="B817" s="20">
        <v>33.182611212213125</v>
      </c>
      <c r="C817" s="20">
        <v>27.182611212213125</v>
      </c>
      <c r="D817" s="20">
        <v>822.93103021297657</v>
      </c>
      <c r="E817" s="20">
        <v>295.38967310549776</v>
      </c>
      <c r="F817" s="20">
        <v>-4.9212355613708496</v>
      </c>
      <c r="G817" s="20">
        <v>-37.97296142578125</v>
      </c>
      <c r="H817" s="20">
        <v>7.4714544000601757</v>
      </c>
      <c r="I817" s="20">
        <v>0.76777254842760534</v>
      </c>
    </row>
    <row r="818" spans="1:9">
      <c r="A818" s="18">
        <v>996</v>
      </c>
      <c r="B818" s="20">
        <v>33.215960570215351</v>
      </c>
      <c r="C818" s="20">
        <v>27.215960570215351</v>
      </c>
      <c r="D818" s="20">
        <v>818.47285660801197</v>
      </c>
      <c r="E818" s="20">
        <v>295.31086983651562</v>
      </c>
      <c r="F818" s="20">
        <v>-5.7220873832702637</v>
      </c>
      <c r="G818" s="20">
        <v>-37.955535888671875</v>
      </c>
      <c r="H818" s="20">
        <v>7.4422553412225643</v>
      </c>
      <c r="I818" s="20">
        <v>0.76428001472239304</v>
      </c>
    </row>
    <row r="819" spans="1:9">
      <c r="A819" s="18">
        <v>997</v>
      </c>
      <c r="B819" s="20">
        <v>33.249309928217571</v>
      </c>
      <c r="C819" s="20">
        <v>27.249309928217571</v>
      </c>
      <c r="D819" s="20">
        <v>813.08029197080293</v>
      </c>
      <c r="E819" s="20">
        <v>294.88576642335767</v>
      </c>
      <c r="F819" s="20">
        <v>-6.6904129981994629</v>
      </c>
      <c r="G819" s="20">
        <v>-37.874855041503906</v>
      </c>
      <c r="H819" s="20">
        <v>7.53777038441185</v>
      </c>
      <c r="I819" s="20">
        <v>0.74098601424142863</v>
      </c>
    </row>
    <row r="820" spans="1:9">
      <c r="A820" s="18">
        <v>998</v>
      </c>
      <c r="B820" s="20">
        <v>33.282659286219797</v>
      </c>
      <c r="C820" s="20">
        <v>27.282659286219797</v>
      </c>
      <c r="D820" s="20">
        <v>807.25196367206661</v>
      </c>
      <c r="E820" s="20">
        <v>294.74840451644576</v>
      </c>
      <c r="F820" s="20">
        <v>-7.7372875213623047</v>
      </c>
      <c r="G820" s="20">
        <v>-37.845867156982422</v>
      </c>
      <c r="H820" s="20">
        <v>7.5046856436593981</v>
      </c>
      <c r="I820" s="20">
        <v>0.7660424342384019</v>
      </c>
    </row>
    <row r="821" spans="1:9">
      <c r="A821" s="18">
        <v>999</v>
      </c>
      <c r="B821" s="20">
        <v>33.316008644222023</v>
      </c>
      <c r="C821" s="20">
        <v>27.316008644222023</v>
      </c>
      <c r="D821" s="20">
        <v>803.13401187446982</v>
      </c>
      <c r="E821" s="20">
        <v>294.8979764933963</v>
      </c>
      <c r="F821" s="20">
        <v>-8.4771642684936523</v>
      </c>
      <c r="G821" s="20">
        <v>-37.869956970214844</v>
      </c>
      <c r="H821" s="20">
        <v>7.5528857900265809</v>
      </c>
      <c r="I821" s="20">
        <v>0.76985925990336346</v>
      </c>
    </row>
    <row r="822" spans="1:9">
      <c r="A822" s="18">
        <v>1000</v>
      </c>
      <c r="B822" s="20">
        <v>33.349358002224243</v>
      </c>
      <c r="C822" s="20">
        <v>27.349358002224243</v>
      </c>
      <c r="D822" s="20">
        <v>795.67303219488304</v>
      </c>
      <c r="E822" s="20">
        <v>295.03390867915289</v>
      </c>
      <c r="F822" s="20">
        <v>-9.8175172805786133</v>
      </c>
      <c r="G822" s="20">
        <v>-37.889190673828125</v>
      </c>
      <c r="H822" s="20">
        <v>7.5143504070248861</v>
      </c>
      <c r="I822" s="20">
        <v>0.76202354224531388</v>
      </c>
    </row>
    <row r="823" spans="1:9">
      <c r="A823" s="18">
        <v>1001</v>
      </c>
      <c r="B823" s="20">
        <v>33.382707360226469</v>
      </c>
      <c r="C823" s="20">
        <v>27.382707360226469</v>
      </c>
      <c r="D823" s="20">
        <v>789.55620509073185</v>
      </c>
      <c r="E823" s="20">
        <v>295.20460358056266</v>
      </c>
      <c r="F823" s="20">
        <v>-10.916410446166992</v>
      </c>
      <c r="G823" s="20">
        <v>-37.915668487548828</v>
      </c>
      <c r="H823" s="20">
        <v>7.5336427376382975</v>
      </c>
      <c r="I823" s="20">
        <v>0.77806083125902936</v>
      </c>
    </row>
    <row r="824" spans="1:9">
      <c r="A824" s="18">
        <v>1002</v>
      </c>
      <c r="B824" s="20">
        <v>33.416056718228695</v>
      </c>
      <c r="C824" s="20">
        <v>27.416056718228695</v>
      </c>
      <c r="D824" s="20">
        <v>783.13565891472854</v>
      </c>
      <c r="E824" s="20">
        <v>295.70675872093022</v>
      </c>
      <c r="F824" s="20">
        <v>-12.07016658782959</v>
      </c>
      <c r="G824" s="20">
        <v>-38.001827239990234</v>
      </c>
      <c r="H824" s="20">
        <v>7.5542584180779002</v>
      </c>
      <c r="I824" s="20">
        <v>0.76271064995314264</v>
      </c>
    </row>
    <row r="825" spans="1:9">
      <c r="A825" s="18">
        <v>1003</v>
      </c>
      <c r="B825" s="20">
        <v>33.449406076230915</v>
      </c>
      <c r="C825" s="20">
        <v>27.449406076230915</v>
      </c>
      <c r="D825" s="20">
        <v>780.68726106794918</v>
      </c>
      <c r="E825" s="20">
        <v>296.23171784437045</v>
      </c>
      <c r="F825" s="20">
        <v>-12.510489463806152</v>
      </c>
      <c r="G825" s="20">
        <v>-38.094944000244141</v>
      </c>
      <c r="H825" s="20">
        <v>7.4867036966376359</v>
      </c>
      <c r="I825" s="20">
        <v>0.78065069407804144</v>
      </c>
    </row>
    <row r="826" spans="1:9">
      <c r="A826" s="18">
        <v>1004</v>
      </c>
      <c r="B826" s="20">
        <v>33.482755434233141</v>
      </c>
      <c r="C826" s="20">
        <v>27.482755434233141</v>
      </c>
      <c r="D826" s="20">
        <v>780.69685857474622</v>
      </c>
      <c r="E826" s="20">
        <v>296.19679745752353</v>
      </c>
      <c r="F826" s="20">
        <v>-12.508730888366699</v>
      </c>
      <c r="G826" s="20">
        <v>-38.088642120361328</v>
      </c>
      <c r="H826" s="20">
        <v>7.51986755197301</v>
      </c>
      <c r="I826" s="20">
        <v>0.79650419505636716</v>
      </c>
    </row>
    <row r="827" spans="1:9">
      <c r="A827" s="18">
        <v>1005</v>
      </c>
      <c r="B827" s="20">
        <v>33.516104792235367</v>
      </c>
      <c r="C827" s="20">
        <v>27.516104792235367</v>
      </c>
      <c r="D827" s="20">
        <v>769.75374376039929</v>
      </c>
      <c r="E827" s="20">
        <v>300.46833056017744</v>
      </c>
      <c r="F827" s="20">
        <v>-14.478791236877441</v>
      </c>
      <c r="G827" s="20">
        <v>-38.852729797363281</v>
      </c>
      <c r="H827" s="20">
        <v>7.8938680123048464</v>
      </c>
      <c r="I827" s="20">
        <v>0.79276907926206275</v>
      </c>
    </row>
    <row r="828" spans="1:9">
      <c r="A828" s="18">
        <v>1006</v>
      </c>
      <c r="B828" s="20">
        <v>33.549454150237594</v>
      </c>
      <c r="C828" s="20">
        <v>27.549454150237594</v>
      </c>
      <c r="D828" s="20">
        <v>764.15403170227432</v>
      </c>
      <c r="E828" s="20">
        <v>305.925109120147</v>
      </c>
      <c r="F828" s="20">
        <v>-15.490474700927734</v>
      </c>
      <c r="G828" s="20">
        <v>-39.834896087646484</v>
      </c>
      <c r="H828" s="20">
        <v>7.7574025120787997</v>
      </c>
      <c r="I828" s="20">
        <v>0.82608275579430723</v>
      </c>
    </row>
    <row r="829" spans="1:9">
      <c r="A829" s="18">
        <v>1007</v>
      </c>
      <c r="B829" s="20">
        <v>33.582803508239813</v>
      </c>
      <c r="C829" s="20">
        <v>27.582803508239813</v>
      </c>
      <c r="D829" s="20">
        <v>769.68992524029909</v>
      </c>
      <c r="E829" s="20">
        <v>308.28135754123645</v>
      </c>
      <c r="F829" s="20">
        <v>-14.498721122741699</v>
      </c>
      <c r="G829" s="20">
        <v>-40.264759063720703</v>
      </c>
      <c r="H829" s="20">
        <v>7.6320901575044937</v>
      </c>
      <c r="I829" s="20">
        <v>0.81126444547563625</v>
      </c>
    </row>
    <row r="830" spans="1:9">
      <c r="A830" s="18">
        <v>1008</v>
      </c>
      <c r="B830" s="20">
        <v>33.616152866242039</v>
      </c>
      <c r="C830" s="20">
        <v>27.616152866242039</v>
      </c>
      <c r="D830" s="20">
        <v>762.19997599327803</v>
      </c>
      <c r="E830" s="20">
        <v>316.53222902412676</v>
      </c>
      <c r="F830" s="20">
        <v>-15.853089332580566</v>
      </c>
      <c r="G830" s="20">
        <v>-41.750747680664063</v>
      </c>
      <c r="H830" s="20">
        <v>7.5884934272215778</v>
      </c>
      <c r="I830" s="20">
        <v>0.81491692194984711</v>
      </c>
    </row>
    <row r="831" spans="1:9">
      <c r="A831" s="18">
        <v>1009</v>
      </c>
      <c r="B831" s="20">
        <v>33.649502224244266</v>
      </c>
      <c r="C831" s="20">
        <v>27.649502224244266</v>
      </c>
      <c r="D831" s="20">
        <v>772.24863685932394</v>
      </c>
      <c r="E831" s="20">
        <v>317.2074397188901</v>
      </c>
      <c r="F831" s="20">
        <v>-14.048768997192383</v>
      </c>
      <c r="G831" s="20">
        <v>-41.880107879638672</v>
      </c>
      <c r="H831" s="20">
        <v>7.5528857900265809</v>
      </c>
      <c r="I831" s="20">
        <v>0.7856633040056975</v>
      </c>
    </row>
    <row r="832" spans="1:9">
      <c r="A832" s="18">
        <v>1010</v>
      </c>
      <c r="B832" s="20">
        <v>33.682851582246485</v>
      </c>
      <c r="C832" s="20">
        <v>27.682851582246485</v>
      </c>
      <c r="D832" s="20">
        <v>772.80720338983053</v>
      </c>
      <c r="E832" s="20">
        <v>321.70221280602635</v>
      </c>
      <c r="F832" s="20">
        <v>-13.953288078308105</v>
      </c>
      <c r="G832" s="20">
        <v>-42.693111419677734</v>
      </c>
      <c r="H832" s="20">
        <v>7.6632721105498076</v>
      </c>
      <c r="I832" s="20">
        <v>0.79359111456005271</v>
      </c>
    </row>
    <row r="833" spans="1:9">
      <c r="A833" s="18">
        <v>1011</v>
      </c>
      <c r="B833" s="20">
        <v>33.716200940248712</v>
      </c>
      <c r="C833" s="20">
        <v>27.716200940248712</v>
      </c>
      <c r="D833" s="20">
        <v>774.24906705188391</v>
      </c>
      <c r="E833" s="20">
        <v>324.36932707355243</v>
      </c>
      <c r="F833" s="20">
        <v>-13.69713020324707</v>
      </c>
      <c r="G833" s="20">
        <v>-43.176376342773438</v>
      </c>
      <c r="H833" s="20">
        <v>7.5775550526315625</v>
      </c>
      <c r="I833" s="20">
        <v>0.79971208727417564</v>
      </c>
    </row>
    <row r="834" spans="1:9">
      <c r="A834" s="18">
        <v>1012</v>
      </c>
      <c r="B834" s="20">
        <v>33.749550298250938</v>
      </c>
      <c r="C834" s="20">
        <v>27.749550298250938</v>
      </c>
      <c r="D834" s="20">
        <v>779.35735844500778</v>
      </c>
      <c r="E834" s="20">
        <v>324.68646625618732</v>
      </c>
      <c r="F834" s="20">
        <v>-12.779745101928711</v>
      </c>
      <c r="G834" s="20">
        <v>-43.237453460693359</v>
      </c>
      <c r="H834" s="20">
        <v>7.5666008654044363</v>
      </c>
      <c r="I834" s="20">
        <v>0.8328326078164241</v>
      </c>
    </row>
    <row r="835" spans="1:9">
      <c r="A835" s="18">
        <v>1013</v>
      </c>
      <c r="B835" s="20">
        <v>33.782899656253157</v>
      </c>
      <c r="C835" s="20">
        <v>27.782899656253157</v>
      </c>
      <c r="D835" s="20">
        <v>785.13580691642653</v>
      </c>
      <c r="E835" s="20">
        <v>324.8849663784822</v>
      </c>
      <c r="F835" s="20">
        <v>-11.741794586181641</v>
      </c>
      <c r="G835" s="20">
        <v>-43.277572631835938</v>
      </c>
      <c r="H835" s="20">
        <v>7.5871269928128733</v>
      </c>
      <c r="I835" s="20">
        <v>0.84419612834519597</v>
      </c>
    </row>
    <row r="836" spans="1:9">
      <c r="A836" s="18">
        <v>1014</v>
      </c>
      <c r="B836" s="20">
        <v>33.816249014255384</v>
      </c>
      <c r="C836" s="20">
        <v>27.816249014255384</v>
      </c>
      <c r="D836" s="20">
        <v>790.43635243376457</v>
      </c>
      <c r="E836" s="20">
        <v>325.13345656192234</v>
      </c>
      <c r="F836" s="20">
        <v>-10.789721488952637</v>
      </c>
      <c r="G836" s="20">
        <v>-43.326377868652344</v>
      </c>
      <c r="H836" s="20">
        <v>7.489472960167384</v>
      </c>
      <c r="I836" s="20">
        <v>0.7654265593294215</v>
      </c>
    </row>
    <row r="837" spans="1:9">
      <c r="A837" s="18">
        <v>1015</v>
      </c>
      <c r="B837" s="20">
        <v>33.84959837225761</v>
      </c>
      <c r="C837" s="20">
        <v>27.84959837225761</v>
      </c>
      <c r="D837" s="20">
        <v>794.01396613521194</v>
      </c>
      <c r="E837" s="20">
        <v>325.7675194660734</v>
      </c>
      <c r="F837" s="20">
        <v>-10.147578239440918</v>
      </c>
      <c r="G837" s="20">
        <v>-43.443645477294922</v>
      </c>
      <c r="H837" s="20">
        <v>7.4783897532661019</v>
      </c>
      <c r="I837" s="20">
        <v>0.80967284695086272</v>
      </c>
    </row>
    <row r="838" spans="1:9">
      <c r="A838" s="18">
        <v>1016</v>
      </c>
      <c r="B838" s="20">
        <v>33.882947730259836</v>
      </c>
      <c r="C838" s="20">
        <v>27.882947730259836</v>
      </c>
      <c r="D838" s="20">
        <v>798.2606617647059</v>
      </c>
      <c r="E838" s="20">
        <v>326.39424019607839</v>
      </c>
      <c r="F838" s="20">
        <v>-9.3851861953735352</v>
      </c>
      <c r="G838" s="20">
        <v>-43.560077667236328</v>
      </c>
      <c r="H838" s="20">
        <v>7.5102098885323407</v>
      </c>
      <c r="I838" s="20">
        <v>0.80084389141934897</v>
      </c>
    </row>
    <row r="839" spans="1:9">
      <c r="A839" s="18">
        <v>1017</v>
      </c>
      <c r="B839" s="20">
        <v>33.916297088262056</v>
      </c>
      <c r="C839" s="20">
        <v>27.916297088262056</v>
      </c>
      <c r="D839" s="20">
        <v>806.55188043611406</v>
      </c>
      <c r="E839" s="20">
        <v>325.60798725958591</v>
      </c>
      <c r="F839" s="20">
        <v>-7.894566535949707</v>
      </c>
      <c r="G839" s="20">
        <v>-43.423976898193359</v>
      </c>
      <c r="H839" s="20">
        <v>7.5115903149549048</v>
      </c>
      <c r="I839" s="20">
        <v>0.80380630447890566</v>
      </c>
    </row>
    <row r="840" spans="1:9">
      <c r="A840" s="18">
        <v>1018</v>
      </c>
      <c r="B840" s="20">
        <v>33.949646446264282</v>
      </c>
      <c r="C840" s="20">
        <v>27.949646446264282</v>
      </c>
      <c r="D840" s="20">
        <v>814.88921532623317</v>
      </c>
      <c r="E840" s="20">
        <v>324.33284367731665</v>
      </c>
      <c r="F840" s="20">
        <v>-6.3951077461242676</v>
      </c>
      <c r="G840" s="20">
        <v>-43.199493408203125</v>
      </c>
      <c r="H840" s="20">
        <v>7.5143504070248861</v>
      </c>
      <c r="I840" s="20">
        <v>0.76202354224531388</v>
      </c>
    </row>
    <row r="841" spans="1:9">
      <c r="A841" s="18">
        <v>1019</v>
      </c>
      <c r="B841" s="20">
        <v>33.982995804266508</v>
      </c>
      <c r="C841" s="20">
        <v>27.982995804266508</v>
      </c>
      <c r="D841" s="20">
        <v>820.42869447520604</v>
      </c>
      <c r="E841" s="20">
        <v>324.37836840162424</v>
      </c>
      <c r="F841" s="20">
        <v>-5.3997063636779785</v>
      </c>
      <c r="G841" s="20">
        <v>-43.211769104003906</v>
      </c>
      <c r="H841" s="20">
        <v>7.495008417656372</v>
      </c>
      <c r="I841" s="20">
        <v>0.75810568341628926</v>
      </c>
    </row>
    <row r="842" spans="1:9">
      <c r="A842" s="18">
        <v>1020</v>
      </c>
      <c r="B842" s="20">
        <v>34.016345162268728</v>
      </c>
      <c r="C842" s="20">
        <v>28.016345162268728</v>
      </c>
      <c r="D842" s="20">
        <v>823.60532365396239</v>
      </c>
      <c r="E842" s="20">
        <v>324.82601330913491</v>
      </c>
      <c r="F842" s="20">
        <v>-4.8292927742004395</v>
      </c>
      <c r="G842" s="20">
        <v>-43.295047760009766</v>
      </c>
      <c r="H842" s="20">
        <v>7.5583748065868592</v>
      </c>
      <c r="I842" s="20">
        <v>0.78317778354264544</v>
      </c>
    </row>
    <row r="843" spans="1:9">
      <c r="A843" s="18">
        <v>1021</v>
      </c>
      <c r="B843" s="20">
        <v>34.049694520270954</v>
      </c>
      <c r="C843" s="20">
        <v>28.049694520270954</v>
      </c>
      <c r="D843" s="20">
        <v>831.82833690221275</v>
      </c>
      <c r="E843" s="20">
        <v>324.81180109445631</v>
      </c>
      <c r="F843" s="20">
        <v>-3.3515121936798096</v>
      </c>
      <c r="G843" s="20">
        <v>-43.298488616943359</v>
      </c>
      <c r="H843" s="20">
        <v>7.6225746793894631</v>
      </c>
      <c r="I843" s="20">
        <v>0.79029856307337143</v>
      </c>
    </row>
    <row r="844" spans="1:9">
      <c r="A844" s="18">
        <v>1022</v>
      </c>
      <c r="B844" s="20">
        <v>34.08304387827318</v>
      </c>
      <c r="C844" s="20">
        <v>28.08304387827318</v>
      </c>
      <c r="D844" s="20">
        <v>839.820549753931</v>
      </c>
      <c r="E844" s="20">
        <v>324.68395150642175</v>
      </c>
      <c r="F844" s="20">
        <v>-1.9150117635726929</v>
      </c>
      <c r="G844" s="20">
        <v>-43.281215667724609</v>
      </c>
      <c r="H844" s="20">
        <v>7.5884934272215778</v>
      </c>
      <c r="I844" s="20">
        <v>0.777135283442981</v>
      </c>
    </row>
    <row r="845" spans="1:9">
      <c r="A845" s="18">
        <v>1023</v>
      </c>
      <c r="B845" s="20">
        <v>34.1163932362754</v>
      </c>
      <c r="C845" s="20">
        <v>28.1163932362754</v>
      </c>
      <c r="D845" s="20">
        <v>843.62575254945318</v>
      </c>
      <c r="E845" s="20">
        <v>325.38026784617273</v>
      </c>
      <c r="F845" s="20">
        <v>-1.2317832708358765</v>
      </c>
      <c r="G845" s="20">
        <v>-43.409927368164063</v>
      </c>
      <c r="H845" s="20">
        <v>7.5005397899352122</v>
      </c>
      <c r="I845" s="20">
        <v>0.78872017927353999</v>
      </c>
    </row>
    <row r="846" spans="1:9">
      <c r="A846" s="18">
        <v>1024</v>
      </c>
      <c r="B846" s="20">
        <v>34.149742594277626</v>
      </c>
      <c r="C846" s="20">
        <v>28.149742594277626</v>
      </c>
      <c r="D846" s="20">
        <v>851.08424110384897</v>
      </c>
      <c r="E846" s="20">
        <v>324.23541515371579</v>
      </c>
      <c r="F846" s="20">
        <v>0.10985320806503296</v>
      </c>
      <c r="G846" s="20">
        <v>-43.208335876464844</v>
      </c>
      <c r="H846" s="20">
        <v>7.5570029262222453</v>
      </c>
      <c r="I846" s="20">
        <v>0.79800330373584705</v>
      </c>
    </row>
    <row r="847" spans="1:9">
      <c r="A847" s="18">
        <v>1025</v>
      </c>
      <c r="B847" s="20">
        <v>34.183091952279852</v>
      </c>
      <c r="C847" s="20">
        <v>28.183091952279852</v>
      </c>
      <c r="D847" s="20">
        <v>859.12602071907372</v>
      </c>
      <c r="E847" s="20">
        <v>323.19707495429617</v>
      </c>
      <c r="F847" s="20">
        <v>1.5562705993652344</v>
      </c>
      <c r="G847" s="20">
        <v>-43.026432037353516</v>
      </c>
      <c r="H847" s="20">
        <v>7.5308897162645749</v>
      </c>
      <c r="I847" s="20">
        <v>0.80415341606281765</v>
      </c>
    </row>
    <row r="848" spans="1:9">
      <c r="A848" s="18">
        <v>1026</v>
      </c>
      <c r="B848" s="20">
        <v>34.216441310282072</v>
      </c>
      <c r="C848" s="20">
        <v>28.216441310282072</v>
      </c>
      <c r="D848" s="20">
        <v>867.06812832899777</v>
      </c>
      <c r="E848" s="20">
        <v>323.29084602997648</v>
      </c>
      <c r="F848" s="20">
        <v>2.9837660789489746</v>
      </c>
      <c r="G848" s="20">
        <v>-43.049190521240234</v>
      </c>
      <c r="H848" s="20">
        <v>7.4700665567492237</v>
      </c>
      <c r="I848" s="20">
        <v>0.80405272425369001</v>
      </c>
    </row>
    <row r="849" spans="1:9">
      <c r="A849" s="18">
        <v>1027</v>
      </c>
      <c r="B849" s="20">
        <v>34.249790668284298</v>
      </c>
      <c r="C849" s="20">
        <v>28.249790668284298</v>
      </c>
      <c r="D849" s="20">
        <v>874.21867351933429</v>
      </c>
      <c r="E849" s="20">
        <v>323.21928536465981</v>
      </c>
      <c r="F849" s="20">
        <v>4.2692022323608398</v>
      </c>
      <c r="G849" s="20">
        <v>-43.041481018066406</v>
      </c>
      <c r="H849" s="20">
        <v>7.5157300729516914</v>
      </c>
      <c r="I849" s="20">
        <v>0.78564463542072405</v>
      </c>
    </row>
    <row r="850" spans="1:9">
      <c r="A850" s="18">
        <v>1028</v>
      </c>
      <c r="B850" s="20">
        <v>34.283140026286524</v>
      </c>
      <c r="C850" s="20">
        <v>28.283140026286524</v>
      </c>
      <c r="D850" s="20">
        <v>877.90427350427342</v>
      </c>
      <c r="E850" s="20">
        <v>323.23455433455433</v>
      </c>
      <c r="F850" s="20">
        <v>4.9317269325256348</v>
      </c>
      <c r="G850" s="20">
        <v>-43.046932220458984</v>
      </c>
      <c r="H850" s="20">
        <v>7.5240027557785139</v>
      </c>
      <c r="I850" s="20">
        <v>0.7580438971816692</v>
      </c>
    </row>
    <row r="851" spans="1:9">
      <c r="A851" s="18">
        <v>1029</v>
      </c>
      <c r="B851" s="20">
        <v>34.316489384288751</v>
      </c>
      <c r="C851" s="20">
        <v>28.316489384288751</v>
      </c>
      <c r="D851" s="20">
        <v>884.86295892402768</v>
      </c>
      <c r="E851" s="20">
        <v>323.45789409911544</v>
      </c>
      <c r="F851" s="20">
        <v>6.1824889183044434</v>
      </c>
      <c r="G851" s="20">
        <v>-43.092411041259766</v>
      </c>
      <c r="H851" s="20">
        <v>7.5528857900265809</v>
      </c>
      <c r="I851" s="20">
        <v>0.79082959047236367</v>
      </c>
    </row>
    <row r="852" spans="1:9">
      <c r="A852" s="18">
        <v>1030</v>
      </c>
      <c r="B852" s="20">
        <v>34.34983874229097</v>
      </c>
      <c r="C852" s="20">
        <v>28.34983874229097</v>
      </c>
      <c r="D852" s="20">
        <v>889.54300291545189</v>
      </c>
      <c r="E852" s="20">
        <v>323.6045918367347</v>
      </c>
      <c r="F852" s="20">
        <v>7.0237240791320801</v>
      </c>
      <c r="G852" s="20">
        <v>-43.122364044189453</v>
      </c>
      <c r="H852" s="20">
        <v>7.5432704000173461</v>
      </c>
      <c r="I852" s="20">
        <v>0.79510568696652606</v>
      </c>
    </row>
    <row r="853" spans="1:9">
      <c r="A853" s="18">
        <v>1031</v>
      </c>
      <c r="B853" s="20">
        <v>34.383188100293196</v>
      </c>
      <c r="C853" s="20">
        <v>28.383188100293196</v>
      </c>
      <c r="D853" s="20">
        <v>892.4092505145901</v>
      </c>
      <c r="E853" s="20">
        <v>323.88497396779269</v>
      </c>
      <c r="F853" s="20">
        <v>7.5387697219848633</v>
      </c>
      <c r="G853" s="20">
        <v>-43.175174713134766</v>
      </c>
      <c r="H853" s="20">
        <v>7.5556307967645031</v>
      </c>
      <c r="I853" s="20">
        <v>0.77900898995707846</v>
      </c>
    </row>
    <row r="854" spans="1:9">
      <c r="A854" s="18">
        <v>1032</v>
      </c>
      <c r="B854" s="20">
        <v>34.416537458295423</v>
      </c>
      <c r="C854" s="20">
        <v>28.416537458295423</v>
      </c>
      <c r="D854" s="20">
        <v>899.2173439767779</v>
      </c>
      <c r="E854" s="20">
        <v>322.94303338171261</v>
      </c>
      <c r="F854" s="20">
        <v>8.7635908126831055</v>
      </c>
      <c r="G854" s="20">
        <v>-43.009777069091797</v>
      </c>
      <c r="H854" s="20">
        <v>7.5597464379939563</v>
      </c>
      <c r="I854" s="20">
        <v>0.78967274185069891</v>
      </c>
    </row>
    <row r="855" spans="1:9">
      <c r="A855" s="18">
        <v>1033</v>
      </c>
      <c r="B855" s="20">
        <v>34.449886816297642</v>
      </c>
      <c r="C855" s="20">
        <v>28.449886816297642</v>
      </c>
      <c r="D855" s="20">
        <v>904.38664238008494</v>
      </c>
      <c r="E855" s="20">
        <v>323.82865816636308</v>
      </c>
      <c r="F855" s="20">
        <v>9.6922369003295898</v>
      </c>
      <c r="G855" s="20">
        <v>-43.173744201660156</v>
      </c>
      <c r="H855" s="20">
        <v>7.5446447774360612</v>
      </c>
      <c r="I855" s="20">
        <v>0.78910477002755508</v>
      </c>
    </row>
    <row r="856" spans="1:9">
      <c r="A856" s="18">
        <v>1034</v>
      </c>
      <c r="B856" s="20">
        <v>34.483236174299869</v>
      </c>
      <c r="C856" s="20">
        <v>28.483236174299869</v>
      </c>
      <c r="D856" s="20">
        <v>911.16740088105723</v>
      </c>
      <c r="E856" s="20">
        <v>323.85462555066078</v>
      </c>
      <c r="F856" s="20">
        <v>10.911398887634277</v>
      </c>
      <c r="G856" s="20">
        <v>-43.183399200439453</v>
      </c>
      <c r="H856" s="20">
        <v>7.5157300729516914</v>
      </c>
      <c r="I856" s="20">
        <v>0.74473222764009506</v>
      </c>
    </row>
    <row r="857" spans="1:9">
      <c r="A857" s="18">
        <v>1035</v>
      </c>
      <c r="B857" s="20">
        <v>34.516585532302095</v>
      </c>
      <c r="C857" s="20">
        <v>28.516585532302095</v>
      </c>
      <c r="D857" s="20">
        <v>915.30644175528653</v>
      </c>
      <c r="E857" s="20">
        <v>323.75626451534038</v>
      </c>
      <c r="F857" s="20">
        <v>11.655707359313965</v>
      </c>
      <c r="G857" s="20">
        <v>-43.168632507324219</v>
      </c>
      <c r="H857" s="20">
        <v>7.51986755197301</v>
      </c>
      <c r="I857" s="20">
        <v>0.75134773180741732</v>
      </c>
    </row>
    <row r="858" spans="1:9">
      <c r="A858" s="18">
        <v>1036</v>
      </c>
      <c r="B858" s="20">
        <v>34.549934890304314</v>
      </c>
      <c r="C858" s="20">
        <v>28.549934890304314</v>
      </c>
      <c r="D858" s="20">
        <v>920.71612515042114</v>
      </c>
      <c r="E858" s="20">
        <v>322.63116726835136</v>
      </c>
      <c r="F858" s="20">
        <v>12.62935733795166</v>
      </c>
      <c r="G858" s="20">
        <v>-42.969078063964844</v>
      </c>
      <c r="H858" s="20">
        <v>7.5789232128038808</v>
      </c>
      <c r="I858" s="20">
        <v>0.78127302630736584</v>
      </c>
    </row>
    <row r="859" spans="1:9">
      <c r="A859" s="18">
        <v>1037</v>
      </c>
      <c r="B859" s="20">
        <v>34.583284248306541</v>
      </c>
      <c r="C859" s="20">
        <v>28.583284248306541</v>
      </c>
      <c r="D859" s="20">
        <v>926.16779560308964</v>
      </c>
      <c r="E859" s="20">
        <v>323.39548425430775</v>
      </c>
      <c r="F859" s="20">
        <v>13.609029769897461</v>
      </c>
      <c r="G859" s="20">
        <v>-43.111316680908203</v>
      </c>
      <c r="H859" s="20">
        <v>7.6266541951641864</v>
      </c>
      <c r="I859" s="20">
        <v>0.7763626850964771</v>
      </c>
    </row>
    <row r="860" spans="1:9">
      <c r="A860" s="18">
        <v>1038</v>
      </c>
      <c r="B860" s="20">
        <v>34.616633606308767</v>
      </c>
      <c r="C860" s="20">
        <v>28.616633606308767</v>
      </c>
      <c r="D860" s="20">
        <v>930.39857651245552</v>
      </c>
      <c r="E860" s="20">
        <v>323.82621589561091</v>
      </c>
      <c r="F860" s="20">
        <v>14.369470596313477</v>
      </c>
      <c r="G860" s="20">
        <v>-43.19232177734375</v>
      </c>
      <c r="H860" s="20">
        <v>7.6334485432334152</v>
      </c>
      <c r="I860" s="20">
        <v>0.81803803180757029</v>
      </c>
    </row>
    <row r="861" spans="1:9">
      <c r="A861" s="18">
        <v>1039</v>
      </c>
      <c r="B861" s="20">
        <v>34.649982964310993</v>
      </c>
      <c r="C861" s="20">
        <v>28.649982964310993</v>
      </c>
      <c r="D861" s="20">
        <v>937.35575539568345</v>
      </c>
      <c r="E861" s="20">
        <v>323.20899280575537</v>
      </c>
      <c r="F861" s="20">
        <v>15.621075630187988</v>
      </c>
      <c r="G861" s="20">
        <v>-43.085758209228516</v>
      </c>
      <c r="H861" s="20">
        <v>7.5925912549492098</v>
      </c>
      <c r="I861" s="20">
        <v>0.79135426078344184</v>
      </c>
    </row>
    <row r="862" spans="1:9">
      <c r="A862" s="18">
        <v>1040</v>
      </c>
      <c r="B862" s="20">
        <v>34.683332322313213</v>
      </c>
      <c r="C862" s="20">
        <v>28.683332322313213</v>
      </c>
      <c r="D862" s="20">
        <v>944.32606883410733</v>
      </c>
      <c r="E862" s="20">
        <v>323.22924854114564</v>
      </c>
      <c r="F862" s="20">
        <v>16.874568939208984</v>
      </c>
      <c r="G862" s="20">
        <v>-43.094520568847656</v>
      </c>
      <c r="H862" s="20">
        <v>7.6184929791346043</v>
      </c>
      <c r="I862" s="20">
        <v>0.77824284570684332</v>
      </c>
    </row>
    <row r="863" spans="1:9">
      <c r="A863" s="18">
        <v>1041</v>
      </c>
      <c r="B863" s="20">
        <v>34.716681680315439</v>
      </c>
      <c r="C863" s="20">
        <v>28.716681680315439</v>
      </c>
      <c r="D863" s="20">
        <v>951.7643182362807</v>
      </c>
      <c r="E863" s="20">
        <v>323.9466810448119</v>
      </c>
      <c r="F863" s="20">
        <v>18.211753845214844</v>
      </c>
      <c r="G863" s="20">
        <v>-43.229747772216797</v>
      </c>
      <c r="H863" s="20">
        <v>7.5953219118456046</v>
      </c>
      <c r="I863" s="20">
        <v>0.797122482131564</v>
      </c>
    </row>
    <row r="864" spans="1:9">
      <c r="A864" s="18">
        <v>1042</v>
      </c>
      <c r="B864" s="20">
        <v>34.750031038317665</v>
      </c>
      <c r="C864" s="20">
        <v>28.750031038317665</v>
      </c>
      <c r="D864" s="20">
        <v>955.80535368217045</v>
      </c>
      <c r="E864" s="20">
        <v>324.19513081395348</v>
      </c>
      <c r="F864" s="20">
        <v>18.938348770141602</v>
      </c>
      <c r="G864" s="20">
        <v>-43.27764892578125</v>
      </c>
      <c r="H864" s="20">
        <v>7.5542584180779002</v>
      </c>
      <c r="I864" s="20">
        <v>0.76067826847767772</v>
      </c>
    </row>
    <row r="865" spans="1:9">
      <c r="A865" s="18">
        <v>1043</v>
      </c>
      <c r="B865" s="20">
        <v>34.783380396319885</v>
      </c>
      <c r="C865" s="20">
        <v>28.783380396319885</v>
      </c>
      <c r="D865" s="20">
        <v>961.01898280802288</v>
      </c>
      <c r="E865" s="20">
        <v>324.29321872015282</v>
      </c>
      <c r="F865" s="20">
        <v>19.875986099243164</v>
      </c>
      <c r="G865" s="20">
        <v>-43.299205780029297</v>
      </c>
      <c r="H865" s="20">
        <v>7.6089604969217488</v>
      </c>
      <c r="I865" s="20">
        <v>0.79629307527978843</v>
      </c>
    </row>
    <row r="866" spans="1:9">
      <c r="A866" s="18">
        <v>1044</v>
      </c>
      <c r="B866" s="20">
        <v>34.816729754322111</v>
      </c>
      <c r="C866" s="20">
        <v>28.816729754322111</v>
      </c>
      <c r="D866" s="20">
        <v>963.18279569892468</v>
      </c>
      <c r="E866" s="20">
        <v>323.918025205226</v>
      </c>
      <c r="F866" s="20">
        <v>20.265457153320313</v>
      </c>
      <c r="G866" s="20">
        <v>-43.232913970947266</v>
      </c>
      <c r="H866" s="20">
        <v>7.7319661423220438</v>
      </c>
      <c r="I866" s="20">
        <v>0.8326363118856801</v>
      </c>
    </row>
    <row r="867" spans="1:9">
      <c r="A867" s="18">
        <v>1045</v>
      </c>
      <c r="B867" s="20">
        <v>34.850079112324337</v>
      </c>
      <c r="C867" s="20">
        <v>28.850079112324337</v>
      </c>
      <c r="D867" s="20">
        <v>968.91023826374135</v>
      </c>
      <c r="E867" s="20">
        <v>324.0268931351734</v>
      </c>
      <c r="F867" s="20">
        <v>21.295543670654297</v>
      </c>
      <c r="G867" s="20">
        <v>-43.256797790527344</v>
      </c>
      <c r="H867" s="20">
        <v>7.6551499332696462</v>
      </c>
      <c r="I867" s="20">
        <v>0.83597600889323342</v>
      </c>
    </row>
    <row r="868" spans="1:9">
      <c r="A868" s="18">
        <v>1046</v>
      </c>
      <c r="B868" s="20">
        <v>34.883428470326557</v>
      </c>
      <c r="C868" s="20">
        <v>28.883428470326557</v>
      </c>
      <c r="D868" s="20">
        <v>974.16296561604588</v>
      </c>
      <c r="E868" s="20">
        <v>324.24092645654247</v>
      </c>
      <c r="F868" s="20">
        <v>22.240211486816406</v>
      </c>
      <c r="G868" s="20">
        <v>-43.299365997314453</v>
      </c>
      <c r="H868" s="20">
        <v>7.6089604969217488</v>
      </c>
      <c r="I868" s="20">
        <v>0.80901424125748567</v>
      </c>
    </row>
    <row r="869" spans="1:9">
      <c r="A869" s="18">
        <v>1047</v>
      </c>
      <c r="B869" s="20">
        <v>34.916777828328783</v>
      </c>
      <c r="C869" s="20">
        <v>28.916777828328783</v>
      </c>
      <c r="D869" s="20">
        <v>980.7773376545432</v>
      </c>
      <c r="E869" s="20">
        <v>324.29408234305606</v>
      </c>
      <c r="F869" s="20">
        <v>23.429964065551758</v>
      </c>
      <c r="G869" s="20">
        <v>-43.313819885253906</v>
      </c>
      <c r="H869" s="20">
        <v>7.5884934272215778</v>
      </c>
      <c r="I869" s="20">
        <v>0.81110823368796614</v>
      </c>
    </row>
    <row r="870" spans="1:9">
      <c r="A870" s="18">
        <v>1048</v>
      </c>
      <c r="B870" s="20">
        <v>34.950127186331009</v>
      </c>
      <c r="C870" s="20">
        <v>28.950127186331009</v>
      </c>
      <c r="D870" s="20">
        <v>986.3940362087327</v>
      </c>
      <c r="E870" s="20">
        <v>324.44598272393796</v>
      </c>
      <c r="F870" s="20">
        <v>24.440223693847656</v>
      </c>
      <c r="G870" s="20">
        <v>-43.345417022705078</v>
      </c>
      <c r="H870" s="20">
        <v>7.6429504833931734</v>
      </c>
      <c r="I870" s="20">
        <v>0.80080283197362678</v>
      </c>
    </row>
    <row r="871" spans="1:9">
      <c r="A871" s="18">
        <v>1049</v>
      </c>
      <c r="B871" s="20">
        <v>34.983476544333236</v>
      </c>
      <c r="C871" s="20">
        <v>28.983476544333236</v>
      </c>
      <c r="D871" s="20">
        <v>992.39148121560174</v>
      </c>
      <c r="E871" s="20">
        <v>324.69921033740127</v>
      </c>
      <c r="F871" s="20">
        <v>25.518943786621094</v>
      </c>
      <c r="G871" s="20">
        <v>-43.395626068115234</v>
      </c>
      <c r="H871" s="20">
        <v>7.6007802825909545</v>
      </c>
      <c r="I871" s="20">
        <v>0.81643605186347257</v>
      </c>
    </row>
    <row r="872" spans="1:9">
      <c r="A872" s="18">
        <v>1050</v>
      </c>
      <c r="B872" s="20">
        <v>35.016825902335455</v>
      </c>
      <c r="C872" s="20">
        <v>29.016825902335455</v>
      </c>
      <c r="D872" s="20">
        <v>998.24622939319534</v>
      </c>
      <c r="E872" s="20">
        <v>325.39354612416696</v>
      </c>
      <c r="F872" s="20">
        <v>26.571731567382813</v>
      </c>
      <c r="G872" s="20">
        <v>-43.525539398193359</v>
      </c>
      <c r="H872" s="20">
        <v>7.6889357357649022</v>
      </c>
      <c r="I872" s="20">
        <v>0.7855124276299349</v>
      </c>
    </row>
    <row r="873" spans="1:9">
      <c r="A873" s="18">
        <v>1051</v>
      </c>
      <c r="B873" s="20">
        <v>35.050175260337681</v>
      </c>
      <c r="C873" s="20">
        <v>29.050175260337681</v>
      </c>
      <c r="D873" s="20">
        <v>1001.1256269113148</v>
      </c>
      <c r="E873" s="20">
        <v>325.66825688073396</v>
      </c>
      <c r="F873" s="20">
        <v>27.089565277099609</v>
      </c>
      <c r="G873" s="20">
        <v>-43.577350616455078</v>
      </c>
      <c r="H873" s="20">
        <v>7.517109485659085</v>
      </c>
      <c r="I873" s="20">
        <v>0.80121318158073607</v>
      </c>
    </row>
    <row r="874" spans="1:9">
      <c r="A874" s="18">
        <v>1052</v>
      </c>
      <c r="B874" s="20">
        <v>35.083524618339908</v>
      </c>
      <c r="C874" s="20">
        <v>29.083524618339908</v>
      </c>
      <c r="D874" s="20">
        <v>1007.9048473967684</v>
      </c>
      <c r="E874" s="20">
        <v>326.0144823459006</v>
      </c>
      <c r="F874" s="20">
        <v>28.308998107910156</v>
      </c>
      <c r="G874" s="20">
        <v>-43.644969940185547</v>
      </c>
      <c r="H874" s="20">
        <v>7.5994160574552083</v>
      </c>
      <c r="I874" s="20">
        <v>0.81344487833956081</v>
      </c>
    </row>
    <row r="875" spans="1:9">
      <c r="A875" s="18">
        <v>1053</v>
      </c>
      <c r="B875" s="20">
        <v>35.116873976342127</v>
      </c>
      <c r="C875" s="20">
        <v>29.116873976342127</v>
      </c>
      <c r="D875" s="20">
        <v>1014.9757070340827</v>
      </c>
      <c r="E875" s="20">
        <v>326.77628716461203</v>
      </c>
      <c r="F875" s="20">
        <v>29.580686569213867</v>
      </c>
      <c r="G875" s="20">
        <v>-43.787998199462891</v>
      </c>
      <c r="H875" s="20">
        <v>7.5624889544774243</v>
      </c>
      <c r="I875" s="20">
        <v>0.82132103831516989</v>
      </c>
    </row>
    <row r="876" spans="1:9">
      <c r="A876" s="18">
        <v>1054</v>
      </c>
      <c r="B876" s="20">
        <v>35.150223334344354</v>
      </c>
      <c r="C876" s="20">
        <v>29.150223334344354</v>
      </c>
      <c r="D876" s="20">
        <v>1018.4705314009661</v>
      </c>
      <c r="E876" s="20">
        <v>327.48212560386474</v>
      </c>
      <c r="F876" s="20">
        <v>30.209037780761719</v>
      </c>
      <c r="G876" s="20">
        <v>-43.918285369873047</v>
      </c>
      <c r="H876" s="20">
        <v>7.5652304767550733</v>
      </c>
      <c r="I876" s="20">
        <v>0.79602760674246309</v>
      </c>
    </row>
    <row r="877" spans="1:9">
      <c r="A877" s="18">
        <v>1055</v>
      </c>
      <c r="B877" s="20">
        <v>35.18357269234658</v>
      </c>
      <c r="C877" s="20">
        <v>29.18357269234658</v>
      </c>
      <c r="D877" s="20">
        <v>1028.9243607954545</v>
      </c>
      <c r="E877" s="20">
        <v>328.21555397727275</v>
      </c>
      <c r="F877" s="20">
        <v>32.089595794677734</v>
      </c>
      <c r="G877" s="20">
        <v>-44.058681488037109</v>
      </c>
      <c r="H877" s="20">
        <v>7.6415937867492385</v>
      </c>
      <c r="I877" s="20">
        <v>0.80313800013823788</v>
      </c>
    </row>
    <row r="878" spans="1:9">
      <c r="A878" s="18">
        <v>1056</v>
      </c>
      <c r="B878" s="20">
        <v>35.216922050348799</v>
      </c>
      <c r="C878" s="20">
        <v>29.216922050348799</v>
      </c>
      <c r="D878" s="20">
        <v>1031.3106738223016</v>
      </c>
      <c r="E878" s="20">
        <v>326.58103756708408</v>
      </c>
      <c r="F878" s="20">
        <v>32.520046234130859</v>
      </c>
      <c r="G878" s="20">
        <v>-43.764644622802734</v>
      </c>
      <c r="H878" s="20">
        <v>7.613047307974762</v>
      </c>
      <c r="I878" s="20">
        <v>0.81636568580218039</v>
      </c>
    </row>
    <row r="879" spans="1:9">
      <c r="A879" s="18">
        <v>1057</v>
      </c>
      <c r="B879" s="20">
        <v>35.250271408351026</v>
      </c>
      <c r="C879" s="20">
        <v>29.250271408351026</v>
      </c>
      <c r="D879" s="20">
        <v>1034.3448444771002</v>
      </c>
      <c r="E879" s="20">
        <v>325.97991672789612</v>
      </c>
      <c r="F879" s="20">
        <v>33.066410064697266</v>
      </c>
      <c r="G879" s="20">
        <v>-43.658096313476563</v>
      </c>
      <c r="H879" s="20">
        <v>7.5129704877391674</v>
      </c>
      <c r="I879" s="20">
        <v>0.79768088313331387</v>
      </c>
    </row>
    <row r="880" spans="1:9">
      <c r="A880" s="18">
        <v>1058</v>
      </c>
      <c r="B880" s="20">
        <v>35.283620766353252</v>
      </c>
      <c r="C880" s="20">
        <v>29.283620766353252</v>
      </c>
      <c r="D880" s="20">
        <v>1038.8407888407887</v>
      </c>
      <c r="E880" s="20">
        <v>326.296657046657</v>
      </c>
      <c r="F880" s="20">
        <v>33.875259399414063</v>
      </c>
      <c r="G880" s="20">
        <v>-43.718708038330078</v>
      </c>
      <c r="H880" s="20">
        <v>7.5816587924680601</v>
      </c>
      <c r="I880" s="20">
        <v>0.80321901030291898</v>
      </c>
    </row>
    <row r="881" spans="1:9">
      <c r="A881" s="18">
        <v>1059</v>
      </c>
      <c r="B881" s="20">
        <v>35.316970124355478</v>
      </c>
      <c r="C881" s="20">
        <v>29.316970124355478</v>
      </c>
      <c r="D881" s="20">
        <v>1047.0501841620626</v>
      </c>
      <c r="E881" s="20">
        <v>326.33667127071823</v>
      </c>
      <c r="F881" s="20">
        <v>35.352561950683594</v>
      </c>
      <c r="G881" s="20">
        <v>-43.731967926025391</v>
      </c>
      <c r="H881" s="20">
        <v>7.7493789941461921</v>
      </c>
      <c r="I881" s="20">
        <v>0.85668312731573726</v>
      </c>
    </row>
    <row r="882" spans="1:9">
      <c r="A882" s="18">
        <v>1060</v>
      </c>
      <c r="B882" s="20">
        <v>35.350319482357698</v>
      </c>
      <c r="C882" s="20">
        <v>29.350319482357698</v>
      </c>
      <c r="D882" s="20">
        <v>1050.7439038618597</v>
      </c>
      <c r="E882" s="20">
        <v>325.94971415237427</v>
      </c>
      <c r="F882" s="20">
        <v>36.017528533935547</v>
      </c>
      <c r="G882" s="20">
        <v>-43.664649963378906</v>
      </c>
      <c r="H882" s="20">
        <v>7.6970222611224646</v>
      </c>
      <c r="I882" s="20">
        <v>0.86179020806308171</v>
      </c>
    </row>
    <row r="883" spans="1:9">
      <c r="A883" s="18">
        <v>1061</v>
      </c>
      <c r="B883" s="20">
        <v>35.383668840359924</v>
      </c>
      <c r="C883" s="20">
        <v>29.383668840359924</v>
      </c>
      <c r="D883" s="20">
        <v>1055.1817109144542</v>
      </c>
      <c r="E883" s="20">
        <v>325.5165781710914</v>
      </c>
      <c r="F883" s="20">
        <v>36.816455841064453</v>
      </c>
      <c r="G883" s="20">
        <v>-43.589519500732422</v>
      </c>
      <c r="H883" s="20">
        <v>7.6537953990763894</v>
      </c>
      <c r="I883" s="20">
        <v>0.83846978128148375</v>
      </c>
    </row>
    <row r="884" spans="1:9">
      <c r="A884" s="18">
        <v>1062</v>
      </c>
      <c r="B884" s="20">
        <v>35.41701819836215</v>
      </c>
      <c r="C884" s="20">
        <v>29.41701819836215</v>
      </c>
      <c r="D884" s="20">
        <v>1060.5665712240516</v>
      </c>
      <c r="E884" s="20">
        <v>325.14543068480071</v>
      </c>
      <c r="F884" s="20">
        <v>37.785778045654297</v>
      </c>
      <c r="G884" s="20">
        <v>-43.526294708251953</v>
      </c>
      <c r="H884" s="20">
        <v>7.6116852814305451</v>
      </c>
      <c r="I884" s="20">
        <v>0.7916782299366586</v>
      </c>
    </row>
    <row r="885" spans="1:9">
      <c r="A885" s="18">
        <v>1063</v>
      </c>
      <c r="B885" s="20">
        <v>35.45036755636437</v>
      </c>
      <c r="C885" s="20">
        <v>29.45036755636437</v>
      </c>
      <c r="D885" s="20">
        <v>1066.5408555635663</v>
      </c>
      <c r="E885" s="20">
        <v>325.34871425138186</v>
      </c>
      <c r="F885" s="20">
        <v>38.860916137695313</v>
      </c>
      <c r="G885" s="20">
        <v>-43.567466735839844</v>
      </c>
      <c r="H885" s="20">
        <v>7.5843933854487648</v>
      </c>
      <c r="I885" s="20">
        <v>0.786011238115914</v>
      </c>
    </row>
    <row r="886" spans="1:9">
      <c r="A886" s="18">
        <v>1064</v>
      </c>
      <c r="B886" s="20">
        <v>35.483716914366596</v>
      </c>
      <c r="C886" s="20">
        <v>29.483716914366596</v>
      </c>
      <c r="D886" s="20">
        <v>1070.901349576018</v>
      </c>
      <c r="E886" s="20">
        <v>324.16003821808192</v>
      </c>
      <c r="F886" s="20">
        <v>39.646404266357422</v>
      </c>
      <c r="G886" s="20">
        <v>-43.355537414550781</v>
      </c>
      <c r="H886" s="20">
        <v>7.6075977386951985</v>
      </c>
      <c r="I886" s="20">
        <v>0.7934116843419623</v>
      </c>
    </row>
    <row r="887" spans="1:9">
      <c r="A887" s="18">
        <v>1065</v>
      </c>
      <c r="B887" s="20">
        <v>35.517066272368822</v>
      </c>
      <c r="C887" s="20">
        <v>29.517066272368822</v>
      </c>
      <c r="D887" s="20">
        <v>1074.401287553648</v>
      </c>
      <c r="E887" s="20">
        <v>323.19575584167853</v>
      </c>
      <c r="F887" s="20">
        <v>40.276874542236328</v>
      </c>
      <c r="G887" s="20">
        <v>-43.18359375</v>
      </c>
      <c r="H887" s="20">
        <v>7.6144090908866424</v>
      </c>
      <c r="I887" s="20">
        <v>0.79224492366742472</v>
      </c>
    </row>
    <row r="888" spans="1:9">
      <c r="A888" s="18">
        <v>1066</v>
      </c>
      <c r="B888" s="20">
        <v>35.550415630371042</v>
      </c>
      <c r="C888" s="20">
        <v>29.550415630371042</v>
      </c>
      <c r="D888" s="20">
        <v>1080.4535579152935</v>
      </c>
      <c r="E888" s="20">
        <v>323.61943122177468</v>
      </c>
      <c r="F888" s="20">
        <v>41.366004943847656</v>
      </c>
      <c r="G888" s="20">
        <v>-43.264698028564453</v>
      </c>
      <c r="H888" s="20">
        <v>7.5253806520918287</v>
      </c>
      <c r="I888" s="20">
        <v>0.78144841640091922</v>
      </c>
    </row>
    <row r="889" spans="1:9">
      <c r="A889" s="18">
        <v>1067</v>
      </c>
      <c r="B889" s="20">
        <v>35.583764988373268</v>
      </c>
      <c r="C889" s="20">
        <v>29.583764988373268</v>
      </c>
      <c r="D889" s="20">
        <v>1087.760431829209</v>
      </c>
      <c r="E889" s="20">
        <v>324.21894711305191</v>
      </c>
      <c r="F889" s="20">
        <v>42.680889129638672</v>
      </c>
      <c r="G889" s="20">
        <v>-43.378543853759766</v>
      </c>
      <c r="H889" s="20">
        <v>7.5487664083239023</v>
      </c>
      <c r="I889" s="20">
        <v>0.77151636664315348</v>
      </c>
    </row>
    <row r="890" spans="1:9">
      <c r="A890" s="18">
        <v>1068</v>
      </c>
      <c r="B890" s="20">
        <v>35.617114346375494</v>
      </c>
      <c r="C890" s="20">
        <v>29.617114346375494</v>
      </c>
      <c r="D890" s="20">
        <v>1093.2416666666666</v>
      </c>
      <c r="E890" s="20">
        <v>323.92941176470589</v>
      </c>
      <c r="F890" s="20">
        <v>43.667716979980469</v>
      </c>
      <c r="G890" s="20">
        <v>-43.330158233642578</v>
      </c>
      <c r="H890" s="20">
        <v>7.5102098885323407</v>
      </c>
      <c r="I890" s="20">
        <v>0.78449097222627373</v>
      </c>
    </row>
    <row r="891" spans="1:9">
      <c r="A891" s="18">
        <v>1069</v>
      </c>
      <c r="B891" s="20">
        <v>35.650463704377721</v>
      </c>
      <c r="C891" s="20">
        <v>29.650463704377721</v>
      </c>
      <c r="D891" s="20">
        <v>1100.3936875075292</v>
      </c>
      <c r="E891" s="20">
        <v>323.83664618720638</v>
      </c>
      <c r="F891" s="20">
        <v>44.955211639404297</v>
      </c>
      <c r="G891" s="20">
        <v>-43.318603515625</v>
      </c>
      <c r="H891" s="20">
        <v>7.5748179909375635</v>
      </c>
      <c r="I891" s="20">
        <v>0.8119823980414862</v>
      </c>
    </row>
    <row r="892" spans="1:9">
      <c r="A892" s="18">
        <v>1070</v>
      </c>
      <c r="B892" s="20">
        <v>35.68381306237994</v>
      </c>
      <c r="C892" s="20">
        <v>29.68381306237994</v>
      </c>
      <c r="D892" s="20">
        <v>1102.4473588342441</v>
      </c>
      <c r="E892" s="20">
        <v>322.40777170613234</v>
      </c>
      <c r="F892" s="20">
        <v>45.325649261474609</v>
      </c>
      <c r="G892" s="20">
        <v>-43.061500549316406</v>
      </c>
      <c r="H892" s="20">
        <v>7.5446447774360612</v>
      </c>
      <c r="I892" s="20">
        <v>0.78545437805632312</v>
      </c>
    </row>
    <row r="893" spans="1:9">
      <c r="A893" s="18">
        <v>1071</v>
      </c>
      <c r="B893" s="20">
        <v>35.717162420382166</v>
      </c>
      <c r="C893" s="20">
        <v>29.717162420382166</v>
      </c>
      <c r="D893" s="20">
        <v>1106.1270841052242</v>
      </c>
      <c r="E893" s="20">
        <v>321.52723230826234</v>
      </c>
      <c r="F893" s="20">
        <v>45.988506317138672</v>
      </c>
      <c r="G893" s="20">
        <v>-42.904823303222656</v>
      </c>
      <c r="H893" s="20">
        <v>7.4811620943263994</v>
      </c>
      <c r="I893" s="20">
        <v>0.81027327308929364</v>
      </c>
    </row>
    <row r="894" spans="1:9">
      <c r="A894" s="18">
        <v>1072</v>
      </c>
      <c r="B894" s="20">
        <v>35.750511778384393</v>
      </c>
      <c r="C894" s="20">
        <v>29.750511778384393</v>
      </c>
      <c r="D894" s="20">
        <v>1110.253612716763</v>
      </c>
      <c r="E894" s="20">
        <v>320.19833815028903</v>
      </c>
      <c r="F894" s="20">
        <v>46.732044219970703</v>
      </c>
      <c r="G894" s="20">
        <v>-42.667331695556641</v>
      </c>
      <c r="H894" s="20">
        <v>7.5761866453874251</v>
      </c>
      <c r="I894" s="20">
        <v>0.79833493184924831</v>
      </c>
    </row>
    <row r="895" spans="1:9">
      <c r="A895" s="18">
        <v>1073</v>
      </c>
      <c r="B895" s="20">
        <v>35.783861136386612</v>
      </c>
      <c r="C895" s="20">
        <v>29.783861136386612</v>
      </c>
      <c r="D895" s="20">
        <v>1114.0752062105773</v>
      </c>
      <c r="E895" s="20">
        <v>319.17139737991266</v>
      </c>
      <c r="F895" s="20">
        <v>47.420516967773438</v>
      </c>
      <c r="G895" s="20">
        <v>-42.484260559082031</v>
      </c>
      <c r="H895" s="20">
        <v>7.5487664083239023</v>
      </c>
      <c r="I895" s="20">
        <v>0.77506797101882485</v>
      </c>
    </row>
    <row r="896" spans="1:9">
      <c r="A896" s="18">
        <v>1074</v>
      </c>
      <c r="B896" s="20">
        <v>35.817210494388839</v>
      </c>
      <c r="C896" s="20">
        <v>29.817210494388839</v>
      </c>
      <c r="D896" s="20">
        <v>1116.9739901714011</v>
      </c>
      <c r="E896" s="20">
        <v>317.90758719884934</v>
      </c>
      <c r="F896" s="20">
        <v>47.942989349365234</v>
      </c>
      <c r="G896" s="20">
        <v>-42.257652282714844</v>
      </c>
      <c r="H896" s="20">
        <v>7.5939567061345947</v>
      </c>
      <c r="I896" s="20">
        <v>0.79945368762282465</v>
      </c>
    </row>
    <row r="897" spans="1:9">
      <c r="A897" s="18">
        <v>1075</v>
      </c>
      <c r="B897" s="20">
        <v>35.850559852391065</v>
      </c>
      <c r="C897" s="20">
        <v>29.850559852391065</v>
      </c>
      <c r="D897" s="20">
        <v>1121.3566678757102</v>
      </c>
      <c r="E897" s="20">
        <v>316.74972796517955</v>
      </c>
      <c r="F897" s="20">
        <v>48.732551574707031</v>
      </c>
      <c r="G897" s="20">
        <v>-42.051296234130859</v>
      </c>
      <c r="H897" s="20">
        <v>7.5611178205790228</v>
      </c>
      <c r="I897" s="20">
        <v>0.7925544083664734</v>
      </c>
    </row>
    <row r="898" spans="1:9">
      <c r="A898" s="18">
        <v>1076</v>
      </c>
      <c r="B898" s="20">
        <v>35.883909210393284</v>
      </c>
      <c r="C898" s="20">
        <v>29.883909210393284</v>
      </c>
      <c r="D898" s="20">
        <v>1128.8624651810585</v>
      </c>
      <c r="E898" s="20">
        <v>317.33379758588671</v>
      </c>
      <c r="F898" s="20">
        <v>50.08355712890625</v>
      </c>
      <c r="G898" s="20">
        <v>-42.162471771240234</v>
      </c>
      <c r="H898" s="20">
        <v>7.7172015029377929</v>
      </c>
      <c r="I898" s="20">
        <v>0.80112409585357469</v>
      </c>
    </row>
    <row r="899" spans="1:9">
      <c r="A899" s="18">
        <v>1077</v>
      </c>
      <c r="B899" s="20">
        <v>35.917258568395511</v>
      </c>
      <c r="C899" s="20">
        <v>29.917258568395511</v>
      </c>
      <c r="D899" s="20">
        <v>1135.813309352518</v>
      </c>
      <c r="E899" s="20">
        <v>317.15287769784175</v>
      </c>
      <c r="F899" s="20">
        <v>51.335094451904297</v>
      </c>
      <c r="G899" s="20">
        <v>-42.134788513183594</v>
      </c>
      <c r="H899" s="20">
        <v>7.5925912549492098</v>
      </c>
      <c r="I899" s="20">
        <v>0.78409350654674259</v>
      </c>
    </row>
    <row r="900" spans="1:9">
      <c r="A900" s="18">
        <v>1078</v>
      </c>
      <c r="B900" s="20">
        <v>35.950607926397737</v>
      </c>
      <c r="C900" s="20">
        <v>29.950607926397737</v>
      </c>
      <c r="D900" s="20">
        <v>1137.5020960594081</v>
      </c>
      <c r="E900" s="20">
        <v>314.31213318960351</v>
      </c>
      <c r="F900" s="20">
        <v>51.640422821044922</v>
      </c>
      <c r="G900" s="20">
        <v>-41.621894836425781</v>
      </c>
      <c r="H900" s="20">
        <v>7.5966868722145788</v>
      </c>
      <c r="I900" s="20">
        <v>0.77881436703748586</v>
      </c>
    </row>
    <row r="901" spans="1:9">
      <c r="A901" s="18">
        <v>1079</v>
      </c>
      <c r="B901" s="20">
        <v>35.983957284399963</v>
      </c>
      <c r="C901" s="20">
        <v>29.983957284399963</v>
      </c>
      <c r="D901" s="20">
        <v>1139.8657790572149</v>
      </c>
      <c r="E901" s="20">
        <v>310.44980208708171</v>
      </c>
      <c r="F901" s="20">
        <v>52.067710876464844</v>
      </c>
      <c r="G901" s="20">
        <v>-40.924636840820313</v>
      </c>
      <c r="H901" s="20">
        <v>7.5912255581569861</v>
      </c>
      <c r="I901" s="20">
        <v>0.77769497879884053</v>
      </c>
    </row>
    <row r="902" spans="1:9">
      <c r="A902" s="18">
        <v>1080</v>
      </c>
      <c r="B902" s="20">
        <v>36.017306642402183</v>
      </c>
      <c r="C902" s="20">
        <v>30.017306642402183</v>
      </c>
      <c r="D902" s="20">
        <v>1144.7125612525397</v>
      </c>
      <c r="E902" s="20">
        <v>307.09549420341818</v>
      </c>
      <c r="F902" s="20">
        <v>52.941802978515625</v>
      </c>
      <c r="G902" s="20">
        <v>-40.321147918701172</v>
      </c>
      <c r="H902" s="20">
        <v>7.6048714896419876</v>
      </c>
      <c r="I902" s="20">
        <v>0.80175344393692205</v>
      </c>
    </row>
    <row r="903" spans="1:9">
      <c r="A903" s="18">
        <v>1081</v>
      </c>
      <c r="B903" s="20">
        <v>36.050656000404409</v>
      </c>
      <c r="C903" s="20">
        <v>30.050656000404409</v>
      </c>
      <c r="D903" s="20">
        <v>1147.3764113892978</v>
      </c>
      <c r="E903" s="20">
        <v>303.26840942562592</v>
      </c>
      <c r="F903" s="20">
        <v>53.423080444335938</v>
      </c>
      <c r="G903" s="20">
        <v>-39.63055419921875</v>
      </c>
      <c r="H903" s="20">
        <v>7.5046856436593981</v>
      </c>
      <c r="I903" s="20">
        <v>0.80881361000817964</v>
      </c>
    </row>
    <row r="904" spans="1:9">
      <c r="A904" s="18">
        <v>1082</v>
      </c>
      <c r="B904" s="20">
        <v>36.084005358406635</v>
      </c>
      <c r="C904" s="20">
        <v>30.084005358406635</v>
      </c>
      <c r="D904" s="20">
        <v>1149.1030016945049</v>
      </c>
      <c r="E904" s="20">
        <v>299.0015734688937</v>
      </c>
      <c r="F904" s="20">
        <v>53.735759735107422</v>
      </c>
      <c r="G904" s="20">
        <v>-38.859767913818359</v>
      </c>
      <c r="H904" s="20">
        <v>7.5570029262222453</v>
      </c>
      <c r="I904" s="20">
        <v>0.77676025916515412</v>
      </c>
    </row>
    <row r="905" spans="1:9">
      <c r="A905" s="18">
        <v>1083</v>
      </c>
      <c r="B905" s="20">
        <v>36.117354716408855</v>
      </c>
      <c r="C905" s="20">
        <v>30.117354716408855</v>
      </c>
      <c r="D905" s="20">
        <v>1143.9587878787879</v>
      </c>
      <c r="E905" s="20">
        <v>294.21612121212121</v>
      </c>
      <c r="F905" s="20">
        <v>52.811759948730469</v>
      </c>
      <c r="G905" s="20">
        <v>-37.990287780761719</v>
      </c>
      <c r="H905" s="20">
        <v>7.5515129124745641</v>
      </c>
      <c r="I905" s="20">
        <v>0.81349398776112525</v>
      </c>
    </row>
    <row r="906" spans="1:9">
      <c r="A906" s="18">
        <v>1084</v>
      </c>
      <c r="B906" s="20">
        <v>36.150704074411081</v>
      </c>
      <c r="C906" s="20">
        <v>30.150704074411081</v>
      </c>
      <c r="D906" s="20">
        <v>1138.858474368408</v>
      </c>
      <c r="E906" s="20">
        <v>290.67954378219281</v>
      </c>
      <c r="F906" s="20">
        <v>51.895244598388672</v>
      </c>
      <c r="G906" s="20">
        <v>-37.34686279296875</v>
      </c>
      <c r="H906" s="20">
        <v>7.5074482742126314</v>
      </c>
      <c r="I906" s="20">
        <v>0.82655803028305352</v>
      </c>
    </row>
    <row r="907" spans="1:9">
      <c r="A907" s="18">
        <v>1085</v>
      </c>
      <c r="B907" s="20">
        <v>36.184053432413307</v>
      </c>
      <c r="C907" s="20">
        <v>30.184053432413307</v>
      </c>
      <c r="D907" s="20">
        <v>1138.1282335550629</v>
      </c>
      <c r="E907" s="20">
        <v>290.17442719881745</v>
      </c>
      <c r="F907" s="20">
        <v>51.764007568359375</v>
      </c>
      <c r="G907" s="20">
        <v>-37.254974365234375</v>
      </c>
      <c r="H907" s="20">
        <v>7.4908572080232423</v>
      </c>
      <c r="I907" s="20">
        <v>0.8096565514610653</v>
      </c>
    </row>
    <row r="908" spans="1:9">
      <c r="A908" s="18">
        <v>1086</v>
      </c>
      <c r="B908" s="20">
        <v>36.217402790415527</v>
      </c>
      <c r="C908" s="20">
        <v>30.217402790415527</v>
      </c>
      <c r="D908" s="20">
        <v>1135.0691711389384</v>
      </c>
      <c r="E908" s="20">
        <v>289.89970184853905</v>
      </c>
      <c r="F908" s="20">
        <v>51.213523864746094</v>
      </c>
      <c r="G908" s="20">
        <v>-37.203090667724609</v>
      </c>
      <c r="H908" s="20">
        <v>7.613047307974762</v>
      </c>
      <c r="I908" s="20">
        <v>0.83349250886185033</v>
      </c>
    </row>
    <row r="909" spans="1:9">
      <c r="A909" s="18">
        <v>1087</v>
      </c>
      <c r="B909" s="20">
        <v>36.250752148417753</v>
      </c>
      <c r="C909" s="20">
        <v>30.250752148417753</v>
      </c>
      <c r="D909" s="20">
        <v>1124.2243355279199</v>
      </c>
      <c r="E909" s="20">
        <v>287.90099975615703</v>
      </c>
      <c r="F909" s="20">
        <v>49.262493133544922</v>
      </c>
      <c r="G909" s="20">
        <v>-36.833835601806641</v>
      </c>
      <c r="H909" s="20">
        <v>7.5295128281067525</v>
      </c>
      <c r="I909" s="20">
        <v>0.79591315718958966</v>
      </c>
    </row>
    <row r="910" spans="1:9">
      <c r="A910" s="18">
        <v>1088</v>
      </c>
      <c r="B910" s="20">
        <v>36.284101506419979</v>
      </c>
      <c r="C910" s="20">
        <v>30.284101506419979</v>
      </c>
      <c r="D910" s="20">
        <v>1115.7027593003202</v>
      </c>
      <c r="E910" s="20">
        <v>286.91155457009114</v>
      </c>
      <c r="F910" s="20">
        <v>47.729282379150391</v>
      </c>
      <c r="G910" s="20">
        <v>-36.648807525634766</v>
      </c>
      <c r="H910" s="20">
        <v>7.4908572080232423</v>
      </c>
      <c r="I910" s="20">
        <v>0.83247685259218918</v>
      </c>
    </row>
    <row r="911" spans="1:9">
      <c r="A911" s="18">
        <v>1089</v>
      </c>
      <c r="B911" s="20">
        <v>36.317450864422206</v>
      </c>
      <c r="C911" s="20">
        <v>30.317450864422206</v>
      </c>
      <c r="D911" s="20">
        <v>1111.8629410313347</v>
      </c>
      <c r="E911" s="20">
        <v>287.6183074265976</v>
      </c>
      <c r="F911" s="20">
        <v>47.037883758544922</v>
      </c>
      <c r="G911" s="20">
        <v>-36.773910522460938</v>
      </c>
      <c r="H911" s="20">
        <v>7.4853186806796854</v>
      </c>
      <c r="I911" s="20">
        <v>0.81230217182596731</v>
      </c>
    </row>
    <row r="912" spans="1:9">
      <c r="A912" s="18">
        <v>1090</v>
      </c>
      <c r="B912" s="20">
        <v>36.350800222424425</v>
      </c>
      <c r="C912" s="20">
        <v>30.350800222424425</v>
      </c>
      <c r="D912" s="20">
        <v>1105.3433407462317</v>
      </c>
      <c r="E912" s="20">
        <v>287.39683716333087</v>
      </c>
      <c r="F912" s="20">
        <v>45.864715576171875</v>
      </c>
      <c r="G912" s="20">
        <v>-36.729213714599609</v>
      </c>
      <c r="H912" s="20">
        <v>7.4797760522405206</v>
      </c>
      <c r="I912" s="20">
        <v>0.85791752273050803</v>
      </c>
    </row>
    <row r="913" spans="1:9">
      <c r="A913" s="18">
        <v>1091</v>
      </c>
      <c r="B913" s="20">
        <v>36.384149580426651</v>
      </c>
      <c r="C913" s="20">
        <v>30.384149580426651</v>
      </c>
      <c r="D913" s="20">
        <v>1101.4676561533704</v>
      </c>
      <c r="E913" s="20">
        <v>288.17192331478043</v>
      </c>
      <c r="F913" s="20">
        <v>45.166851043701172</v>
      </c>
      <c r="G913" s="20">
        <v>-36.866645812988281</v>
      </c>
      <c r="H913" s="20">
        <v>7.4756163840799568</v>
      </c>
      <c r="I913" s="20">
        <v>0.83997708891976242</v>
      </c>
    </row>
    <row r="914" spans="1:9">
      <c r="A914" s="18">
        <v>1092</v>
      </c>
      <c r="B914" s="20">
        <v>36.417498938428878</v>
      </c>
      <c r="C914" s="20">
        <v>30.417498938428878</v>
      </c>
      <c r="D914" s="20">
        <v>1098.3622754491018</v>
      </c>
      <c r="E914" s="20">
        <v>289.24164171656685</v>
      </c>
      <c r="F914" s="20">
        <v>44.607475280761719</v>
      </c>
      <c r="G914" s="20">
        <v>-37.057907104492188</v>
      </c>
      <c r="H914" s="20">
        <v>7.4436483698433218</v>
      </c>
      <c r="I914" s="20">
        <v>0.84551690015062342</v>
      </c>
    </row>
    <row r="915" spans="1:9">
      <c r="A915" s="18">
        <v>1093</v>
      </c>
      <c r="B915" s="20">
        <v>36.450848296431097</v>
      </c>
      <c r="C915" s="20">
        <v>30.450848296431097</v>
      </c>
      <c r="D915" s="20">
        <v>1092.6239443616491</v>
      </c>
      <c r="E915" s="20">
        <v>289.03055141579733</v>
      </c>
      <c r="F915" s="20">
        <v>43.574951171875</v>
      </c>
      <c r="G915" s="20">
        <v>-37.015640258789063</v>
      </c>
      <c r="H915" s="20">
        <v>7.4603444245460686</v>
      </c>
      <c r="I915" s="20">
        <v>0.85346575955970816</v>
      </c>
    </row>
    <row r="916" spans="1:9">
      <c r="A916" s="18">
        <v>1094</v>
      </c>
      <c r="B916" s="20">
        <v>36.484197654433324</v>
      </c>
      <c r="C916" s="20">
        <v>30.484197654433324</v>
      </c>
      <c r="D916" s="20">
        <v>1088.045092177379</v>
      </c>
      <c r="E916" s="20">
        <v>289.58009466865968</v>
      </c>
      <c r="F916" s="20">
        <v>42.750709533691406</v>
      </c>
      <c r="G916" s="20">
        <v>-37.111774444580078</v>
      </c>
      <c r="H916" s="20">
        <v>7.4492178793167705</v>
      </c>
      <c r="I916" s="20">
        <v>0.86528528118178449</v>
      </c>
    </row>
    <row r="917" spans="1:9">
      <c r="A917" s="18">
        <v>1095</v>
      </c>
      <c r="B917" s="20">
        <v>36.51754701243555</v>
      </c>
      <c r="C917" s="20">
        <v>30.51754701243555</v>
      </c>
      <c r="D917" s="20">
        <v>1079.3801769911504</v>
      </c>
      <c r="E917" s="20">
        <v>288.77887905604717</v>
      </c>
      <c r="F917" s="20">
        <v>41.191993713378906</v>
      </c>
      <c r="G917" s="20">
        <v>-36.960693359375</v>
      </c>
      <c r="H917" s="20">
        <v>7.6537953990763894</v>
      </c>
      <c r="I917" s="20">
        <v>0.80679710685253592</v>
      </c>
    </row>
    <row r="918" spans="1:9">
      <c r="A918" s="18">
        <v>1096</v>
      </c>
      <c r="B918" s="20">
        <v>36.550896370437769</v>
      </c>
      <c r="C918" s="20">
        <v>30.550896370437769</v>
      </c>
      <c r="D918" s="20">
        <v>1074.4491061656329</v>
      </c>
      <c r="E918" s="20">
        <v>289.29587741700112</v>
      </c>
      <c r="F918" s="20">
        <v>40.304466247558594</v>
      </c>
      <c r="G918" s="20">
        <v>-37.050682067871094</v>
      </c>
      <c r="H918" s="20">
        <v>7.5391457644770172</v>
      </c>
      <c r="I918" s="20">
        <v>0.83637374880460469</v>
      </c>
    </row>
    <row r="919" spans="1:9">
      <c r="A919" s="18">
        <v>1097</v>
      </c>
      <c r="B919" s="20">
        <v>36.584245728439996</v>
      </c>
      <c r="C919" s="20">
        <v>30.584245728439996</v>
      </c>
      <c r="D919" s="20">
        <v>1071.2940682036501</v>
      </c>
      <c r="E919" s="20">
        <v>290.63748799231507</v>
      </c>
      <c r="F919" s="20">
        <v>39.736034393310547</v>
      </c>
      <c r="G919" s="20">
        <v>-37.291072845458984</v>
      </c>
      <c r="H919" s="20">
        <v>7.5871269928128733</v>
      </c>
      <c r="I919" s="20">
        <v>0.82506588015267401</v>
      </c>
    </row>
    <row r="920" spans="1:9">
      <c r="A920" s="19">
        <v>1098</v>
      </c>
      <c r="B920" s="21">
        <v>36.617595086442222</v>
      </c>
      <c r="C920" s="21">
        <v>30.617595086442222</v>
      </c>
      <c r="D920" s="21">
        <v>1068.5785244704164</v>
      </c>
      <c r="E920" s="21">
        <v>290.67944971999026</v>
      </c>
      <c r="F920" s="21">
        <v>39.247409820556641</v>
      </c>
      <c r="G920" s="21">
        <v>-37.296726226806641</v>
      </c>
      <c r="H920" s="21">
        <v>7.5350188711300268</v>
      </c>
      <c r="I920" s="21">
        <v>0.86046481290357624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20"/>
  <sheetViews>
    <sheetView showGridLines="0" topLeftCell="A877" zoomScale="61" workbookViewId="0"/>
  </sheetViews>
  <sheetFormatPr defaultRowHeight="13.8"/>
  <cols>
    <col min="1" max="1" width="11" customWidth="1"/>
    <col min="2" max="7" width="22" customWidth="1"/>
  </cols>
  <sheetData>
    <row r="1" spans="1:7" ht="27.6">
      <c r="A1" s="17" t="s">
        <v>22</v>
      </c>
      <c r="B1" s="17" t="s">
        <v>24</v>
      </c>
      <c r="C1" s="17" t="s">
        <v>31</v>
      </c>
      <c r="D1" s="17" t="s">
        <v>32</v>
      </c>
      <c r="E1" s="17" t="s">
        <v>33</v>
      </c>
      <c r="F1" s="17" t="s">
        <v>34</v>
      </c>
      <c r="G1" s="17" t="s">
        <v>35</v>
      </c>
    </row>
    <row r="2" spans="1:7">
      <c r="A2" s="18">
        <f>'Raw Data'!A2</f>
        <v>180</v>
      </c>
      <c r="B2" s="20">
        <f>'Raw Data'!C2</f>
        <v>2.8844404003640634E-3</v>
      </c>
      <c r="C2" s="20">
        <f>'Raw Data'!F2</f>
        <v>48.363109588623047</v>
      </c>
      <c r="D2" s="20">
        <f>'Raw Data'!G2</f>
        <v>-36.061180114746094</v>
      </c>
      <c r="E2" s="20">
        <f>'Raw Data'!H2</f>
        <v>7.5088292083315888</v>
      </c>
      <c r="F2" s="20">
        <f>Comparison!$B$10+(C2-Comparison!$B$10)*Comparison!$B$7</f>
        <v>50.015600881676633</v>
      </c>
      <c r="G2" s="20">
        <f>Comparison!$B$11+(D2-Comparison!$B$11)*Comparison!$B$7</f>
        <v>-35.815183706304609</v>
      </c>
    </row>
    <row r="3" spans="1:7">
      <c r="A3" s="18">
        <f>'Raw Data'!A3</f>
        <v>181</v>
      </c>
      <c r="B3" s="20">
        <f>'Raw Data'!C3</f>
        <v>3.6233798402588668E-2</v>
      </c>
      <c r="C3" s="20">
        <f>'Raw Data'!F3</f>
        <v>48.345062255859375</v>
      </c>
      <c r="D3" s="20">
        <f>'Raw Data'!G3</f>
        <v>-36.064872741699219</v>
      </c>
      <c r="E3" s="20">
        <f>'Raw Data'!H3</f>
        <v>7.5184886452864435</v>
      </c>
      <c r="F3" s="20">
        <f>Comparison!$B$10+(C3-Comparison!$B$10)*Comparison!$B$7</f>
        <v>49.996501011537759</v>
      </c>
      <c r="G3" s="20">
        <f>Comparison!$B$11+(D3-Comparison!$B$11)*Comparison!$B$7</f>
        <v>-35.81909169072533</v>
      </c>
    </row>
    <row r="4" spans="1:7">
      <c r="A4" s="18">
        <f>'Raw Data'!A4</f>
        <v>182</v>
      </c>
      <c r="B4" s="20">
        <f>'Raw Data'!C4</f>
        <v>6.9583156404812385E-2</v>
      </c>
      <c r="C4" s="20">
        <f>'Raw Data'!F4</f>
        <v>48.641857147216797</v>
      </c>
      <c r="D4" s="20">
        <f>'Raw Data'!G4</f>
        <v>-36.217323303222656</v>
      </c>
      <c r="E4" s="20">
        <f>'Raw Data'!H4</f>
        <v>7.5363947533420124</v>
      </c>
      <c r="F4" s="20">
        <f>Comparison!$B$10+(C4-Comparison!$B$10)*Comparison!$B$7</f>
        <v>50.310605259353203</v>
      </c>
      <c r="G4" s="20">
        <f>Comparison!$B$11+(D4-Comparison!$B$11)*Comparison!$B$7</f>
        <v>-35.980433311995668</v>
      </c>
    </row>
    <row r="5" spans="1:7">
      <c r="A5" s="18">
        <f>'Raw Data'!A5</f>
        <v>183</v>
      </c>
      <c r="B5" s="20">
        <f>'Raw Data'!C5</f>
        <v>0.10293251440703699</v>
      </c>
      <c r="C5" s="20">
        <f>'Raw Data'!F5</f>
        <v>48.683452606201172</v>
      </c>
      <c r="D5" s="20">
        <f>'Raw Data'!G5</f>
        <v>-36.230998992919922</v>
      </c>
      <c r="E5" s="20">
        <f>'Raw Data'!H5</f>
        <v>7.5666008654044363</v>
      </c>
      <c r="F5" s="20">
        <f>Comparison!$B$10+(C5-Comparison!$B$10)*Comparison!$B$7</f>
        <v>50.354626604522153</v>
      </c>
      <c r="G5" s="20">
        <f>Comparison!$B$11+(D5-Comparison!$B$11)*Comparison!$B$7</f>
        <v>-35.994906580743894</v>
      </c>
    </row>
    <row r="6" spans="1:7">
      <c r="A6" s="18">
        <f>'Raw Data'!A6</f>
        <v>184</v>
      </c>
      <c r="B6" s="20">
        <f>'Raw Data'!C6</f>
        <v>0.13628187240926071</v>
      </c>
      <c r="C6" s="20">
        <f>'Raw Data'!F6</f>
        <v>48.682605743408203</v>
      </c>
      <c r="D6" s="20">
        <f>'Raw Data'!G6</f>
        <v>-36.245113372802734</v>
      </c>
      <c r="E6" s="20">
        <f>'Raw Data'!H6</f>
        <v>7.5418957721426034</v>
      </c>
      <c r="F6" s="20">
        <f>Comparison!$B$10+(C6-Comparison!$B$10)*Comparison!$B$7</f>
        <v>50.353730351896736</v>
      </c>
      <c r="G6" s="20">
        <f>Comparison!$B$11+(D6-Comparison!$B$11)*Comparison!$B$7</f>
        <v>-36.009844124500788</v>
      </c>
    </row>
    <row r="7" spans="1:7">
      <c r="A7" s="18">
        <f>'Raw Data'!A7</f>
        <v>185</v>
      </c>
      <c r="B7" s="20">
        <f>'Raw Data'!C7</f>
        <v>0.16963123041148531</v>
      </c>
      <c r="C7" s="20">
        <f>'Raw Data'!F7</f>
        <v>49.052722930908203</v>
      </c>
      <c r="D7" s="20">
        <f>'Raw Data'!G7</f>
        <v>-36.514469146728516</v>
      </c>
      <c r="E7" s="20">
        <f>'Raw Data'!H7</f>
        <v>7.5501397852857473</v>
      </c>
      <c r="F7" s="20">
        <f>Comparison!$B$10+(C7-Comparison!$B$10)*Comparison!$B$7</f>
        <v>50.745433120942216</v>
      </c>
      <c r="G7" s="20">
        <f>Comparison!$B$11+(D7-Comparison!$B$11)*Comparison!$B$7</f>
        <v>-36.29490897981804</v>
      </c>
    </row>
    <row r="8" spans="1:7">
      <c r="A8" s="18">
        <f>'Raw Data'!A8</f>
        <v>186</v>
      </c>
      <c r="B8" s="20">
        <f>'Raw Data'!C8</f>
        <v>0.20298058841370992</v>
      </c>
      <c r="C8" s="20">
        <f>'Raw Data'!F8</f>
        <v>49.994503021240234</v>
      </c>
      <c r="D8" s="20">
        <f>'Raw Data'!G8</f>
        <v>-37.205734252929688</v>
      </c>
      <c r="E8" s="20">
        <f>'Raw Data'!H8</f>
        <v>7.5679710059073653</v>
      </c>
      <c r="F8" s="20">
        <f>Comparison!$B$10+(C8-Comparison!$B$10)*Comparison!$B$7</f>
        <v>51.742138709533549</v>
      </c>
      <c r="G8" s="20">
        <f>Comparison!$B$11+(D8-Comparison!$B$11)*Comparison!$B$7</f>
        <v>-37.026489315420577</v>
      </c>
    </row>
    <row r="9" spans="1:7">
      <c r="A9" s="18">
        <f>'Raw Data'!A9</f>
        <v>187</v>
      </c>
      <c r="B9" s="20">
        <f>'Raw Data'!C9</f>
        <v>0.23632994641593363</v>
      </c>
      <c r="C9" s="20">
        <f>'Raw Data'!F9</f>
        <v>47.999046325683594</v>
      </c>
      <c r="D9" s="20">
        <f>'Raw Data'!G9</f>
        <v>-36.859928131103516</v>
      </c>
      <c r="E9" s="20">
        <f>'Raw Data'!H9</f>
        <v>7.5624889544774243</v>
      </c>
      <c r="F9" s="20">
        <f>Comparison!$B$10+(C9-Comparison!$B$10)*Comparison!$B$7</f>
        <v>49.630305107750665</v>
      </c>
      <c r="G9" s="20">
        <f>Comparison!$B$11+(D9-Comparison!$B$11)*Comparison!$B$7</f>
        <v>-36.660515456202837</v>
      </c>
    </row>
    <row r="10" spans="1:7">
      <c r="A10" s="18">
        <f>'Raw Data'!A10</f>
        <v>188</v>
      </c>
      <c r="B10" s="20">
        <f>'Raw Data'!C10</f>
        <v>0.26967930441815824</v>
      </c>
      <c r="C10" s="20">
        <f>'Raw Data'!F10</f>
        <v>46.377414703369141</v>
      </c>
      <c r="D10" s="20">
        <f>'Raw Data'!G10</f>
        <v>-36.600440979003906</v>
      </c>
      <c r="E10" s="20">
        <f>'Raw Data'!H10</f>
        <v>7.5679710059073653</v>
      </c>
      <c r="F10" s="20">
        <f>Comparison!$B$10+(C10-Comparison!$B$10)*Comparison!$B$7</f>
        <v>47.914098408129931</v>
      </c>
      <c r="G10" s="20">
        <f>Comparison!$B$11+(D10-Comparison!$B$11)*Comparison!$B$7</f>
        <v>-36.385894769993442</v>
      </c>
    </row>
    <row r="11" spans="1:7">
      <c r="A11" s="18">
        <f>'Raw Data'!A11</f>
        <v>189</v>
      </c>
      <c r="B11" s="20">
        <f>'Raw Data'!C11</f>
        <v>0.30302866242038196</v>
      </c>
      <c r="C11" s="20">
        <f>'Raw Data'!F11</f>
        <v>45.460296630859375</v>
      </c>
      <c r="D11" s="20">
        <f>'Raw Data'!G11</f>
        <v>-36.671489715576172</v>
      </c>
      <c r="E11" s="20">
        <f>'Raw Data'!H11</f>
        <v>7.5583748065868592</v>
      </c>
      <c r="F11" s="20">
        <f>Comparison!$B$10+(C11-Comparison!$B$10)*Comparison!$B$7</f>
        <v>46.943493149373261</v>
      </c>
      <c r="G11" s="20">
        <f>Comparison!$B$11+(D11-Comparison!$B$11)*Comparison!$B$7</f>
        <v>-36.461087135526419</v>
      </c>
    </row>
    <row r="12" spans="1:7">
      <c r="A12" s="18">
        <f>'Raw Data'!A12</f>
        <v>190</v>
      </c>
      <c r="B12" s="20">
        <f>'Raw Data'!C12</f>
        <v>0.33637802042260656</v>
      </c>
      <c r="C12" s="20">
        <f>'Raw Data'!F12</f>
        <v>44.890853881835938</v>
      </c>
      <c r="D12" s="20">
        <f>'Raw Data'!G12</f>
        <v>-36.927146911621094</v>
      </c>
      <c r="E12" s="20">
        <f>'Raw Data'!H12</f>
        <v>7.5898596156253433</v>
      </c>
      <c r="F12" s="20">
        <f>Comparison!$B$10+(C12-Comparison!$B$10)*Comparison!$B$7</f>
        <v>46.34083996508862</v>
      </c>
      <c r="G12" s="20">
        <f>Comparison!$B$11+(D12-Comparison!$B$11)*Comparison!$B$7</f>
        <v>-36.731654499051515</v>
      </c>
    </row>
    <row r="13" spans="1:7">
      <c r="A13" s="18">
        <f>'Raw Data'!A13</f>
        <v>191</v>
      </c>
      <c r="B13" s="20">
        <f>'Raw Data'!C13</f>
        <v>0.36972737842483117</v>
      </c>
      <c r="C13" s="20">
        <f>'Raw Data'!F13</f>
        <v>44.023162841796875</v>
      </c>
      <c r="D13" s="20">
        <f>'Raw Data'!G13</f>
        <v>-36.939365386962891</v>
      </c>
      <c r="E13" s="20">
        <f>'Raw Data'!H13</f>
        <v>7.6062347363123708</v>
      </c>
      <c r="F13" s="20">
        <f>Comparison!$B$10+(C13-Comparison!$B$10)*Comparison!$B$7</f>
        <v>45.422544369698983</v>
      </c>
      <c r="G13" s="20">
        <f>Comparison!$B$11+(D13-Comparison!$B$11)*Comparison!$B$7</f>
        <v>-36.744585567336195</v>
      </c>
    </row>
    <row r="14" spans="1:7">
      <c r="A14" s="18">
        <f>'Raw Data'!A14</f>
        <v>192</v>
      </c>
      <c r="B14" s="20">
        <f>'Raw Data'!C14</f>
        <v>0.40307673642705488</v>
      </c>
      <c r="C14" s="20">
        <f>'Raw Data'!F14</f>
        <v>42.959812164306641</v>
      </c>
      <c r="D14" s="20">
        <f>'Raw Data'!G14</f>
        <v>-36.990467071533203</v>
      </c>
      <c r="E14" s="20">
        <f>'Raw Data'!H14</f>
        <v>7.5501397852857473</v>
      </c>
      <c r="F14" s="20">
        <f>Comparison!$B$10+(C14-Comparison!$B$10)*Comparison!$B$7</f>
        <v>44.297178083272975</v>
      </c>
      <c r="G14" s="20">
        <f>Comparison!$B$11+(D14-Comparison!$B$11)*Comparison!$B$7</f>
        <v>-36.798667550084105</v>
      </c>
    </row>
    <row r="15" spans="1:7">
      <c r="A15" s="18">
        <f>'Raw Data'!A15</f>
        <v>193</v>
      </c>
      <c r="B15" s="20">
        <f>'Raw Data'!C15</f>
        <v>0.43642609442927949</v>
      </c>
      <c r="C15" s="20">
        <f>'Raw Data'!F15</f>
        <v>42.493267059326172</v>
      </c>
      <c r="D15" s="20">
        <f>'Raw Data'!G15</f>
        <v>-37.253162384033203</v>
      </c>
      <c r="E15" s="20">
        <f>'Raw Data'!H15</f>
        <v>7.5570029262222453</v>
      </c>
      <c r="F15" s="20">
        <f>Comparison!$B$10+(C15-Comparison!$B$10)*Comparison!$B$7</f>
        <v>43.803423630150036</v>
      </c>
      <c r="G15" s="20">
        <f>Comparison!$B$11+(D15-Comparison!$B$11)*Comparison!$B$7</f>
        <v>-37.076683499617701</v>
      </c>
    </row>
    <row r="16" spans="1:7">
      <c r="A16" s="18">
        <f>'Raw Data'!A16</f>
        <v>194</v>
      </c>
      <c r="B16" s="20">
        <f>'Raw Data'!C16</f>
        <v>0.4697754524315032</v>
      </c>
      <c r="C16" s="20">
        <f>'Raw Data'!F16</f>
        <v>41.900638580322266</v>
      </c>
      <c r="D16" s="20">
        <f>'Raw Data'!G16</f>
        <v>-37.264114379882813</v>
      </c>
      <c r="E16" s="20">
        <f>'Raw Data'!H16</f>
        <v>7.6510856112771446</v>
      </c>
      <c r="F16" s="20">
        <f>Comparison!$B$10+(C16-Comparison!$B$10)*Comparison!$B$7</f>
        <v>43.176232502364215</v>
      </c>
      <c r="G16" s="20">
        <f>Comparison!$B$11+(D16-Comparison!$B$11)*Comparison!$B$7</f>
        <v>-37.088274226138253</v>
      </c>
    </row>
    <row r="17" spans="1:7">
      <c r="A17" s="18">
        <f>'Raw Data'!A17</f>
        <v>195</v>
      </c>
      <c r="B17" s="20">
        <f>'Raw Data'!C17</f>
        <v>0.50312481043372781</v>
      </c>
      <c r="C17" s="20">
        <f>'Raw Data'!F17</f>
        <v>40.092330932617188</v>
      </c>
      <c r="D17" s="20">
        <f>'Raw Data'!G17</f>
        <v>-37.073223114013672</v>
      </c>
      <c r="E17" s="20">
        <f>'Raw Data'!H17</f>
        <v>7.6144090908866424</v>
      </c>
      <c r="F17" s="20">
        <f>Comparison!$B$10+(C17-Comparison!$B$10)*Comparison!$B$7</f>
        <v>41.262462656449685</v>
      </c>
      <c r="G17" s="20">
        <f>Comparison!$B$11+(D17-Comparison!$B$11)*Comparison!$B$7</f>
        <v>-36.886250002587332</v>
      </c>
    </row>
    <row r="18" spans="1:7">
      <c r="A18" s="18">
        <f>'Raw Data'!A18</f>
        <v>196</v>
      </c>
      <c r="B18" s="20">
        <f>'Raw Data'!C18</f>
        <v>0.53647416843595241</v>
      </c>
      <c r="C18" s="20">
        <f>'Raw Data'!F18</f>
        <v>39.21826171875</v>
      </c>
      <c r="D18" s="20">
        <f>'Raw Data'!G18</f>
        <v>-37.221199035644531</v>
      </c>
      <c r="E18" s="20">
        <f>'Raw Data'!H18</f>
        <v>7.5473927814526762</v>
      </c>
      <c r="F18" s="20">
        <f>Comparison!$B$10+(C18-Comparison!$B$10)*Comparison!$B$7</f>
        <v>40.337416906151518</v>
      </c>
      <c r="G18" s="20">
        <f>Comparison!$B$11+(D18-Comparison!$B$11)*Comparison!$B$7</f>
        <v>-37.042856018769335</v>
      </c>
    </row>
    <row r="19" spans="1:7">
      <c r="A19" s="18">
        <f>'Raw Data'!A19</f>
        <v>197</v>
      </c>
      <c r="B19" s="20">
        <f>'Raw Data'!C19</f>
        <v>0.56982352643817613</v>
      </c>
      <c r="C19" s="20">
        <f>'Raw Data'!F19</f>
        <v>38.728000640869141</v>
      </c>
      <c r="D19" s="20">
        <f>'Raw Data'!G19</f>
        <v>-37.337059020996094</v>
      </c>
      <c r="E19" s="20">
        <f>'Raw Data'!H19</f>
        <v>7.6007802825909545</v>
      </c>
      <c r="F19" s="20">
        <f>Comparison!$B$10+(C19-Comparison!$B$10)*Comparison!$B$7</f>
        <v>39.818563342343019</v>
      </c>
      <c r="G19" s="20">
        <f>Comparison!$B$11+(D19-Comparison!$B$11)*Comparison!$B$7</f>
        <v>-37.165473067143445</v>
      </c>
    </row>
    <row r="20" spans="1:7">
      <c r="A20" s="18">
        <f>'Raw Data'!A20</f>
        <v>198</v>
      </c>
      <c r="B20" s="20">
        <f>'Raw Data'!C20</f>
        <v>0.60317288444040074</v>
      </c>
      <c r="C20" s="20">
        <f>'Raw Data'!F20</f>
        <v>37.928592681884766</v>
      </c>
      <c r="D20" s="20">
        <f>'Raw Data'!G20</f>
        <v>-37.465503692626953</v>
      </c>
      <c r="E20" s="20">
        <f>'Raw Data'!H20</f>
        <v>7.5322663527290965</v>
      </c>
      <c r="F20" s="20">
        <f>Comparison!$B$10+(C20-Comparison!$B$10)*Comparison!$B$7</f>
        <v>38.972533161344806</v>
      </c>
      <c r="G20" s="20">
        <f>Comparison!$B$11+(D20-Comparison!$B$11)*Comparison!$B$7</f>
        <v>-37.301408752505111</v>
      </c>
    </row>
    <row r="21" spans="1:7">
      <c r="A21" s="18">
        <f>'Raw Data'!A21</f>
        <v>199</v>
      </c>
      <c r="B21" s="20">
        <f>'Raw Data'!C21</f>
        <v>0.63652224244262445</v>
      </c>
      <c r="C21" s="20">
        <f>'Raw Data'!F21</f>
        <v>36.566356658935547</v>
      </c>
      <c r="D21" s="20">
        <f>'Raw Data'!G21</f>
        <v>-37.439544677734375</v>
      </c>
      <c r="E21" s="20">
        <f>'Raw Data'!H21</f>
        <v>7.5253806520918287</v>
      </c>
      <c r="F21" s="20">
        <f>Comparison!$B$10+(C21-Comparison!$B$10)*Comparison!$B$7</f>
        <v>37.530850255757748</v>
      </c>
      <c r="G21" s="20">
        <f>Comparison!$B$11+(D21-Comparison!$B$11)*Comparison!$B$7</f>
        <v>-37.273935783514403</v>
      </c>
    </row>
    <row r="22" spans="1:7">
      <c r="A22" s="18">
        <f>'Raw Data'!A22</f>
        <v>200</v>
      </c>
      <c r="B22" s="20">
        <f>'Raw Data'!C22</f>
        <v>0.66987160044484906</v>
      </c>
      <c r="C22" s="20">
        <f>'Raw Data'!F22</f>
        <v>35.683097839355469</v>
      </c>
      <c r="D22" s="20">
        <f>'Raw Data'!G22</f>
        <v>-37.358146667480469</v>
      </c>
      <c r="E22" s="20">
        <f>'Raw Data'!H22</f>
        <v>7.6048714896419876</v>
      </c>
      <c r="F22" s="20">
        <f>Comparison!$B$10+(C22-Comparison!$B$10)*Comparison!$B$7</f>
        <v>36.596078953321658</v>
      </c>
      <c r="G22" s="20">
        <f>Comparison!$B$11+(D22-Comparison!$B$11)*Comparison!$B$7</f>
        <v>-37.18779056495103</v>
      </c>
    </row>
    <row r="23" spans="1:7">
      <c r="A23" s="18">
        <f>'Raw Data'!A23</f>
        <v>201</v>
      </c>
      <c r="B23" s="20">
        <f>'Raw Data'!C23</f>
        <v>0.70322095844707277</v>
      </c>
      <c r="C23" s="20">
        <f>'Raw Data'!F23</f>
        <v>35.146160125732422</v>
      </c>
      <c r="D23" s="20">
        <f>'Raw Data'!G23</f>
        <v>-37.486289978027344</v>
      </c>
      <c r="E23" s="20">
        <f>'Raw Data'!H23</f>
        <v>7.53777038441185</v>
      </c>
      <c r="F23" s="20">
        <f>Comparison!$B$10+(C23-Comparison!$B$10)*Comparison!$B$7</f>
        <v>36.027826528591731</v>
      </c>
      <c r="G23" s="20">
        <f>Comparison!$B$11+(D23-Comparison!$B$11)*Comparison!$B$7</f>
        <v>-37.323407313567614</v>
      </c>
    </row>
    <row r="24" spans="1:7">
      <c r="A24" s="18">
        <f>'Raw Data'!A24</f>
        <v>202</v>
      </c>
      <c r="B24" s="20">
        <f>'Raw Data'!C24</f>
        <v>0.73657031644929738</v>
      </c>
      <c r="C24" s="20">
        <f>'Raw Data'!F24</f>
        <v>34.145576477050781</v>
      </c>
      <c r="D24" s="20">
        <f>'Raw Data'!G24</f>
        <v>-37.506038665771484</v>
      </c>
      <c r="E24" s="20">
        <f>'Raw Data'!H24</f>
        <v>7.5212462058579037</v>
      </c>
      <c r="F24" s="20">
        <f>Comparison!$B$10+(C24-Comparison!$B$10)*Comparison!$B$7</f>
        <v>34.96888790297001</v>
      </c>
      <c r="G24" s="20">
        <f>Comparison!$B$11+(D24-Comparison!$B$11)*Comparison!$B$7</f>
        <v>-37.344307763305295</v>
      </c>
    </row>
    <row r="25" spans="1:7">
      <c r="A25" s="18">
        <f>'Raw Data'!A25</f>
        <v>203</v>
      </c>
      <c r="B25" s="20">
        <f>'Raw Data'!C25</f>
        <v>0.76991967445152198</v>
      </c>
      <c r="C25" s="20">
        <f>'Raw Data'!F25</f>
        <v>32.6121826171875</v>
      </c>
      <c r="D25" s="20">
        <f>'Raw Data'!G25</f>
        <v>-37.301528930664063</v>
      </c>
      <c r="E25" s="20">
        <f>'Raw Data'!H25</f>
        <v>7.5363947533420124</v>
      </c>
      <c r="F25" s="20">
        <f>Comparison!$B$10+(C25-Comparison!$B$10)*Comparison!$B$7</f>
        <v>33.346065074873749</v>
      </c>
      <c r="G25" s="20">
        <f>Comparison!$B$11+(D25-Comparison!$B$11)*Comparison!$B$7</f>
        <v>-37.127870828615968</v>
      </c>
    </row>
    <row r="26" spans="1:7">
      <c r="A26" s="18">
        <f>'Raw Data'!A26</f>
        <v>204</v>
      </c>
      <c r="B26" s="20">
        <f>'Raw Data'!C26</f>
        <v>0.8032690324537457</v>
      </c>
      <c r="C26" s="20">
        <f>'Raw Data'!F26</f>
        <v>31.959705352783203</v>
      </c>
      <c r="D26" s="20">
        <f>'Raw Data'!G26</f>
        <v>-37.508335113525391</v>
      </c>
      <c r="E26" s="20">
        <f>'Raw Data'!H26</f>
        <v>7.5074482742126314</v>
      </c>
      <c r="F26" s="20">
        <f>Comparison!$B$10+(C26-Comparison!$B$10)*Comparison!$B$7</f>
        <v>32.655534724384736</v>
      </c>
      <c r="G26" s="20">
        <f>Comparison!$B$11+(D26-Comparison!$B$11)*Comparison!$B$7</f>
        <v>-37.346738142046284</v>
      </c>
    </row>
    <row r="27" spans="1:7">
      <c r="A27" s="18">
        <f>'Raw Data'!A27</f>
        <v>205</v>
      </c>
      <c r="B27" s="20">
        <f>'Raw Data'!C27</f>
        <v>0.83661839045597031</v>
      </c>
      <c r="C27" s="20">
        <f>'Raw Data'!F27</f>
        <v>31.313732147216797</v>
      </c>
      <c r="D27" s="20">
        <f>'Raw Data'!G27</f>
        <v>-37.670524597167969</v>
      </c>
      <c r="E27" s="20">
        <f>'Raw Data'!H27</f>
        <v>7.4991573293594787</v>
      </c>
      <c r="F27" s="20">
        <f>Comparison!$B$10+(C27-Comparison!$B$10)*Comparison!$B$7</f>
        <v>31.971887755545861</v>
      </c>
      <c r="G27" s="20">
        <f>Comparison!$B$11+(D27-Comparison!$B$11)*Comparison!$B$7</f>
        <v>-37.518386668508874</v>
      </c>
    </row>
    <row r="28" spans="1:7">
      <c r="A28" s="18">
        <f>'Raw Data'!A28</f>
        <v>206</v>
      </c>
      <c r="B28" s="20">
        <f>'Raw Data'!C28</f>
        <v>0.86996774845819402</v>
      </c>
      <c r="C28" s="20">
        <f>'Raw Data'!F28</f>
        <v>30.146602630615234</v>
      </c>
      <c r="D28" s="20">
        <f>'Raw Data'!G28</f>
        <v>-37.698516845703125</v>
      </c>
      <c r="E28" s="20">
        <f>'Raw Data'!H28</f>
        <v>7.5322663527290965</v>
      </c>
      <c r="F28" s="20">
        <f>Comparison!$B$10+(C28-Comparison!$B$10)*Comparison!$B$7</f>
        <v>30.736690150766851</v>
      </c>
      <c r="G28" s="20">
        <f>Comparison!$B$11+(D28-Comparison!$B$11)*Comparison!$B$7</f>
        <v>-37.548011451235375</v>
      </c>
    </row>
    <row r="29" spans="1:7">
      <c r="A29" s="18">
        <f>'Raw Data'!A29</f>
        <v>207</v>
      </c>
      <c r="B29" s="20">
        <f>'Raw Data'!C29</f>
        <v>0.90331710646041863</v>
      </c>
      <c r="C29" s="20">
        <f>'Raw Data'!F29</f>
        <v>29.238252639770508</v>
      </c>
      <c r="D29" s="20">
        <f>'Raw Data'!G29</f>
        <v>-37.735042572021484</v>
      </c>
      <c r="E29" s="20">
        <f>'Raw Data'!H29</f>
        <v>7.563859839824401</v>
      </c>
      <c r="F29" s="20">
        <f>Comparison!$B$10+(C29-Comparison!$B$10)*Comparison!$B$7</f>
        <v>29.775364336422399</v>
      </c>
      <c r="G29" s="20">
        <f>Comparison!$B$11+(D29-Comparison!$B$11)*Comparison!$B$7</f>
        <v>-37.586667392173801</v>
      </c>
    </row>
    <row r="30" spans="1:7">
      <c r="A30" s="18">
        <f>'Raw Data'!A30</f>
        <v>208</v>
      </c>
      <c r="B30" s="20">
        <f>'Raw Data'!C30</f>
        <v>0.93666646446264323</v>
      </c>
      <c r="C30" s="20">
        <f>'Raw Data'!F30</f>
        <v>28.397075653076172</v>
      </c>
      <c r="D30" s="20">
        <f>'Raw Data'!G30</f>
        <v>-37.746112823486328</v>
      </c>
      <c r="E30" s="20">
        <f>'Raw Data'!H30</f>
        <v>7.5212462058579037</v>
      </c>
      <c r="F30" s="20">
        <f>Comparison!$B$10+(C30-Comparison!$B$10)*Comparison!$B$7</f>
        <v>28.885129118838769</v>
      </c>
      <c r="G30" s="20">
        <f>Comparison!$B$11+(D30-Comparison!$B$11)*Comparison!$B$7</f>
        <v>-37.598383271087989</v>
      </c>
    </row>
    <row r="31" spans="1:7">
      <c r="A31" s="18">
        <f>'Raw Data'!A31</f>
        <v>209</v>
      </c>
      <c r="B31" s="20">
        <f>'Raw Data'!C31</f>
        <v>0.97001582246486695</v>
      </c>
      <c r="C31" s="20">
        <f>'Raw Data'!F31</f>
        <v>27.958816528320313</v>
      </c>
      <c r="D31" s="20">
        <f>'Raw Data'!G31</f>
        <v>-37.874637603759766</v>
      </c>
      <c r="E31" s="20">
        <f>'Raw Data'!H31</f>
        <v>7.4853186806796854</v>
      </c>
      <c r="F31" s="20">
        <f>Comparison!$B$10+(C31-Comparison!$B$10)*Comparison!$B$7</f>
        <v>28.421310310839431</v>
      </c>
      <c r="G31" s="20">
        <f>Comparison!$B$11+(D31-Comparison!$B$11)*Comparison!$B$7</f>
        <v>-37.734403737103413</v>
      </c>
    </row>
    <row r="32" spans="1:7">
      <c r="A32" s="18">
        <f>'Raw Data'!A32</f>
        <v>210</v>
      </c>
      <c r="B32" s="20">
        <f>'Raw Data'!C32</f>
        <v>1.0033651804670916</v>
      </c>
      <c r="C32" s="20">
        <f>'Raw Data'!F32</f>
        <v>26.674386978149414</v>
      </c>
      <c r="D32" s="20">
        <f>'Raw Data'!G32</f>
        <v>-37.94049072265625</v>
      </c>
      <c r="E32" s="20">
        <f>'Raw Data'!H32</f>
        <v>7.5816587924680601</v>
      </c>
      <c r="F32" s="20">
        <f>Comparison!$B$10+(C32-Comparison!$B$10)*Comparison!$B$7</f>
        <v>27.061971624505716</v>
      </c>
      <c r="G32" s="20">
        <f>Comparison!$B$11+(D32-Comparison!$B$11)*Comparison!$B$7</f>
        <v>-37.804097471664264</v>
      </c>
    </row>
    <row r="33" spans="1:7">
      <c r="A33" s="18">
        <f>'Raw Data'!A33</f>
        <v>211</v>
      </c>
      <c r="B33" s="20">
        <f>'Raw Data'!C33</f>
        <v>1.0367145384693153</v>
      </c>
      <c r="C33" s="20">
        <f>'Raw Data'!F33</f>
        <v>25.805845260620117</v>
      </c>
      <c r="D33" s="20">
        <f>'Raw Data'!G33</f>
        <v>-37.856948852539063</v>
      </c>
      <c r="E33" s="20">
        <f>'Raw Data'!H33</f>
        <v>7.5322663527290965</v>
      </c>
      <c r="F33" s="20">
        <f>Comparison!$B$10+(C33-Comparison!$B$10)*Comparison!$B$7</f>
        <v>26.142775739316669</v>
      </c>
      <c r="G33" s="20">
        <f>Comparison!$B$11+(D33-Comparison!$B$11)*Comparison!$B$7</f>
        <v>-37.715683361319442</v>
      </c>
    </row>
    <row r="34" spans="1:7">
      <c r="A34" s="18">
        <f>'Raw Data'!A34</f>
        <v>212</v>
      </c>
      <c r="B34" s="20">
        <f>'Raw Data'!C34</f>
        <v>1.0700638964715399</v>
      </c>
      <c r="C34" s="20">
        <f>'Raw Data'!F34</f>
        <v>24.721078872680664</v>
      </c>
      <c r="D34" s="20">
        <f>'Raw Data'!G34</f>
        <v>-37.8424072265625</v>
      </c>
      <c r="E34" s="20">
        <f>'Raw Data'!H34</f>
        <v>7.5143504070248861</v>
      </c>
      <c r="F34" s="20">
        <f>Comparison!$B$10+(C34-Comparison!$B$10)*Comparison!$B$7</f>
        <v>24.994744758120085</v>
      </c>
      <c r="G34" s="20">
        <f>Comparison!$B$11+(D34-Comparison!$B$11)*Comparison!$B$7</f>
        <v>-37.700293654075857</v>
      </c>
    </row>
    <row r="35" spans="1:7">
      <c r="A35" s="18">
        <f>'Raw Data'!A35</f>
        <v>213</v>
      </c>
      <c r="B35" s="20">
        <f>'Raw Data'!C35</f>
        <v>1.1034132544737645</v>
      </c>
      <c r="C35" s="20">
        <f>'Raw Data'!F35</f>
        <v>23.838098526000977</v>
      </c>
      <c r="D35" s="20">
        <f>'Raw Data'!G35</f>
        <v>-37.808792114257813</v>
      </c>
      <c r="E35" s="20">
        <f>'Raw Data'!H35</f>
        <v>7.5226246070801173</v>
      </c>
      <c r="F35" s="20">
        <f>Comparison!$B$10+(C35-Comparison!$B$10)*Comparison!$B$7</f>
        <v>24.060268169385139</v>
      </c>
      <c r="G35" s="20">
        <f>Comparison!$B$11+(D35-Comparison!$B$11)*Comparison!$B$7</f>
        <v>-37.664718076890537</v>
      </c>
    </row>
    <row r="36" spans="1:7">
      <c r="A36" s="18">
        <f>'Raw Data'!A36</f>
        <v>214</v>
      </c>
      <c r="B36" s="20">
        <f>'Raw Data'!C36</f>
        <v>1.1367626124759882</v>
      </c>
      <c r="C36" s="20">
        <f>'Raw Data'!F36</f>
        <v>22.84254264831543</v>
      </c>
      <c r="D36" s="20">
        <f>'Raw Data'!G36</f>
        <v>-37.852252960205078</v>
      </c>
      <c r="E36" s="20">
        <f>'Raw Data'!H36</f>
        <v>7.5350188711300268</v>
      </c>
      <c r="F36" s="20">
        <f>Comparison!$B$10+(C36-Comparison!$B$10)*Comparison!$B$7</f>
        <v>23.006650539080059</v>
      </c>
      <c r="G36" s="20">
        <f>Comparison!$B$11+(D36-Comparison!$B$11)*Comparison!$B$7</f>
        <v>-37.710713600139783</v>
      </c>
    </row>
    <row r="37" spans="1:7">
      <c r="A37" s="18">
        <f>'Raw Data'!A37</f>
        <v>215</v>
      </c>
      <c r="B37" s="20">
        <f>'Raw Data'!C37</f>
        <v>1.1701119704782128</v>
      </c>
      <c r="C37" s="20">
        <f>'Raw Data'!F37</f>
        <v>21.930543899536133</v>
      </c>
      <c r="D37" s="20">
        <f>'Raw Data'!G37</f>
        <v>-37.913825988769531</v>
      </c>
      <c r="E37" s="20">
        <f>'Raw Data'!H37</f>
        <v>7.5363947533420124</v>
      </c>
      <c r="F37" s="20">
        <f>Comparison!$B$10+(C37-Comparison!$B$10)*Comparison!$B$7</f>
        <v>22.041463167815756</v>
      </c>
      <c r="G37" s="20">
        <f>Comparison!$B$11+(D37-Comparison!$B$11)*Comparison!$B$7</f>
        <v>-37.775877625485712</v>
      </c>
    </row>
    <row r="38" spans="1:7">
      <c r="A38" s="18">
        <f>'Raw Data'!A38</f>
        <v>216</v>
      </c>
      <c r="B38" s="20">
        <f>'Raw Data'!C38</f>
        <v>1.2034613284804365</v>
      </c>
      <c r="C38" s="20">
        <f>'Raw Data'!F38</f>
        <v>21.602725982666016</v>
      </c>
      <c r="D38" s="20">
        <f>'Raw Data'!G38</f>
        <v>-37.975177764892578</v>
      </c>
      <c r="E38" s="20">
        <f>'Raw Data'!H38</f>
        <v>7.5391457644770172</v>
      </c>
      <c r="F38" s="20">
        <f>Comparison!$B$10+(C38-Comparison!$B$10)*Comparison!$B$7</f>
        <v>21.694526602540073</v>
      </c>
      <c r="G38" s="20">
        <f>Comparison!$B$11+(D38-Comparison!$B$11)*Comparison!$B$7</f>
        <v>-37.840807494740311</v>
      </c>
    </row>
    <row r="39" spans="1:7">
      <c r="A39" s="18">
        <f>'Raw Data'!A39</f>
        <v>217</v>
      </c>
      <c r="B39" s="20">
        <f>'Raw Data'!C39</f>
        <v>1.2368106864826611</v>
      </c>
      <c r="C39" s="20">
        <f>'Raw Data'!F39</f>
        <v>20.369867324829102</v>
      </c>
      <c r="D39" s="20">
        <f>'Raw Data'!G39</f>
        <v>-37.932323455810547</v>
      </c>
      <c r="E39" s="20">
        <f>'Raw Data'!H39</f>
        <v>7.5473927814526762</v>
      </c>
      <c r="F39" s="20">
        <f>Comparison!$B$10+(C39-Comparison!$B$10)*Comparison!$B$7</f>
        <v>20.389766471354832</v>
      </c>
      <c r="G39" s="20">
        <f>Comparison!$B$11+(D39-Comparison!$B$11)*Comparison!$B$7</f>
        <v>-37.795453882155208</v>
      </c>
    </row>
    <row r="40" spans="1:7">
      <c r="A40" s="18">
        <f>'Raw Data'!A40</f>
        <v>218</v>
      </c>
      <c r="B40" s="20">
        <f>'Raw Data'!C40</f>
        <v>1.2701600444848857</v>
      </c>
      <c r="C40" s="20">
        <f>'Raw Data'!F40</f>
        <v>19.211786270141602</v>
      </c>
      <c r="D40" s="20">
        <f>'Raw Data'!G40</f>
        <v>-37.928070068359375</v>
      </c>
      <c r="E40" s="20">
        <f>'Raw Data'!H40</f>
        <v>7.4991573293594787</v>
      </c>
      <c r="F40" s="20">
        <f>Comparison!$B$10+(C40-Comparison!$B$10)*Comparison!$B$7</f>
        <v>19.164145043276186</v>
      </c>
      <c r="G40" s="20">
        <f>Comparison!$B$11+(D40-Comparison!$B$11)*Comparison!$B$7</f>
        <v>-37.790952433158203</v>
      </c>
    </row>
    <row r="41" spans="1:7">
      <c r="A41" s="18">
        <f>'Raw Data'!A41</f>
        <v>219</v>
      </c>
      <c r="B41" s="20">
        <f>'Raw Data'!C41</f>
        <v>1.3035094024871094</v>
      </c>
      <c r="C41" s="20">
        <f>'Raw Data'!F41</f>
        <v>17.701274871826172</v>
      </c>
      <c r="D41" s="20">
        <f>'Raw Data'!G41</f>
        <v>-37.953582763671875</v>
      </c>
      <c r="E41" s="20">
        <f>'Raw Data'!H41</f>
        <v>7.5528857900265809</v>
      </c>
      <c r="F41" s="20">
        <f>Comparison!$B$10+(C41-Comparison!$B$10)*Comparison!$B$7</f>
        <v>17.565539203349033</v>
      </c>
      <c r="G41" s="20">
        <f>Comparison!$B$11+(D41-Comparison!$B$11)*Comparison!$B$7</f>
        <v>-37.817953052792276</v>
      </c>
    </row>
    <row r="42" spans="1:7">
      <c r="A42" s="18">
        <f>'Raw Data'!A42</f>
        <v>220</v>
      </c>
      <c r="B42" s="20">
        <f>'Raw Data'!C42</f>
        <v>1.3368587604893341</v>
      </c>
      <c r="C42" s="20">
        <f>'Raw Data'!F42</f>
        <v>17.358219146728516</v>
      </c>
      <c r="D42" s="20">
        <f>'Raw Data'!G42</f>
        <v>-37.967964172363281</v>
      </c>
      <c r="E42" s="20">
        <f>'Raw Data'!H42</f>
        <v>7.5693408983986119</v>
      </c>
      <c r="F42" s="20">
        <f>Comparison!$B$10+(C42-Comparison!$B$10)*Comparison!$B$7</f>
        <v>17.202476146576895</v>
      </c>
      <c r="G42" s="20">
        <f>Comparison!$B$11+(D42-Comparison!$B$11)*Comparison!$B$7</f>
        <v>-37.833173198728346</v>
      </c>
    </row>
    <row r="43" spans="1:7">
      <c r="A43" s="18">
        <f>'Raw Data'!A43</f>
        <v>221</v>
      </c>
      <c r="B43" s="20">
        <f>'Raw Data'!C43</f>
        <v>1.3702081184915578</v>
      </c>
      <c r="C43" s="20">
        <f>'Raw Data'!F43</f>
        <v>16.499916076660156</v>
      </c>
      <c r="D43" s="20">
        <f>'Raw Data'!G43</f>
        <v>-37.979866027832031</v>
      </c>
      <c r="E43" s="20">
        <f>'Raw Data'!H43</f>
        <v>7.6048714896419876</v>
      </c>
      <c r="F43" s="20">
        <f>Comparison!$B$10+(C43-Comparison!$B$10)*Comparison!$B$7</f>
        <v>16.294116036372579</v>
      </c>
      <c r="G43" s="20">
        <f>Comparison!$B$11+(D43-Comparison!$B$11)*Comparison!$B$7</f>
        <v>-37.845769181571995</v>
      </c>
    </row>
    <row r="44" spans="1:7">
      <c r="A44" s="18">
        <f>'Raw Data'!A44</f>
        <v>222</v>
      </c>
      <c r="B44" s="20">
        <f>'Raw Data'!C44</f>
        <v>1.4035574764937824</v>
      </c>
      <c r="C44" s="20">
        <f>'Raw Data'!F44</f>
        <v>15.14096736907959</v>
      </c>
      <c r="D44" s="20">
        <f>'Raw Data'!G44</f>
        <v>-38.030406951904297</v>
      </c>
      <c r="E44" s="20">
        <f>'Raw Data'!H44</f>
        <v>7.5487664083239023</v>
      </c>
      <c r="F44" s="20">
        <f>Comparison!$B$10+(C44-Comparison!$B$10)*Comparison!$B$7</f>
        <v>14.855912165469977</v>
      </c>
      <c r="G44" s="20">
        <f>Comparison!$B$11+(D44-Comparison!$B$11)*Comparison!$B$7</f>
        <v>-37.899257699743615</v>
      </c>
    </row>
    <row r="45" spans="1:7">
      <c r="A45" s="18">
        <f>'Raw Data'!A45</f>
        <v>223</v>
      </c>
      <c r="B45" s="20">
        <f>'Raw Data'!C45</f>
        <v>1.436906834496007</v>
      </c>
      <c r="C45" s="20">
        <f>'Raw Data'!F45</f>
        <v>14.667098045349121</v>
      </c>
      <c r="D45" s="20">
        <f>'Raw Data'!G45</f>
        <v>-38.081233978271484</v>
      </c>
      <c r="E45" s="20">
        <f>'Raw Data'!H45</f>
        <v>7.6184929791346043</v>
      </c>
      <c r="F45" s="20">
        <f>Comparison!$B$10+(C45-Comparison!$B$10)*Comparison!$B$7</f>
        <v>14.35440633828941</v>
      </c>
      <c r="G45" s="20">
        <f>Comparison!$B$11+(D45-Comparison!$B$11)*Comparison!$B$7</f>
        <v>-37.953049005964367</v>
      </c>
    </row>
    <row r="46" spans="1:7">
      <c r="A46" s="18">
        <f>'Raw Data'!A46</f>
        <v>224</v>
      </c>
      <c r="B46" s="20">
        <f>'Raw Data'!C46</f>
        <v>1.4702561924982307</v>
      </c>
      <c r="C46" s="20">
        <f>'Raw Data'!F46</f>
        <v>14.152649879455566</v>
      </c>
      <c r="D46" s="20">
        <f>'Raw Data'!G46</f>
        <v>-38.136226654052734</v>
      </c>
      <c r="E46" s="20">
        <f>'Raw Data'!H46</f>
        <v>7.5295128281067525</v>
      </c>
      <c r="F46" s="20">
        <f>Comparison!$B$10+(C46-Comparison!$B$10)*Comparison!$B$7</f>
        <v>13.809955072807789</v>
      </c>
      <c r="G46" s="20">
        <f>Comparison!$B$11+(D46-Comparison!$B$11)*Comparison!$B$7</f>
        <v>-38.011248906180391</v>
      </c>
    </row>
    <row r="47" spans="1:7">
      <c r="A47" s="18">
        <f>'Raw Data'!A47</f>
        <v>225</v>
      </c>
      <c r="B47" s="20">
        <f>'Raw Data'!C47</f>
        <v>1.5036055505004553</v>
      </c>
      <c r="C47" s="20">
        <f>'Raw Data'!F47</f>
        <v>14.119158744812012</v>
      </c>
      <c r="D47" s="20">
        <f>'Raw Data'!G47</f>
        <v>-38.134059906005859</v>
      </c>
      <c r="E47" s="20">
        <f>'Raw Data'!H47</f>
        <v>7.528135688117529</v>
      </c>
      <c r="F47" s="20">
        <f>Comparison!$B$10+(C47-Comparison!$B$10)*Comparison!$B$7</f>
        <v>13.774510703777086</v>
      </c>
      <c r="G47" s="20">
        <f>Comparison!$B$11+(D47-Comparison!$B$11)*Comparison!$B$7</f>
        <v>-38.008955791355007</v>
      </c>
    </row>
    <row r="48" spans="1:7">
      <c r="A48" s="18">
        <f>'Raw Data'!A48</f>
        <v>226</v>
      </c>
      <c r="B48" s="20">
        <f>'Raw Data'!C48</f>
        <v>1.536954908502679</v>
      </c>
      <c r="C48" s="20">
        <f>'Raw Data'!F48</f>
        <v>12.474568367004395</v>
      </c>
      <c r="D48" s="20">
        <f>'Raw Data'!G48</f>
        <v>-38.243175506591797</v>
      </c>
      <c r="E48" s="20">
        <f>'Raw Data'!H48</f>
        <v>7.6225746793894631</v>
      </c>
      <c r="F48" s="20">
        <f>Comparison!$B$10+(C48-Comparison!$B$10)*Comparison!$B$7</f>
        <v>12.034006272507479</v>
      </c>
      <c r="G48" s="20">
        <f>Comparison!$B$11+(D48-Comparison!$B$11)*Comparison!$B$7</f>
        <v>-38.124435116117716</v>
      </c>
    </row>
    <row r="49" spans="1:7">
      <c r="A49" s="18">
        <f>'Raw Data'!A49</f>
        <v>227</v>
      </c>
      <c r="B49" s="20">
        <f>'Raw Data'!C49</f>
        <v>1.5703042665049036</v>
      </c>
      <c r="C49" s="20">
        <f>'Raw Data'!F49</f>
        <v>12.107150077819824</v>
      </c>
      <c r="D49" s="20">
        <f>'Raw Data'!G49</f>
        <v>-38.270000457763672</v>
      </c>
      <c r="E49" s="20">
        <f>'Raw Data'!H49</f>
        <v>7.5830262122271224</v>
      </c>
      <c r="F49" s="20">
        <f>Comparison!$B$10+(C49-Comparison!$B$10)*Comparison!$B$7</f>
        <v>11.645159804058755</v>
      </c>
      <c r="G49" s="20">
        <f>Comparison!$B$11+(D49-Comparison!$B$11)*Comparison!$B$7</f>
        <v>-38.152824523603776</v>
      </c>
    </row>
    <row r="50" spans="1:7">
      <c r="A50" s="18">
        <f>'Raw Data'!A50</f>
        <v>228</v>
      </c>
      <c r="B50" s="20">
        <f>'Raw Data'!C50</f>
        <v>1.6036536245071282</v>
      </c>
      <c r="C50" s="20">
        <f>'Raw Data'!F50</f>
        <v>11.432546615600586</v>
      </c>
      <c r="D50" s="20">
        <f>'Raw Data'!G50</f>
        <v>-38.300434112548828</v>
      </c>
      <c r="E50" s="20">
        <f>'Raw Data'!H50</f>
        <v>7.6578582828796868</v>
      </c>
      <c r="F50" s="20">
        <f>Comparison!$B$10+(C50-Comparison!$B$10)*Comparison!$B$7</f>
        <v>10.931212835143828</v>
      </c>
      <c r="G50" s="20">
        <f>Comparison!$B$11+(D50-Comparison!$B$11)*Comparison!$B$7</f>
        <v>-38.185033097682819</v>
      </c>
    </row>
    <row r="51" spans="1:7">
      <c r="A51" s="18">
        <f>'Raw Data'!A51</f>
        <v>229</v>
      </c>
      <c r="B51" s="20">
        <f>'Raw Data'!C51</f>
        <v>1.6370029825093519</v>
      </c>
      <c r="C51" s="20">
        <f>'Raw Data'!F51</f>
        <v>10.670687675476074</v>
      </c>
      <c r="D51" s="20">
        <f>'Raw Data'!G51</f>
        <v>-38.344993591308594</v>
      </c>
      <c r="E51" s="20">
        <f>'Raw Data'!H51</f>
        <v>7.4908572080232423</v>
      </c>
      <c r="F51" s="20">
        <f>Comparison!$B$10+(C51-Comparison!$B$10)*Comparison!$B$7</f>
        <v>10.124921567006423</v>
      </c>
      <c r="G51" s="20">
        <f>Comparison!$B$11+(D51-Comparison!$B$11)*Comparison!$B$7</f>
        <v>-38.232191327040709</v>
      </c>
    </row>
    <row r="52" spans="1:7">
      <c r="A52" s="18">
        <f>'Raw Data'!A52</f>
        <v>230</v>
      </c>
      <c r="B52" s="20">
        <f>'Raw Data'!C52</f>
        <v>1.6703523405115765</v>
      </c>
      <c r="C52" s="20">
        <f>'Raw Data'!F52</f>
        <v>9.0072755813598633</v>
      </c>
      <c r="D52" s="20">
        <f>'Raw Data'!G52</f>
        <v>-38.273708343505859</v>
      </c>
      <c r="E52" s="20">
        <f>'Raw Data'!H52</f>
        <v>7.5734490891479567</v>
      </c>
      <c r="F52" s="20">
        <f>Comparison!$B$10+(C52-Comparison!$B$10)*Comparison!$B$7</f>
        <v>8.3644977192783045</v>
      </c>
      <c r="G52" s="20">
        <f>Comparison!$B$11+(D52-Comparison!$B$11)*Comparison!$B$7</f>
        <v>-38.156748656720453</v>
      </c>
    </row>
    <row r="53" spans="1:7">
      <c r="A53" s="18">
        <f>'Raw Data'!A53</f>
        <v>231</v>
      </c>
      <c r="B53" s="20">
        <f>'Raw Data'!C53</f>
        <v>1.7037016985138003</v>
      </c>
      <c r="C53" s="20">
        <f>'Raw Data'!F53</f>
        <v>8.0096797943115234</v>
      </c>
      <c r="D53" s="20">
        <f>'Raw Data'!G53</f>
        <v>-38.270870208740234</v>
      </c>
      <c r="E53" s="20">
        <f>'Raw Data'!H53</f>
        <v>7.5830262122271224</v>
      </c>
      <c r="F53" s="20">
        <f>Comparison!$B$10+(C53-Comparison!$B$10)*Comparison!$B$7</f>
        <v>7.3087212101829557</v>
      </c>
      <c r="G53" s="20">
        <f>Comparison!$B$11+(D53-Comparison!$B$11)*Comparison!$B$7</f>
        <v>-38.153744999273123</v>
      </c>
    </row>
    <row r="54" spans="1:7">
      <c r="A54" s="18">
        <f>'Raw Data'!A54</f>
        <v>232</v>
      </c>
      <c r="B54" s="20">
        <f>'Raw Data'!C54</f>
        <v>1.7370510565160249</v>
      </c>
      <c r="C54" s="20">
        <f>'Raw Data'!F54</f>
        <v>7.2175321578979492</v>
      </c>
      <c r="D54" s="20">
        <f>'Raw Data'!G54</f>
        <v>-38.352775573730469</v>
      </c>
      <c r="E54" s="20">
        <f>'Raw Data'!H54</f>
        <v>7.5624889544774243</v>
      </c>
      <c r="F54" s="20">
        <f>Comparison!$B$10+(C54-Comparison!$B$10)*Comparison!$B$7</f>
        <v>6.4703747805780658</v>
      </c>
      <c r="G54" s="20">
        <f>Comparison!$B$11+(D54-Comparison!$B$11)*Comparison!$B$7</f>
        <v>-38.240427161976939</v>
      </c>
    </row>
    <row r="55" spans="1:7">
      <c r="A55" s="18">
        <f>'Raw Data'!A55</f>
        <v>233</v>
      </c>
      <c r="B55" s="20">
        <f>'Raw Data'!C55</f>
        <v>1.7704004145182495</v>
      </c>
      <c r="C55" s="20">
        <f>'Raw Data'!F55</f>
        <v>6.5040669441223145</v>
      </c>
      <c r="D55" s="20">
        <f>'Raw Data'!G55</f>
        <v>-38.387332916259766</v>
      </c>
      <c r="E55" s="20">
        <f>'Raw Data'!H55</f>
        <v>7.5966868722145788</v>
      </c>
      <c r="F55" s="20">
        <f>Comparison!$B$10+(C55-Comparison!$B$10)*Comparison!$B$7</f>
        <v>5.7152996063035904</v>
      </c>
      <c r="G55" s="20">
        <f>Comparison!$B$11+(D55-Comparison!$B$11)*Comparison!$B$7</f>
        <v>-38.276999921137389</v>
      </c>
    </row>
    <row r="56" spans="1:7">
      <c r="A56" s="18">
        <f>'Raw Data'!A56</f>
        <v>234</v>
      </c>
      <c r="B56" s="20">
        <f>'Raw Data'!C56</f>
        <v>1.8037497725204732</v>
      </c>
      <c r="C56" s="20">
        <f>'Raw Data'!F56</f>
        <v>5.3829154968261719</v>
      </c>
      <c r="D56" s="20">
        <f>'Raw Data'!G56</f>
        <v>-38.177532196044922</v>
      </c>
      <c r="E56" s="20">
        <f>'Raw Data'!H56</f>
        <v>7.5939567061345947</v>
      </c>
      <c r="F56" s="20">
        <f>Comparison!$B$10+(C56-Comparison!$B$10)*Comparison!$B$7</f>
        <v>4.5287615549593916</v>
      </c>
      <c r="G56" s="20">
        <f>Comparison!$B$11+(D56-Comparison!$B$11)*Comparison!$B$7</f>
        <v>-38.054963426126221</v>
      </c>
    </row>
    <row r="57" spans="1:7">
      <c r="A57" s="18">
        <f>'Raw Data'!A57</f>
        <v>235</v>
      </c>
      <c r="B57" s="20">
        <f>'Raw Data'!C57</f>
        <v>1.8370991305226978</v>
      </c>
      <c r="C57" s="20">
        <f>'Raw Data'!F57</f>
        <v>4.3327293395996094</v>
      </c>
      <c r="D57" s="20">
        <f>'Raw Data'!G57</f>
        <v>-38.047966003417969</v>
      </c>
      <c r="E57" s="20">
        <f>'Raw Data'!H57</f>
        <v>7.5460189045355959</v>
      </c>
      <c r="F57" s="20">
        <f>Comparison!$B$10+(C57-Comparison!$B$10)*Comparison!$B$7</f>
        <v>3.4173275559671801</v>
      </c>
      <c r="G57" s="20">
        <f>Comparison!$B$11+(D57-Comparison!$B$11)*Comparison!$B$7</f>
        <v>-37.917840811611981</v>
      </c>
    </row>
    <row r="58" spans="1:7">
      <c r="A58" s="18">
        <f>'Raw Data'!A58</f>
        <v>236</v>
      </c>
      <c r="B58" s="20">
        <f>'Raw Data'!C58</f>
        <v>1.8704484885249215</v>
      </c>
      <c r="C58" s="20">
        <f>'Raw Data'!F58</f>
        <v>3.3351905345916748</v>
      </c>
      <c r="D58" s="20">
        <f>'Raw Data'!G58</f>
        <v>-38.061569213867188</v>
      </c>
      <c r="E58" s="20">
        <f>'Raw Data'!H58</f>
        <v>7.4770031972602533</v>
      </c>
      <c r="F58" s="20">
        <f>Comparison!$B$10+(C58-Comparison!$B$10)*Comparison!$B$7</f>
        <v>2.3616113521582811</v>
      </c>
      <c r="G58" s="20">
        <f>Comparison!$B$11+(D58-Comparison!$B$11)*Comparison!$B$7</f>
        <v>-37.932237374054431</v>
      </c>
    </row>
    <row r="59" spans="1:7">
      <c r="A59" s="18">
        <f>'Raw Data'!A59</f>
        <v>237</v>
      </c>
      <c r="B59" s="20">
        <f>'Raw Data'!C59</f>
        <v>1.9037978465271461</v>
      </c>
      <c r="C59" s="20">
        <f>'Raw Data'!F59</f>
        <v>2.5563349723815918</v>
      </c>
      <c r="D59" s="20">
        <f>'Raw Data'!G59</f>
        <v>-37.953449249267578</v>
      </c>
      <c r="E59" s="20">
        <f>'Raw Data'!H59</f>
        <v>7.5129704877391674</v>
      </c>
      <c r="F59" s="20">
        <f>Comparison!$B$10+(C59-Comparison!$B$10)*Comparison!$B$7</f>
        <v>1.5373322029924168</v>
      </c>
      <c r="G59" s="20">
        <f>Comparison!$B$11+(D59-Comparison!$B$11)*Comparison!$B$7</f>
        <v>-37.817811751702685</v>
      </c>
    </row>
    <row r="60" spans="1:7">
      <c r="A60" s="18">
        <f>'Raw Data'!A60</f>
        <v>238</v>
      </c>
      <c r="B60" s="20">
        <f>'Raw Data'!C60</f>
        <v>1.9371472045293698</v>
      </c>
      <c r="C60" s="20">
        <f>'Raw Data'!F60</f>
        <v>2.0370206832885742</v>
      </c>
      <c r="D60" s="20">
        <f>'Raw Data'!G60</f>
        <v>-37.901775360107422</v>
      </c>
      <c r="E60" s="20">
        <f>'Raw Data'!H60</f>
        <v>7.5267582961586736</v>
      </c>
      <c r="F60" s="20">
        <f>Comparison!$B$10+(C60-Comparison!$B$10)*Comparison!$B$7</f>
        <v>0.98773101744190939</v>
      </c>
      <c r="G60" s="20">
        <f>Comparison!$B$11+(D60-Comparison!$B$11)*Comparison!$B$7</f>
        <v>-37.763124192856523</v>
      </c>
    </row>
    <row r="61" spans="1:7">
      <c r="A61" s="18">
        <f>'Raw Data'!A61</f>
        <v>239</v>
      </c>
      <c r="B61" s="20">
        <f>'Raw Data'!C61</f>
        <v>1.9704965625315944</v>
      </c>
      <c r="C61" s="20">
        <f>'Raw Data'!F61</f>
        <v>1.3113479614257813</v>
      </c>
      <c r="D61" s="20">
        <f>'Raw Data'!G61</f>
        <v>-37.771297454833984</v>
      </c>
      <c r="E61" s="20">
        <f>'Raw Data'!H61</f>
        <v>7.5418957721426034</v>
      </c>
      <c r="F61" s="20">
        <f>Comparison!$B$10+(C61-Comparison!$B$10)*Comparison!$B$7</f>
        <v>0.21973638175797205</v>
      </c>
      <c r="G61" s="20">
        <f>Comparison!$B$11+(D61-Comparison!$B$11)*Comparison!$B$7</f>
        <v>-37.625036693759064</v>
      </c>
    </row>
    <row r="62" spans="1:7">
      <c r="A62" s="18">
        <f>'Raw Data'!A62</f>
        <v>240</v>
      </c>
      <c r="B62" s="20">
        <f>'Raw Data'!C62</f>
        <v>2.0038459205338182</v>
      </c>
      <c r="C62" s="20">
        <f>'Raw Data'!F62</f>
        <v>-0.79852771759033203</v>
      </c>
      <c r="D62" s="20">
        <f>'Raw Data'!G62</f>
        <v>-37.978614807128906</v>
      </c>
      <c r="E62" s="20">
        <f>'Raw Data'!H62</f>
        <v>7.625294599076164</v>
      </c>
      <c r="F62" s="20">
        <f>Comparison!$B$10+(C62-Comparison!$B$10)*Comparison!$B$7</f>
        <v>-2.0131892259249256</v>
      </c>
      <c r="G62" s="20">
        <f>Comparison!$B$11+(D62-Comparison!$B$11)*Comparison!$B$7</f>
        <v>-37.844444988503817</v>
      </c>
    </row>
    <row r="63" spans="1:7">
      <c r="A63" s="18">
        <f>'Raw Data'!A63</f>
        <v>241</v>
      </c>
      <c r="B63" s="20">
        <f>'Raw Data'!C63</f>
        <v>2.0371952785360428</v>
      </c>
      <c r="C63" s="20">
        <f>'Raw Data'!F63</f>
        <v>-2.0279502868652344</v>
      </c>
      <c r="D63" s="20">
        <f>'Raw Data'!G63</f>
        <v>-38.171504974365234</v>
      </c>
      <c r="E63" s="20">
        <f>'Raw Data'!H63</f>
        <v>7.5666008654044363</v>
      </c>
      <c r="F63" s="20">
        <f>Comparison!$B$10+(C63-Comparison!$B$10)*Comparison!$B$7</f>
        <v>-3.3143128726401621</v>
      </c>
      <c r="G63" s="20">
        <f>Comparison!$B$11+(D63-Comparison!$B$11)*Comparison!$B$7</f>
        <v>-38.048584691224633</v>
      </c>
    </row>
    <row r="64" spans="1:7">
      <c r="A64" s="18">
        <f>'Raw Data'!A64</f>
        <v>242</v>
      </c>
      <c r="B64" s="20">
        <f>'Raw Data'!C64</f>
        <v>2.0705446365382674</v>
      </c>
      <c r="C64" s="20">
        <f>'Raw Data'!F64</f>
        <v>-2.8268184661865234</v>
      </c>
      <c r="D64" s="20">
        <f>'Raw Data'!G64</f>
        <v>-38.01727294921875</v>
      </c>
      <c r="E64" s="20">
        <f>'Raw Data'!H64</f>
        <v>7.4756163840799568</v>
      </c>
      <c r="F64" s="20">
        <f>Comparison!$B$10+(C64-Comparison!$B$10)*Comparison!$B$7</f>
        <v>-4.1597717935190239</v>
      </c>
      <c r="G64" s="20">
        <f>Comparison!$B$11+(D64-Comparison!$B$11)*Comparison!$B$7</f>
        <v>-37.885357709701736</v>
      </c>
    </row>
    <row r="65" spans="1:7">
      <c r="A65" s="18">
        <f>'Raw Data'!A65</f>
        <v>243</v>
      </c>
      <c r="B65" s="20">
        <f>'Raw Data'!C65</f>
        <v>2.103893994540492</v>
      </c>
      <c r="C65" s="20">
        <f>'Raw Data'!F65</f>
        <v>-3.7727205753326416</v>
      </c>
      <c r="D65" s="20">
        <f>'Raw Data'!G65</f>
        <v>-37.898124694824219</v>
      </c>
      <c r="E65" s="20">
        <f>'Raw Data'!H65</f>
        <v>7.5542584180779002</v>
      </c>
      <c r="F65" s="20">
        <f>Comparison!$B$10+(C65-Comparison!$B$10)*Comparison!$B$7</f>
        <v>-5.1608398009281444</v>
      </c>
      <c r="G65" s="20">
        <f>Comparison!$B$11+(D65-Comparison!$B$11)*Comparison!$B$7</f>
        <v>-37.759260617349668</v>
      </c>
    </row>
    <row r="66" spans="1:7">
      <c r="A66" s="18">
        <f>'Raw Data'!A66</f>
        <v>244</v>
      </c>
      <c r="B66" s="20">
        <f>'Raw Data'!C66</f>
        <v>2.1372433525427166</v>
      </c>
      <c r="C66" s="20">
        <f>'Raw Data'!F66</f>
        <v>-4.3634157180786133</v>
      </c>
      <c r="D66" s="20">
        <f>'Raw Data'!G66</f>
        <v>-37.835369110107422</v>
      </c>
      <c r="E66" s="20">
        <f>'Raw Data'!H66</f>
        <v>7.5611178205790228</v>
      </c>
      <c r="F66" s="20">
        <f>Comparison!$B$10+(C66-Comparison!$B$10)*Comparison!$B$7</f>
        <v>-5.7859848384719967</v>
      </c>
      <c r="G66" s="20">
        <f>Comparison!$B$11+(D66-Comparison!$B$11)*Comparison!$B$7</f>
        <v>-37.692845068067356</v>
      </c>
    </row>
    <row r="67" spans="1:7">
      <c r="A67" s="18">
        <f>'Raw Data'!A67</f>
        <v>245</v>
      </c>
      <c r="B67" s="20">
        <f>'Raw Data'!C67</f>
        <v>2.1705927105449394</v>
      </c>
      <c r="C67" s="20">
        <f>'Raw Data'!F67</f>
        <v>-5.0539546012878418</v>
      </c>
      <c r="D67" s="20">
        <f>'Raw Data'!G67</f>
        <v>-37.821952819824219</v>
      </c>
      <c r="E67" s="20">
        <f>'Raw Data'!H67</f>
        <v>7.5460189045355959</v>
      </c>
      <c r="F67" s="20">
        <f>Comparison!$B$10+(C67-Comparison!$B$10)*Comparison!$B$7</f>
        <v>-6.5167965970764996</v>
      </c>
      <c r="G67" s="20">
        <f>Comparison!$B$11+(D67-Comparison!$B$11)*Comparison!$B$7</f>
        <v>-37.678646327150339</v>
      </c>
    </row>
    <row r="68" spans="1:7">
      <c r="A68" s="18">
        <f>'Raw Data'!A68</f>
        <v>246</v>
      </c>
      <c r="B68" s="20">
        <f>'Raw Data'!C68</f>
        <v>2.203942068547164</v>
      </c>
      <c r="C68" s="20">
        <f>'Raw Data'!F68</f>
        <v>-5.7564282417297363</v>
      </c>
      <c r="D68" s="20">
        <f>'Raw Data'!G68</f>
        <v>-37.759140014648438</v>
      </c>
      <c r="E68" s="20">
        <f>'Raw Data'!H68</f>
        <v>7.4797760522405206</v>
      </c>
      <c r="F68" s="20">
        <f>Comparison!$B$10+(C68-Comparison!$B$10)*Comparison!$B$7</f>
        <v>-7.2602391591502951</v>
      </c>
      <c r="G68" s="20">
        <f>Comparison!$B$11+(D68-Comparison!$B$11)*Comparison!$B$7</f>
        <v>-37.6121702202582</v>
      </c>
    </row>
    <row r="69" spans="1:7">
      <c r="A69" s="18">
        <f>'Raw Data'!A69</f>
        <v>247</v>
      </c>
      <c r="B69" s="20">
        <f>'Raw Data'!C69</f>
        <v>2.2372914265493886</v>
      </c>
      <c r="C69" s="20">
        <f>'Raw Data'!F69</f>
        <v>-6.5542120933532715</v>
      </c>
      <c r="D69" s="20">
        <f>'Raw Data'!G69</f>
        <v>-37.6929931640625</v>
      </c>
      <c r="E69" s="20">
        <f>'Raw Data'!H69</f>
        <v>7.5074482742126314</v>
      </c>
      <c r="F69" s="20">
        <f>Comparison!$B$10+(C69-Comparison!$B$10)*Comparison!$B$7</f>
        <v>-8.1045505133229696</v>
      </c>
      <c r="G69" s="20">
        <f>Comparison!$B$11+(D69-Comparison!$B$11)*Comparison!$B$7</f>
        <v>-37.542165623300242</v>
      </c>
    </row>
    <row r="70" spans="1:7">
      <c r="A70" s="18">
        <f>'Raw Data'!A70</f>
        <v>248</v>
      </c>
      <c r="B70" s="20">
        <f>'Raw Data'!C70</f>
        <v>2.2706407845516132</v>
      </c>
      <c r="C70" s="20">
        <f>'Raw Data'!F70</f>
        <v>-7.8054776191711426</v>
      </c>
      <c r="D70" s="20">
        <f>'Raw Data'!G70</f>
        <v>-37.652122497558594</v>
      </c>
      <c r="E70" s="20">
        <f>'Raw Data'!H70</f>
        <v>7.5843933854487648</v>
      </c>
      <c r="F70" s="20">
        <f>Comparison!$B$10+(C70-Comparison!$B$10)*Comparison!$B$7</f>
        <v>-9.4287910182954882</v>
      </c>
      <c r="G70" s="20">
        <f>Comparison!$B$11+(D70-Comparison!$B$11)*Comparison!$B$7</f>
        <v>-37.498911341189086</v>
      </c>
    </row>
    <row r="71" spans="1:7">
      <c r="A71" s="18">
        <f>'Raw Data'!A71</f>
        <v>249</v>
      </c>
      <c r="B71" s="20">
        <f>'Raw Data'!C71</f>
        <v>2.3039901425538378</v>
      </c>
      <c r="C71" s="20">
        <f>'Raw Data'!F71</f>
        <v>-8.5831222534179688</v>
      </c>
      <c r="D71" s="20">
        <f>'Raw Data'!G71</f>
        <v>-37.655975341796875</v>
      </c>
      <c r="E71" s="20">
        <f>'Raw Data'!H71</f>
        <v>7.5391457644770172</v>
      </c>
      <c r="F71" s="20">
        <f>Comparison!$B$10+(C71-Comparison!$B$10)*Comparison!$B$7</f>
        <v>-10.251788617043427</v>
      </c>
      <c r="G71" s="20">
        <f>Comparison!$B$11+(D71-Comparison!$B$11)*Comparison!$B$7</f>
        <v>-37.502988886917315</v>
      </c>
    </row>
    <row r="72" spans="1:7">
      <c r="A72" s="18">
        <f>'Raw Data'!A72</f>
        <v>250</v>
      </c>
      <c r="B72" s="20">
        <f>'Raw Data'!C72</f>
        <v>2.3373395005560607</v>
      </c>
      <c r="C72" s="20">
        <f>'Raw Data'!F72</f>
        <v>-9.8037805557250977</v>
      </c>
      <c r="D72" s="20">
        <f>'Raw Data'!G72</f>
        <v>-37.698654174804688</v>
      </c>
      <c r="E72" s="20">
        <f>'Raw Data'!H72</f>
        <v>7.5748179909375635</v>
      </c>
      <c r="F72" s="20">
        <f>Comparison!$B$10+(C72-Comparison!$B$10)*Comparison!$B$7</f>
        <v>-11.543636856520433</v>
      </c>
      <c r="G72" s="20">
        <f>Comparison!$B$11+(D72-Comparison!$B$11)*Comparison!$B$7</f>
        <v>-37.548156789498954</v>
      </c>
    </row>
    <row r="73" spans="1:7">
      <c r="A73" s="18">
        <f>'Raw Data'!A73</f>
        <v>251</v>
      </c>
      <c r="B73" s="20">
        <f>'Raw Data'!C73</f>
        <v>2.3706888585582853</v>
      </c>
      <c r="C73" s="20">
        <f>'Raw Data'!F73</f>
        <v>-11.268457412719727</v>
      </c>
      <c r="D73" s="20">
        <f>'Raw Data'!G73</f>
        <v>-37.745857238769531</v>
      </c>
      <c r="E73" s="20">
        <f>'Raw Data'!H73</f>
        <v>7.5624889544774243</v>
      </c>
      <c r="F73" s="20">
        <f>Comparison!$B$10+(C73-Comparison!$B$10)*Comparison!$B$7</f>
        <v>-13.093735041684084</v>
      </c>
      <c r="G73" s="20">
        <f>Comparison!$B$11+(D73-Comparison!$B$11)*Comparison!$B$7</f>
        <v>-37.598112780430768</v>
      </c>
    </row>
    <row r="74" spans="1:7">
      <c r="A74" s="18">
        <f>'Raw Data'!A74</f>
        <v>252</v>
      </c>
      <c r="B74" s="20">
        <f>'Raw Data'!C74</f>
        <v>2.4040382165605099</v>
      </c>
      <c r="C74" s="20">
        <f>'Raw Data'!F74</f>
        <v>-12.293734550476074</v>
      </c>
      <c r="D74" s="20">
        <f>'Raw Data'!G74</f>
        <v>-37.788116455078125</v>
      </c>
      <c r="E74" s="20">
        <f>'Raw Data'!H74</f>
        <v>7.6007802825909545</v>
      </c>
      <c r="F74" s="20">
        <f>Comparison!$B$10+(C74-Comparison!$B$10)*Comparison!$B$7</f>
        <v>-14.178807303825884</v>
      </c>
      <c r="G74" s="20">
        <f>Comparison!$B$11+(D74-Comparison!$B$11)*Comparison!$B$7</f>
        <v>-37.642836593873689</v>
      </c>
    </row>
    <row r="75" spans="1:7">
      <c r="A75" s="18">
        <f>'Raw Data'!A75</f>
        <v>253</v>
      </c>
      <c r="B75" s="20">
        <f>'Raw Data'!C75</f>
        <v>2.4373875745627345</v>
      </c>
      <c r="C75" s="20">
        <f>'Raw Data'!F75</f>
        <v>-12.901226997375488</v>
      </c>
      <c r="D75" s="20">
        <f>'Raw Data'!G75</f>
        <v>-37.841876983642578</v>
      </c>
      <c r="E75" s="20">
        <f>'Raw Data'!H75</f>
        <v>7.5556307967645031</v>
      </c>
      <c r="F75" s="20">
        <f>Comparison!$B$10+(C75-Comparison!$B$10)*Comparison!$B$7</f>
        <v>-14.821729280057298</v>
      </c>
      <c r="G75" s="20">
        <f>Comparison!$B$11+(D75-Comparison!$B$11)*Comparison!$B$7</f>
        <v>-37.699732486891477</v>
      </c>
    </row>
    <row r="76" spans="1:7">
      <c r="A76" s="18">
        <f>'Raw Data'!A76</f>
        <v>254</v>
      </c>
      <c r="B76" s="20">
        <f>'Raw Data'!C76</f>
        <v>2.4707369325649591</v>
      </c>
      <c r="C76" s="20">
        <f>'Raw Data'!F76</f>
        <v>-12.947530746459961</v>
      </c>
      <c r="D76" s="20">
        <f>'Raw Data'!G76</f>
        <v>-37.856460571289063</v>
      </c>
      <c r="E76" s="20">
        <f>'Raw Data'!H76</f>
        <v>7.5501397852857473</v>
      </c>
      <c r="F76" s="20">
        <f>Comparison!$B$10+(C76-Comparison!$B$10)*Comparison!$B$7</f>
        <v>-14.870733507221367</v>
      </c>
      <c r="G76" s="20">
        <f>Comparison!$B$11+(D76-Comparison!$B$11)*Comparison!$B$7</f>
        <v>-37.715166603048935</v>
      </c>
    </row>
    <row r="77" spans="1:7">
      <c r="A77" s="18">
        <f>'Raw Data'!A77</f>
        <v>255</v>
      </c>
      <c r="B77" s="20">
        <f>'Raw Data'!C77</f>
        <v>2.5040862905671819</v>
      </c>
      <c r="C77" s="20">
        <f>'Raw Data'!F77</f>
        <v>-16.789989471435547</v>
      </c>
      <c r="D77" s="20">
        <f>'Raw Data'!G77</f>
        <v>-39.416755676269531</v>
      </c>
      <c r="E77" s="20">
        <f>'Raw Data'!H77</f>
        <v>7.8040419579500249</v>
      </c>
      <c r="F77" s="20">
        <f>Comparison!$B$10+(C77-Comparison!$B$10)*Comparison!$B$7</f>
        <v>-18.937288029269595</v>
      </c>
      <c r="G77" s="20">
        <f>Comparison!$B$11+(D77-Comparison!$B$11)*Comparison!$B$7</f>
        <v>-39.36645958211102</v>
      </c>
    </row>
    <row r="78" spans="1:7">
      <c r="A78" s="18">
        <f>'Raw Data'!A78</f>
        <v>256</v>
      </c>
      <c r="B78" s="20">
        <f>'Raw Data'!C78</f>
        <v>2.5374356485694065</v>
      </c>
      <c r="C78" s="20">
        <f>'Raw Data'!F78</f>
        <v>-15.748760223388672</v>
      </c>
      <c r="D78" s="20">
        <f>'Raw Data'!G78</f>
        <v>-39.539463043212891</v>
      </c>
      <c r="E78" s="20">
        <f>'Raw Data'!H78</f>
        <v>7.5884934272215778</v>
      </c>
      <c r="F78" s="20">
        <f>Comparison!$B$10+(C78-Comparison!$B$10)*Comparison!$B$7</f>
        <v>-17.835333314802028</v>
      </c>
      <c r="G78" s="20">
        <f>Comparison!$B$11+(D78-Comparison!$B$11)*Comparison!$B$7</f>
        <v>-39.496323357794211</v>
      </c>
    </row>
    <row r="79" spans="1:7">
      <c r="A79" s="18">
        <f>'Raw Data'!A79</f>
        <v>257</v>
      </c>
      <c r="B79" s="20">
        <f>'Raw Data'!C79</f>
        <v>2.5707850065716311</v>
      </c>
      <c r="C79" s="20">
        <f>'Raw Data'!F79</f>
        <v>-16.256429672241211</v>
      </c>
      <c r="D79" s="20">
        <f>'Raw Data'!G79</f>
        <v>-40.504138946533203</v>
      </c>
      <c r="E79" s="20">
        <f>'Raw Data'!H79</f>
        <v>7.7973962597695134</v>
      </c>
      <c r="F79" s="20">
        <f>Comparison!$B$10+(C79-Comparison!$B$10)*Comparison!$B$7</f>
        <v>-18.372610522106349</v>
      </c>
      <c r="G79" s="20">
        <f>Comparison!$B$11+(D79-Comparison!$B$11)*Comparison!$B$7</f>
        <v>-40.517260064663617</v>
      </c>
    </row>
    <row r="80" spans="1:7">
      <c r="A80" s="18">
        <f>'Raw Data'!A80</f>
        <v>258</v>
      </c>
      <c r="B80" s="20">
        <f>'Raw Data'!C80</f>
        <v>2.6041343645738557</v>
      </c>
      <c r="C80" s="20">
        <f>'Raw Data'!F80</f>
        <v>-15.458713531494141</v>
      </c>
      <c r="D80" s="20">
        <f>'Raw Data'!G80</f>
        <v>-41.0771484375</v>
      </c>
      <c r="E80" s="20">
        <f>'Raw Data'!H80</f>
        <v>7.6551499332696462</v>
      </c>
      <c r="F80" s="20">
        <f>Comparison!$B$10+(C80-Comparison!$B$10)*Comparison!$B$7</f>
        <v>-17.528370827771973</v>
      </c>
      <c r="G80" s="20">
        <f>Comparison!$B$11+(D80-Comparison!$B$11)*Comparison!$B$7</f>
        <v>-41.123688006627361</v>
      </c>
    </row>
    <row r="81" spans="1:7">
      <c r="A81" s="18">
        <f>'Raw Data'!A81</f>
        <v>259</v>
      </c>
      <c r="B81" s="20">
        <f>'Raw Data'!C81</f>
        <v>2.6374837225760785</v>
      </c>
      <c r="C81" s="20">
        <f>'Raw Data'!F81</f>
        <v>-14.704245567321777</v>
      </c>
      <c r="D81" s="20">
        <f>'Raw Data'!G81</f>
        <v>-41.680915832519531</v>
      </c>
      <c r="E81" s="20">
        <f>'Raw Data'!H81</f>
        <v>7.6048714896419876</v>
      </c>
      <c r="F81" s="20">
        <f>Comparison!$B$10+(C81-Comparison!$B$10)*Comparison!$B$7</f>
        <v>-16.729901584236991</v>
      </c>
      <c r="G81" s="20">
        <f>Comparison!$B$11+(D81-Comparison!$B$11)*Comparison!$B$7</f>
        <v>-41.76266768245916</v>
      </c>
    </row>
    <row r="82" spans="1:7">
      <c r="A82" s="18">
        <f>'Raw Data'!A82</f>
        <v>260</v>
      </c>
      <c r="B82" s="20">
        <f>'Raw Data'!C82</f>
        <v>2.6708330805783032</v>
      </c>
      <c r="C82" s="20">
        <f>'Raw Data'!F82</f>
        <v>-15.794192314147949</v>
      </c>
      <c r="D82" s="20">
        <f>'Raw Data'!G82</f>
        <v>-42.910507202148438</v>
      </c>
      <c r="E82" s="20">
        <f>'Raw Data'!H82</f>
        <v>7.7064458161737805</v>
      </c>
      <c r="F82" s="20">
        <f>Comparison!$B$10+(C82-Comparison!$B$10)*Comparison!$B$7</f>
        <v>-17.883415047709754</v>
      </c>
      <c r="G82" s="20">
        <f>Comparison!$B$11+(D82-Comparison!$B$11)*Comparison!$B$7</f>
        <v>-43.063969974123374</v>
      </c>
    </row>
    <row r="83" spans="1:7">
      <c r="A83" s="18">
        <f>'Raw Data'!A83</f>
        <v>261</v>
      </c>
      <c r="B83" s="20">
        <f>'Raw Data'!C83</f>
        <v>2.7041824385805278</v>
      </c>
      <c r="C83" s="20">
        <f>'Raw Data'!F83</f>
        <v>-14.665584564208984</v>
      </c>
      <c r="D83" s="20">
        <f>'Raw Data'!G83</f>
        <v>-43.076473236083984</v>
      </c>
      <c r="E83" s="20">
        <f>'Raw Data'!H83</f>
        <v>7.5857603122662898</v>
      </c>
      <c r="F83" s="20">
        <f>Comparison!$B$10+(C83-Comparison!$B$10)*Comparison!$B$7</f>
        <v>-16.688985835158583</v>
      </c>
      <c r="G83" s="20">
        <f>Comparison!$B$11+(D83-Comparison!$B$11)*Comparison!$B$7</f>
        <v>-43.239615302834437</v>
      </c>
    </row>
    <row r="84" spans="1:7">
      <c r="A84" s="18">
        <f>'Raw Data'!A84</f>
        <v>262</v>
      </c>
      <c r="B84" s="20">
        <f>'Raw Data'!C84</f>
        <v>2.7375317965827524</v>
      </c>
      <c r="C84" s="20">
        <f>'Raw Data'!F84</f>
        <v>-13.642667770385742</v>
      </c>
      <c r="D84" s="20">
        <f>'Raw Data'!G84</f>
        <v>-43.106800079345703</v>
      </c>
      <c r="E84" s="20">
        <f>'Raw Data'!H84</f>
        <v>7.528135688117529</v>
      </c>
      <c r="F84" s="20">
        <f>Comparison!$B$10+(C84-Comparison!$B$10)*Comparison!$B$7</f>
        <v>-15.606411574422076</v>
      </c>
      <c r="G84" s="20">
        <f>Comparison!$B$11+(D84-Comparison!$B$11)*Comparison!$B$7</f>
        <v>-43.271710836041805</v>
      </c>
    </row>
    <row r="85" spans="1:7">
      <c r="A85" s="18">
        <f>'Raw Data'!A85</f>
        <v>263</v>
      </c>
      <c r="B85" s="20">
        <f>'Raw Data'!C85</f>
        <v>2.770881154584977</v>
      </c>
      <c r="C85" s="20">
        <f>'Raw Data'!F85</f>
        <v>-12.502001762390137</v>
      </c>
      <c r="D85" s="20">
        <f>'Raw Data'!G85</f>
        <v>-43.103038787841797</v>
      </c>
      <c r="E85" s="20">
        <f>'Raw Data'!H85</f>
        <v>7.5143504070248861</v>
      </c>
      <c r="F85" s="20">
        <f>Comparison!$B$10+(C85-Comparison!$B$10)*Comparison!$B$7</f>
        <v>-14.399220854893734</v>
      </c>
      <c r="G85" s="20">
        <f>Comparison!$B$11+(D85-Comparison!$B$11)*Comparison!$B$7</f>
        <v>-43.267730182489288</v>
      </c>
    </row>
    <row r="86" spans="1:7">
      <c r="A86" s="18">
        <f>'Raw Data'!A86</f>
        <v>264</v>
      </c>
      <c r="B86" s="20">
        <f>'Raw Data'!C86</f>
        <v>2.8042305125871998</v>
      </c>
      <c r="C86" s="20">
        <f>'Raw Data'!F86</f>
        <v>-11.49826717376709</v>
      </c>
      <c r="D86" s="20">
        <f>'Raw Data'!G86</f>
        <v>-43.179592132568359</v>
      </c>
      <c r="E86" s="20">
        <f>'Raw Data'!H86</f>
        <v>7.5157300729516914</v>
      </c>
      <c r="F86" s="20">
        <f>Comparison!$B$10+(C86-Comparison!$B$10)*Comparison!$B$7</f>
        <v>-13.336947523557633</v>
      </c>
      <c r="G86" s="20">
        <f>Comparison!$B$11+(D86-Comparison!$B$11)*Comparison!$B$7</f>
        <v>-43.348748190087463</v>
      </c>
    </row>
    <row r="87" spans="1:7">
      <c r="A87" s="18">
        <f>'Raw Data'!A87</f>
        <v>265</v>
      </c>
      <c r="B87" s="20">
        <f>'Raw Data'!C87</f>
        <v>2.8375798705894244</v>
      </c>
      <c r="C87" s="20">
        <f>'Raw Data'!F87</f>
        <v>-10.903465270996094</v>
      </c>
      <c r="D87" s="20">
        <f>'Raw Data'!G87</f>
        <v>-43.199817657470703</v>
      </c>
      <c r="E87" s="20">
        <f>'Raw Data'!H87</f>
        <v>7.5611178205790228</v>
      </c>
      <c r="F87" s="20">
        <f>Comparison!$B$10+(C87-Comparison!$B$10)*Comparison!$B$7</f>
        <v>-12.707456215891952</v>
      </c>
      <c r="G87" s="20">
        <f>Comparison!$B$11+(D87-Comparison!$B$11)*Comparison!$B$7</f>
        <v>-43.370153286573682</v>
      </c>
    </row>
    <row r="88" spans="1:7">
      <c r="A88" s="18">
        <f>'Raw Data'!A88</f>
        <v>266</v>
      </c>
      <c r="B88" s="20">
        <f>'Raw Data'!C88</f>
        <v>2.870929228591649</v>
      </c>
      <c r="C88" s="20">
        <f>'Raw Data'!F88</f>
        <v>-10.099514961242676</v>
      </c>
      <c r="D88" s="20">
        <f>'Raw Data'!G88</f>
        <v>-43.265605926513672</v>
      </c>
      <c r="E88" s="20">
        <f>'Raw Data'!H88</f>
        <v>7.6225746793894631</v>
      </c>
      <c r="F88" s="20">
        <f>Comparison!$B$10+(C88-Comparison!$B$10)*Comparison!$B$7</f>
        <v>-11.856618769967113</v>
      </c>
      <c r="G88" s="20">
        <f>Comparison!$B$11+(D88-Comparison!$B$11)*Comparison!$B$7</f>
        <v>-43.43977838917673</v>
      </c>
    </row>
    <row r="89" spans="1:7">
      <c r="A89" s="18">
        <f>'Raw Data'!A89</f>
        <v>267</v>
      </c>
      <c r="B89" s="20">
        <f>'Raw Data'!C89</f>
        <v>2.9042785865938736</v>
      </c>
      <c r="C89" s="20">
        <f>'Raw Data'!F89</f>
        <v>-8.6091184616088867</v>
      </c>
      <c r="D89" s="20">
        <f>'Raw Data'!G89</f>
        <v>-43.261318206787109</v>
      </c>
      <c r="E89" s="20">
        <f>'Raw Data'!H89</f>
        <v>7.53777038441185</v>
      </c>
      <c r="F89" s="20">
        <f>Comparison!$B$10+(C89-Comparison!$B$10)*Comparison!$B$7</f>
        <v>-10.279300948480522</v>
      </c>
      <c r="G89" s="20">
        <f>Comparison!$B$11+(D89-Comparison!$B$11)*Comparison!$B$7</f>
        <v>-43.435240605613828</v>
      </c>
    </row>
    <row r="90" spans="1:7">
      <c r="A90" s="18">
        <f>'Raw Data'!A90</f>
        <v>268</v>
      </c>
      <c r="B90" s="20">
        <f>'Raw Data'!C90</f>
        <v>2.9376279445960982</v>
      </c>
      <c r="C90" s="20">
        <f>'Raw Data'!F90</f>
        <v>-7.5604414939880371</v>
      </c>
      <c r="D90" s="20">
        <f>'Raw Data'!G90</f>
        <v>-43.156391143798828</v>
      </c>
      <c r="E90" s="20">
        <f>'Raw Data'!H90</f>
        <v>7.5060670860353254</v>
      </c>
      <c r="F90" s="20">
        <f>Comparison!$B$10+(C90-Comparison!$B$10)*Comparison!$B$7</f>
        <v>-9.1694641564474466</v>
      </c>
      <c r="G90" s="20">
        <f>Comparison!$B$11+(D90-Comparison!$B$11)*Comparison!$B$7</f>
        <v>-43.324194097890327</v>
      </c>
    </row>
    <row r="91" spans="1:7">
      <c r="A91" s="18">
        <f>'Raw Data'!A91</f>
        <v>269</v>
      </c>
      <c r="B91" s="20">
        <f>'Raw Data'!C91</f>
        <v>2.970977302598321</v>
      </c>
      <c r="C91" s="20">
        <f>'Raw Data'!F91</f>
        <v>-6.1733565330505371</v>
      </c>
      <c r="D91" s="20">
        <f>'Raw Data'!G91</f>
        <v>-43.079616546630859</v>
      </c>
      <c r="E91" s="20">
        <f>'Raw Data'!H91</f>
        <v>7.4825478796664937</v>
      </c>
      <c r="F91" s="20">
        <f>Comparison!$B$10+(C91-Comparison!$B$10)*Comparison!$B$7</f>
        <v>-7.7014830995002903</v>
      </c>
      <c r="G91" s="20">
        <f>Comparison!$B$11+(D91-Comparison!$B$11)*Comparison!$B$7</f>
        <v>-43.242941934200836</v>
      </c>
    </row>
    <row r="92" spans="1:7">
      <c r="A92" s="18">
        <f>'Raw Data'!A92</f>
        <v>270</v>
      </c>
      <c r="B92" s="20">
        <f>'Raw Data'!C92</f>
        <v>3.0043266606005457</v>
      </c>
      <c r="C92" s="20">
        <f>'Raw Data'!F92</f>
        <v>-5.4763288497924805</v>
      </c>
      <c r="D92" s="20">
        <f>'Raw Data'!G92</f>
        <v>-43.167552947998047</v>
      </c>
      <c r="E92" s="20">
        <f>'Raw Data'!H92</f>
        <v>7.4617340761227196</v>
      </c>
      <c r="F92" s="20">
        <f>Comparison!$B$10+(C92-Comparison!$B$10)*Comparison!$B$7</f>
        <v>-6.9638041079416091</v>
      </c>
      <c r="G92" s="20">
        <f>Comparison!$B$11+(D92-Comparison!$B$11)*Comparison!$B$7</f>
        <v>-43.336006868980235</v>
      </c>
    </row>
    <row r="93" spans="1:7">
      <c r="A93" s="18">
        <f>'Raw Data'!A93</f>
        <v>271</v>
      </c>
      <c r="B93" s="20">
        <f>'Raw Data'!C93</f>
        <v>3.0376760186027703</v>
      </c>
      <c r="C93" s="20">
        <f>'Raw Data'!F93</f>
        <v>-4.6451029777526855</v>
      </c>
      <c r="D93" s="20">
        <f>'Raw Data'!G93</f>
        <v>-43.256523132324219</v>
      </c>
      <c r="E93" s="20">
        <f>'Raw Data'!H93</f>
        <v>7.5528857900265809</v>
      </c>
      <c r="F93" s="20">
        <f>Comparison!$B$10+(C93-Comparison!$B$10)*Comparison!$B$7</f>
        <v>-6.0841003633533326</v>
      </c>
      <c r="G93" s="20">
        <f>Comparison!$B$11+(D93-Comparison!$B$11)*Comparison!$B$7</f>
        <v>-43.430165877910476</v>
      </c>
    </row>
    <row r="94" spans="1:7">
      <c r="A94" s="18">
        <f>'Raw Data'!A94</f>
        <v>272</v>
      </c>
      <c r="B94" s="20">
        <f>'Raw Data'!C94</f>
        <v>3.0710253766049949</v>
      </c>
      <c r="C94" s="20">
        <f>'Raw Data'!F94</f>
        <v>-3.1604955196380615</v>
      </c>
      <c r="D94" s="20">
        <f>'Raw Data'!G94</f>
        <v>-43.166973114013672</v>
      </c>
      <c r="E94" s="20">
        <f>'Raw Data'!H94</f>
        <v>7.6021442629128542</v>
      </c>
      <c r="F94" s="20">
        <f>Comparison!$B$10+(C94-Comparison!$B$10)*Comparison!$B$7</f>
        <v>-4.5129092057174347</v>
      </c>
      <c r="G94" s="20">
        <f>Comparison!$B$11+(D94-Comparison!$B$11)*Comparison!$B$7</f>
        <v>-43.335393218534001</v>
      </c>
    </row>
    <row r="95" spans="1:7">
      <c r="A95" s="18">
        <f>'Raw Data'!A95</f>
        <v>273</v>
      </c>
      <c r="B95" s="20">
        <f>'Raw Data'!C95</f>
        <v>3.1043747346072195</v>
      </c>
      <c r="C95" s="20">
        <f>'Raw Data'!F95</f>
        <v>-1.8642517328262329</v>
      </c>
      <c r="D95" s="20">
        <f>'Raw Data'!G95</f>
        <v>-43.260150909423828</v>
      </c>
      <c r="E95" s="20">
        <f>'Raw Data'!H95</f>
        <v>7.598051587373746</v>
      </c>
      <c r="F95" s="20">
        <f>Comparison!$B$10+(C95-Comparison!$B$10)*Comparison!$B$7</f>
        <v>-3.1410672653801157</v>
      </c>
      <c r="G95" s="20">
        <f>Comparison!$B$11+(D95-Comparison!$B$11)*Comparison!$B$7</f>
        <v>-43.434005230373394</v>
      </c>
    </row>
    <row r="96" spans="1:7">
      <c r="A96" s="18">
        <f>'Raw Data'!A96</f>
        <v>274</v>
      </c>
      <c r="B96" s="20">
        <f>'Raw Data'!C96</f>
        <v>3.1377240926094423</v>
      </c>
      <c r="C96" s="20">
        <f>'Raw Data'!F96</f>
        <v>-0.44734370708465576</v>
      </c>
      <c r="D96" s="20">
        <f>'Raw Data'!G96</f>
        <v>-43.153633117675781</v>
      </c>
      <c r="E96" s="20">
        <f>'Raw Data'!H96</f>
        <v>7.5446447774360612</v>
      </c>
      <c r="F96" s="20">
        <f>Comparison!$B$10+(C96-Comparison!$B$10)*Comparison!$B$7</f>
        <v>-1.6415238345154286</v>
      </c>
      <c r="G96" s="20">
        <f>Comparison!$B$11+(D96-Comparison!$B$11)*Comparison!$B$7</f>
        <v>-43.321275221096748</v>
      </c>
    </row>
    <row r="97" spans="1:7">
      <c r="A97" s="18">
        <f>'Raw Data'!A97</f>
        <v>275</v>
      </c>
      <c r="B97" s="20">
        <f>'Raw Data'!C97</f>
        <v>3.1710734506116669</v>
      </c>
      <c r="C97" s="20">
        <f>'Raw Data'!F97</f>
        <v>0.56667548418045044</v>
      </c>
      <c r="D97" s="20">
        <f>'Raw Data'!G97</f>
        <v>-42.985801696777344</v>
      </c>
      <c r="E97" s="20">
        <f>'Raw Data'!H97</f>
        <v>7.5460189045355959</v>
      </c>
      <c r="F97" s="20">
        <f>Comparison!$B$10+(C97-Comparison!$B$10)*Comparison!$B$7</f>
        <v>-0.56836609286421336</v>
      </c>
      <c r="G97" s="20">
        <f>Comparison!$B$11+(D97-Comparison!$B$11)*Comparison!$B$7</f>
        <v>-43.143655714305389</v>
      </c>
    </row>
    <row r="98" spans="1:7">
      <c r="A98" s="18">
        <f>'Raw Data'!A98</f>
        <v>276</v>
      </c>
      <c r="B98" s="20">
        <f>'Raw Data'!C98</f>
        <v>3.2044228086138915</v>
      </c>
      <c r="C98" s="20">
        <f>'Raw Data'!F98</f>
        <v>1.9856865406036377</v>
      </c>
      <c r="D98" s="20">
        <f>'Raw Data'!G98</f>
        <v>-42.892009735107422</v>
      </c>
      <c r="E98" s="20">
        <f>'Raw Data'!H98</f>
        <v>7.5748179909375635</v>
      </c>
      <c r="F98" s="20">
        <f>Comparison!$B$10+(C98-Comparison!$B$10)*Comparison!$B$7</f>
        <v>0.9334030194040821</v>
      </c>
      <c r="G98" s="20">
        <f>Comparison!$B$11+(D98-Comparison!$B$11)*Comparison!$B$7</f>
        <v>-43.044393717453879</v>
      </c>
    </row>
    <row r="99" spans="1:7">
      <c r="A99" s="18">
        <f>'Raw Data'!A99</f>
        <v>277</v>
      </c>
      <c r="B99" s="20">
        <f>'Raw Data'!C99</f>
        <v>3.2377721666161161</v>
      </c>
      <c r="C99" s="20">
        <f>'Raw Data'!F99</f>
        <v>3.0317363739013672</v>
      </c>
      <c r="D99" s="20">
        <f>'Raw Data'!G99</f>
        <v>-42.951274871826172</v>
      </c>
      <c r="E99" s="20">
        <f>'Raw Data'!H99</f>
        <v>7.5405208936748602</v>
      </c>
      <c r="F99" s="20">
        <f>Comparison!$B$10+(C99-Comparison!$B$10)*Comparison!$B$7</f>
        <v>2.0404594601760557</v>
      </c>
      <c r="G99" s="20">
        <f>Comparison!$B$11+(D99-Comparison!$B$11)*Comparison!$B$7</f>
        <v>-43.10711525253685</v>
      </c>
    </row>
    <row r="100" spans="1:7">
      <c r="A100" s="18">
        <f>'Raw Data'!A100</f>
        <v>278</v>
      </c>
      <c r="B100" s="20">
        <f>'Raw Data'!C100</f>
        <v>3.2711215246183407</v>
      </c>
      <c r="C100" s="20">
        <f>'Raw Data'!F100</f>
        <v>4.020836353302002</v>
      </c>
      <c r="D100" s="20">
        <f>'Raw Data'!G100</f>
        <v>-42.957122802734375</v>
      </c>
      <c r="E100" s="20">
        <f>'Raw Data'!H100</f>
        <v>7.5994160574552083</v>
      </c>
      <c r="F100" s="20">
        <f>Comparison!$B$10+(C100-Comparison!$B$10)*Comparison!$B$7</f>
        <v>3.0872446781526044</v>
      </c>
      <c r="G100" s="20">
        <f>Comparison!$B$11+(D100-Comparison!$B$11)*Comparison!$B$7</f>
        <v>-43.113304240260987</v>
      </c>
    </row>
    <row r="101" spans="1:7">
      <c r="A101" s="18">
        <f>'Raw Data'!A101</f>
        <v>279</v>
      </c>
      <c r="B101" s="20">
        <f>'Raw Data'!C101</f>
        <v>3.3044708826205635</v>
      </c>
      <c r="C101" s="20">
        <f>'Raw Data'!F101</f>
        <v>5.1183676719665527</v>
      </c>
      <c r="D101" s="20">
        <f>'Raw Data'!G101</f>
        <v>-43.035423278808594</v>
      </c>
      <c r="E101" s="20">
        <f>'Raw Data'!H101</f>
        <v>7.51986755197301</v>
      </c>
      <c r="F101" s="20">
        <f>Comparison!$B$10+(C101-Comparison!$B$10)*Comparison!$B$7</f>
        <v>4.2487850528077011</v>
      </c>
      <c r="G101" s="20">
        <f>Comparison!$B$11+(D101-Comparison!$B$11)*Comparison!$B$7</f>
        <v>-43.196171273545822</v>
      </c>
    </row>
    <row r="102" spans="1:7">
      <c r="A102" s="18">
        <f>'Raw Data'!A102</f>
        <v>280</v>
      </c>
      <c r="B102" s="20">
        <f>'Raw Data'!C102</f>
        <v>3.3378202406227881</v>
      </c>
      <c r="C102" s="20">
        <f>'Raw Data'!F102</f>
        <v>6.1536054611206055</v>
      </c>
      <c r="D102" s="20">
        <f>'Raw Data'!G102</f>
        <v>-43.032680511474609</v>
      </c>
      <c r="E102" s="20">
        <f>'Raw Data'!H102</f>
        <v>7.5460189045355959</v>
      </c>
      <c r="F102" s="20">
        <f>Comparison!$B$10+(C102-Comparison!$B$10)*Comparison!$B$7</f>
        <v>5.3443988808798242</v>
      </c>
      <c r="G102" s="20">
        <f>Comparison!$B$11+(D102-Comparison!$B$11)*Comparison!$B$7</f>
        <v>-43.193268545448198</v>
      </c>
    </row>
    <row r="103" spans="1:7">
      <c r="A103" s="18">
        <f>'Raw Data'!A103</f>
        <v>281</v>
      </c>
      <c r="B103" s="20">
        <f>'Raw Data'!C103</f>
        <v>3.3711695986250128</v>
      </c>
      <c r="C103" s="20">
        <f>'Raw Data'!F103</f>
        <v>6.7161698341369629</v>
      </c>
      <c r="D103" s="20">
        <f>'Raw Data'!G103</f>
        <v>-43.093585968017578</v>
      </c>
      <c r="E103" s="20">
        <f>'Raw Data'!H103</f>
        <v>7.6307315299623522</v>
      </c>
      <c r="F103" s="20">
        <f>Comparison!$B$10+(C103-Comparison!$B$10)*Comparison!$B$7</f>
        <v>5.9397725358167239</v>
      </c>
      <c r="G103" s="20">
        <f>Comparison!$B$11+(D103-Comparison!$B$11)*Comparison!$B$7</f>
        <v>-43.257726065346162</v>
      </c>
    </row>
    <row r="104" spans="1:7">
      <c r="A104" s="18">
        <f>'Raw Data'!A104</f>
        <v>282</v>
      </c>
      <c r="B104" s="20">
        <f>'Raw Data'!C104</f>
        <v>3.4045189566272374</v>
      </c>
      <c r="C104" s="20">
        <f>'Raw Data'!F104</f>
        <v>7.7523093223571777</v>
      </c>
      <c r="D104" s="20">
        <f>'Raw Data'!G104</f>
        <v>-42.927497863769531</v>
      </c>
      <c r="E104" s="20">
        <f>'Raw Data'!H104</f>
        <v>7.6429504833931734</v>
      </c>
      <c r="F104" s="20">
        <f>Comparison!$B$10+(C104-Comparison!$B$10)*Comparison!$B$7</f>
        <v>7.0363406508903417</v>
      </c>
      <c r="G104" s="20">
        <f>Comparison!$B$11+(D104-Comparison!$B$11)*Comparison!$B$7</f>
        <v>-43.081951547067476</v>
      </c>
    </row>
    <row r="105" spans="1:7">
      <c r="A105" s="18">
        <f>'Raw Data'!A105</f>
        <v>283</v>
      </c>
      <c r="B105" s="20">
        <f>'Raw Data'!C105</f>
        <v>3.437868314629462</v>
      </c>
      <c r="C105" s="20">
        <f>'Raw Data'!F105</f>
        <v>8.6648340225219727</v>
      </c>
      <c r="D105" s="20">
        <f>'Raw Data'!G105</f>
        <v>-43.017707824707031</v>
      </c>
      <c r="E105" s="20">
        <f>'Raw Data'!H105</f>
        <v>7.5432704000173461</v>
      </c>
      <c r="F105" s="20">
        <f>Comparison!$B$10+(C105-Comparison!$B$10)*Comparison!$B$7</f>
        <v>8.0020846475182914</v>
      </c>
      <c r="G105" s="20">
        <f>Comparison!$B$11+(D105-Comparison!$B$11)*Comparison!$B$7</f>
        <v>-43.177422637543934</v>
      </c>
    </row>
    <row r="106" spans="1:7">
      <c r="A106" s="18">
        <f>'Raw Data'!A106</f>
        <v>284</v>
      </c>
      <c r="B106" s="20">
        <f>'Raw Data'!C106</f>
        <v>3.4712176726316848</v>
      </c>
      <c r="C106" s="20">
        <f>'Raw Data'!F106</f>
        <v>9.6271982192993164</v>
      </c>
      <c r="D106" s="20">
        <f>'Raw Data'!G106</f>
        <v>-43.056575775146484</v>
      </c>
      <c r="E106" s="20">
        <f>'Raw Data'!H106</f>
        <v>7.5884934272215778</v>
      </c>
      <c r="F106" s="20">
        <f>Comparison!$B$10+(C106-Comparison!$B$10)*Comparison!$B$7</f>
        <v>9.0205748269507549</v>
      </c>
      <c r="G106" s="20">
        <f>Comparison!$B$11+(D106-Comparison!$B$11)*Comparison!$B$7</f>
        <v>-43.218557403311209</v>
      </c>
    </row>
    <row r="107" spans="1:7">
      <c r="A107" s="18">
        <f>'Raw Data'!A107</f>
        <v>285</v>
      </c>
      <c r="B107" s="20">
        <f>'Raw Data'!C107</f>
        <v>3.5045670306339094</v>
      </c>
      <c r="C107" s="20">
        <f>'Raw Data'!F107</f>
        <v>10.694396018981934</v>
      </c>
      <c r="D107" s="20">
        <f>'Raw Data'!G107</f>
        <v>-43.075851440429688</v>
      </c>
      <c r="E107" s="20">
        <f>'Raw Data'!H107</f>
        <v>7.5816587924680601</v>
      </c>
      <c r="F107" s="20">
        <f>Comparison!$B$10+(C107-Comparison!$B$10)*Comparison!$B$7</f>
        <v>10.150012603344004</v>
      </c>
      <c r="G107" s="20">
        <f>Comparison!$B$11+(D107-Comparison!$B$11)*Comparison!$B$7</f>
        <v>-43.238957243474331</v>
      </c>
    </row>
    <row r="108" spans="1:7">
      <c r="A108" s="18">
        <f>'Raw Data'!A108</f>
        <v>286</v>
      </c>
      <c r="B108" s="20">
        <f>'Raw Data'!C108</f>
        <v>3.537916388636134</v>
      </c>
      <c r="C108" s="20">
        <f>'Raw Data'!F108</f>
        <v>11.61016845703125</v>
      </c>
      <c r="D108" s="20">
        <f>'Raw Data'!G108</f>
        <v>-43.098316192626953</v>
      </c>
      <c r="E108" s="20">
        <f>'Raw Data'!H108</f>
        <v>7.4422553412225643</v>
      </c>
      <c r="F108" s="20">
        <f>Comparison!$B$10+(C108-Comparison!$B$10)*Comparison!$B$7</f>
        <v>11.119193748976283</v>
      </c>
      <c r="G108" s="20">
        <f>Comparison!$B$11+(D108-Comparison!$B$11)*Comparison!$B$7</f>
        <v>-43.262732161091719</v>
      </c>
    </row>
    <row r="109" spans="1:7">
      <c r="A109" s="18">
        <f>'Raw Data'!A109</f>
        <v>287</v>
      </c>
      <c r="B109" s="20">
        <f>'Raw Data'!C109</f>
        <v>3.5712657466383586</v>
      </c>
      <c r="C109" s="20">
        <f>'Raw Data'!F109</f>
        <v>12.549241065979004</v>
      </c>
      <c r="D109" s="20">
        <f>'Raw Data'!G109</f>
        <v>-43.079368591308594</v>
      </c>
      <c r="E109" s="20">
        <f>'Raw Data'!H109</f>
        <v>7.5473927814526762</v>
      </c>
      <c r="F109" s="20">
        <f>Comparison!$B$10+(C109-Comparison!$B$10)*Comparison!$B$7</f>
        <v>12.113033953329392</v>
      </c>
      <c r="G109" s="20">
        <f>Comparison!$B$11+(D109-Comparison!$B$11)*Comparison!$B$7</f>
        <v>-43.242679517891588</v>
      </c>
    </row>
    <row r="110" spans="1:7">
      <c r="A110" s="18">
        <f>'Raw Data'!A110</f>
        <v>288</v>
      </c>
      <c r="B110" s="20">
        <f>'Raw Data'!C110</f>
        <v>3.6046151046405832</v>
      </c>
      <c r="C110" s="20">
        <f>'Raw Data'!F110</f>
        <v>13.588962554931641</v>
      </c>
      <c r="D110" s="20">
        <f>'Raw Data'!G110</f>
        <v>-43.121936798095703</v>
      </c>
      <c r="E110" s="20">
        <f>'Raw Data'!H110</f>
        <v>7.5857603122662898</v>
      </c>
      <c r="F110" s="20">
        <f>Comparison!$B$10+(C110-Comparison!$B$10)*Comparison!$B$7</f>
        <v>13.213392974778067</v>
      </c>
      <c r="G110" s="20">
        <f>Comparison!$B$11+(D110-Comparison!$B$11)*Comparison!$B$7</f>
        <v>-43.287730342427565</v>
      </c>
    </row>
    <row r="111" spans="1:7">
      <c r="A111" s="18">
        <f>'Raw Data'!A111</f>
        <v>289</v>
      </c>
      <c r="B111" s="20">
        <f>'Raw Data'!C111</f>
        <v>3.637964462642806</v>
      </c>
      <c r="C111" s="20">
        <f>'Raw Data'!F111</f>
        <v>14.709258079528809</v>
      </c>
      <c r="D111" s="20">
        <f>'Raw Data'!G111</f>
        <v>-43.038249969482422</v>
      </c>
      <c r="E111" s="20">
        <f>'Raw Data'!H111</f>
        <v>7.5707105430128072</v>
      </c>
      <c r="F111" s="20">
        <f>Comparison!$B$10+(C111-Comparison!$B$10)*Comparison!$B$7</f>
        <v>14.399025185208632</v>
      </c>
      <c r="G111" s="20">
        <f>Comparison!$B$11+(D111-Comparison!$B$11)*Comparison!$B$7</f>
        <v>-43.199162819471191</v>
      </c>
    </row>
    <row r="112" spans="1:7">
      <c r="A112" s="18">
        <f>'Raw Data'!A112</f>
        <v>290</v>
      </c>
      <c r="B112" s="20">
        <f>'Raw Data'!C112</f>
        <v>3.6713138206450306</v>
      </c>
      <c r="C112" s="20">
        <f>'Raw Data'!F112</f>
        <v>15.806754112243652</v>
      </c>
      <c r="D112" s="20">
        <f>'Raw Data'!G112</f>
        <v>-42.930156707763672</v>
      </c>
      <c r="E112" s="20">
        <f>'Raw Data'!H112</f>
        <v>7.6225746793894631</v>
      </c>
      <c r="F112" s="20">
        <f>Comparison!$B$10+(C112-Comparison!$B$10)*Comparison!$B$7</f>
        <v>15.560528216004336</v>
      </c>
      <c r="G112" s="20">
        <f>Comparison!$B$11+(D112-Comparison!$B$11)*Comparison!$B$7</f>
        <v>-43.084765457337355</v>
      </c>
    </row>
    <row r="113" spans="1:7">
      <c r="A113" s="18">
        <f>'Raw Data'!A113</f>
        <v>291</v>
      </c>
      <c r="B113" s="20">
        <f>'Raw Data'!C113</f>
        <v>3.7046631786472553</v>
      </c>
      <c r="C113" s="20">
        <f>'Raw Data'!F113</f>
        <v>17.02393913269043</v>
      </c>
      <c r="D113" s="20">
        <f>'Raw Data'!G113</f>
        <v>-42.917850494384766</v>
      </c>
      <c r="E113" s="20">
        <f>'Raw Data'!H113</f>
        <v>7.5761866453874251</v>
      </c>
      <c r="F113" s="20">
        <f>Comparison!$B$10+(C113-Comparison!$B$10)*Comparison!$B$7</f>
        <v>16.84870060856495</v>
      </c>
      <c r="G113" s="20">
        <f>Comparison!$B$11+(D113-Comparison!$B$11)*Comparison!$B$7</f>
        <v>-43.07174153405095</v>
      </c>
    </row>
    <row r="114" spans="1:7">
      <c r="A114" s="18">
        <f>'Raw Data'!A114</f>
        <v>292</v>
      </c>
      <c r="B114" s="20">
        <f>'Raw Data'!C114</f>
        <v>3.7380125366494799</v>
      </c>
      <c r="C114" s="20">
        <f>'Raw Data'!F114</f>
        <v>17.539787292480469</v>
      </c>
      <c r="D114" s="20">
        <f>'Raw Data'!G114</f>
        <v>-42.883796691894531</v>
      </c>
      <c r="E114" s="20">
        <f>'Raw Data'!H114</f>
        <v>7.6089604969217488</v>
      </c>
      <c r="F114" s="20">
        <f>Comparison!$B$10+(C114-Comparison!$B$10)*Comparison!$B$7</f>
        <v>17.394633516900296</v>
      </c>
      <c r="G114" s="20">
        <f>Comparison!$B$11+(D114-Comparison!$B$11)*Comparison!$B$7</f>
        <v>-43.035701681856963</v>
      </c>
    </row>
    <row r="115" spans="1:7">
      <c r="A115" s="18">
        <f>'Raw Data'!A115</f>
        <v>293</v>
      </c>
      <c r="B115" s="20">
        <f>'Raw Data'!C115</f>
        <v>3.7713618946517045</v>
      </c>
      <c r="C115" s="20">
        <f>'Raw Data'!F115</f>
        <v>18.082788467407227</v>
      </c>
      <c r="D115" s="20">
        <f>'Raw Data'!G115</f>
        <v>-42.855056762695313</v>
      </c>
      <c r="E115" s="20">
        <f>'Raw Data'!H115</f>
        <v>7.5994160574552083</v>
      </c>
      <c r="F115" s="20">
        <f>Comparison!$B$10+(C115-Comparison!$B$10)*Comparison!$B$7</f>
        <v>17.969303029684703</v>
      </c>
      <c r="G115" s="20">
        <f>Comparison!$B$11+(D115-Comparison!$B$11)*Comparison!$B$7</f>
        <v>-43.005285613028747</v>
      </c>
    </row>
    <row r="116" spans="1:7">
      <c r="A116" s="18">
        <f>'Raw Data'!A116</f>
        <v>294</v>
      </c>
      <c r="B116" s="20">
        <f>'Raw Data'!C116</f>
        <v>3.8047112526539273</v>
      </c>
      <c r="C116" s="20">
        <f>'Raw Data'!F116</f>
        <v>19.198131561279297</v>
      </c>
      <c r="D116" s="20">
        <f>'Raw Data'!G116</f>
        <v>-42.859294891357422</v>
      </c>
      <c r="E116" s="20">
        <f>'Raw Data'!H116</f>
        <v>7.7145139870969572</v>
      </c>
      <c r="F116" s="20">
        <f>Comparison!$B$10+(C116-Comparison!$B$10)*Comparison!$B$7</f>
        <v>19.149693978984892</v>
      </c>
      <c r="G116" s="20">
        <f>Comparison!$B$11+(D116-Comparison!$B$11)*Comparison!$B$7</f>
        <v>-43.009770913329803</v>
      </c>
    </row>
    <row r="117" spans="1:7">
      <c r="A117" s="18">
        <f>'Raw Data'!A117</f>
        <v>295</v>
      </c>
      <c r="B117" s="20">
        <f>'Raw Data'!C117</f>
        <v>3.8380606106561519</v>
      </c>
      <c r="C117" s="20">
        <f>'Raw Data'!F117</f>
        <v>20.403654098510742</v>
      </c>
      <c r="D117" s="20">
        <f>'Raw Data'!G117</f>
        <v>-43.017753601074219</v>
      </c>
      <c r="E117" s="20">
        <f>'Raw Data'!H117</f>
        <v>7.6116852814305451</v>
      </c>
      <c r="F117" s="20">
        <f>Comparison!$B$10+(C117-Comparison!$B$10)*Comparison!$B$7</f>
        <v>20.425523721369633</v>
      </c>
      <c r="G117" s="20">
        <f>Comparison!$B$11+(D117-Comparison!$B$11)*Comparison!$B$7</f>
        <v>-43.177471083631794</v>
      </c>
    </row>
    <row r="118" spans="1:7">
      <c r="A118" s="18">
        <f>'Raw Data'!A118</f>
        <v>296</v>
      </c>
      <c r="B118" s="20">
        <f>'Raw Data'!C118</f>
        <v>3.8714099686583765</v>
      </c>
      <c r="C118" s="20">
        <f>'Raw Data'!F118</f>
        <v>21.560806274414063</v>
      </c>
      <c r="D118" s="20">
        <f>'Raw Data'!G118</f>
        <v>-43.179607391357422</v>
      </c>
      <c r="E118" s="20">
        <f>'Raw Data'!H118</f>
        <v>7.6307315299623522</v>
      </c>
      <c r="F118" s="20">
        <f>Comparison!$B$10+(C118-Comparison!$B$10)*Comparison!$B$7</f>
        <v>21.650162097582118</v>
      </c>
      <c r="G118" s="20">
        <f>Comparison!$B$11+(D118-Comparison!$B$11)*Comparison!$B$7</f>
        <v>-43.348764338783411</v>
      </c>
    </row>
    <row r="119" spans="1:7">
      <c r="A119" s="18">
        <f>'Raw Data'!A119</f>
        <v>297</v>
      </c>
      <c r="B119" s="20">
        <f>'Raw Data'!C119</f>
        <v>3.9047593266606011</v>
      </c>
      <c r="C119" s="20">
        <f>'Raw Data'!F119</f>
        <v>22.524894714355469</v>
      </c>
      <c r="D119" s="20">
        <f>'Raw Data'!G119</f>
        <v>-43.185554504394531</v>
      </c>
      <c r="E119" s="20">
        <f>'Raw Data'!H119</f>
        <v>7.6632721105498076</v>
      </c>
      <c r="F119" s="20">
        <f>Comparison!$B$10+(C119-Comparison!$B$10)*Comparison!$B$7</f>
        <v>22.670477079657314</v>
      </c>
      <c r="G119" s="20">
        <f>Comparison!$B$11+(D119-Comparison!$B$11)*Comparison!$B$7</f>
        <v>-43.355058293031249</v>
      </c>
    </row>
    <row r="120" spans="1:7">
      <c r="A120" s="18">
        <f>'Raw Data'!A120</f>
        <v>298</v>
      </c>
      <c r="B120" s="20">
        <f>'Raw Data'!C120</f>
        <v>3.9381086846628257</v>
      </c>
      <c r="C120" s="20">
        <f>'Raw Data'!F120</f>
        <v>23.188953399658203</v>
      </c>
      <c r="D120" s="20">
        <f>'Raw Data'!G120</f>
        <v>-43.267681121826172</v>
      </c>
      <c r="E120" s="20">
        <f>'Raw Data'!H120</f>
        <v>7.6157706302968791</v>
      </c>
      <c r="F120" s="20">
        <f>Comparison!$B$10+(C120-Comparison!$B$10)*Comparison!$B$7</f>
        <v>23.373264290374951</v>
      </c>
      <c r="G120" s="20">
        <f>Comparison!$B$11+(D120-Comparison!$B$11)*Comparison!$B$7</f>
        <v>-43.441974611826389</v>
      </c>
    </row>
    <row r="121" spans="1:7">
      <c r="A121" s="18">
        <f>'Raw Data'!A121</f>
        <v>299</v>
      </c>
      <c r="B121" s="20">
        <f>'Raw Data'!C121</f>
        <v>3.9714580426650485</v>
      </c>
      <c r="C121" s="20">
        <f>'Raw Data'!F121</f>
        <v>24.455690383911133</v>
      </c>
      <c r="D121" s="20">
        <f>'Raw Data'!G121</f>
        <v>-43.298656463623047</v>
      </c>
      <c r="E121" s="20">
        <f>'Raw Data'!H121</f>
        <v>7.6551499332696462</v>
      </c>
      <c r="F121" s="20">
        <f>Comparison!$B$10+(C121-Comparison!$B$10)*Comparison!$B$7</f>
        <v>24.713878563750711</v>
      </c>
      <c r="G121" s="20">
        <f>Comparison!$B$11+(D121-Comparison!$B$11)*Comparison!$B$7</f>
        <v>-43.474756464611779</v>
      </c>
    </row>
    <row r="122" spans="1:7">
      <c r="A122" s="18">
        <f>'Raw Data'!A122</f>
        <v>300</v>
      </c>
      <c r="B122" s="20">
        <f>'Raw Data'!C122</f>
        <v>4.0048074006672731</v>
      </c>
      <c r="C122" s="20">
        <f>'Raw Data'!F122</f>
        <v>25.361703872680664</v>
      </c>
      <c r="D122" s="20">
        <f>'Raw Data'!G122</f>
        <v>-43.348392486572266</v>
      </c>
      <c r="E122" s="20">
        <f>'Raw Data'!H122</f>
        <v>7.6970222611224646</v>
      </c>
      <c r="F122" s="20">
        <f>Comparison!$B$10+(C122-Comparison!$B$10)*Comparison!$B$7</f>
        <v>25.672731609027299</v>
      </c>
      <c r="G122" s="20">
        <f>Comparison!$B$11+(D122-Comparison!$B$11)*Comparison!$B$7</f>
        <v>-43.527393139071862</v>
      </c>
    </row>
    <row r="123" spans="1:7">
      <c r="A123" s="18">
        <f>'Raw Data'!A123</f>
        <v>301</v>
      </c>
      <c r="B123" s="20">
        <f>'Raw Data'!C123</f>
        <v>4.0381567586694977</v>
      </c>
      <c r="C123" s="20">
        <f>'Raw Data'!F123</f>
        <v>26.434232711791992</v>
      </c>
      <c r="D123" s="20">
        <f>'Raw Data'!G123</f>
        <v>-43.505111694335938</v>
      </c>
      <c r="E123" s="20">
        <f>'Raw Data'!H123</f>
        <v>7.5501397852857473</v>
      </c>
      <c r="F123" s="20">
        <f>Comparison!$B$10+(C123-Comparison!$B$10)*Comparison!$B$7</f>
        <v>26.807811336069264</v>
      </c>
      <c r="G123" s="20">
        <f>Comparison!$B$11+(D123-Comparison!$B$11)*Comparison!$B$7</f>
        <v>-43.69325235803516</v>
      </c>
    </row>
    <row r="124" spans="1:7">
      <c r="A124" s="18">
        <f>'Raw Data'!A124</f>
        <v>302</v>
      </c>
      <c r="B124" s="20">
        <f>'Raw Data'!C124</f>
        <v>4.0715061166717224</v>
      </c>
      <c r="C124" s="20">
        <f>'Raw Data'!F124</f>
        <v>27.312353134155273</v>
      </c>
      <c r="D124" s="20">
        <f>'Raw Data'!G124</f>
        <v>-43.534725189208984</v>
      </c>
      <c r="E124" s="20">
        <f>'Raw Data'!H124</f>
        <v>7.6280135489215581</v>
      </c>
      <c r="F124" s="20">
        <f>Comparison!$B$10+(C124-Comparison!$B$10)*Comparison!$B$7</f>
        <v>27.737144565143051</v>
      </c>
      <c r="G124" s="20">
        <f>Comparison!$B$11+(D124-Comparison!$B$11)*Comparison!$B$7</f>
        <v>-43.72459293970671</v>
      </c>
    </row>
    <row r="125" spans="1:7">
      <c r="A125" s="18">
        <f>'Raw Data'!A125</f>
        <v>303</v>
      </c>
      <c r="B125" s="20">
        <f>'Raw Data'!C125</f>
        <v>4.104855474673947</v>
      </c>
      <c r="C125" s="20">
        <f>'Raw Data'!F125</f>
        <v>28.660844802856445</v>
      </c>
      <c r="D125" s="20">
        <f>'Raw Data'!G125</f>
        <v>-43.733863830566406</v>
      </c>
      <c r="E125" s="20">
        <f>'Raw Data'!H125</f>
        <v>7.489472960167384</v>
      </c>
      <c r="F125" s="20">
        <f>Comparison!$B$10+(C125-Comparison!$B$10)*Comparison!$B$7</f>
        <v>29.16428153285009</v>
      </c>
      <c r="G125" s="20">
        <f>Comparison!$B$11+(D125-Comparison!$B$11)*Comparison!$B$7</f>
        <v>-43.935345533420438</v>
      </c>
    </row>
    <row r="126" spans="1:7">
      <c r="A126" s="18">
        <f>'Raw Data'!A126</f>
        <v>304</v>
      </c>
      <c r="B126" s="20">
        <f>'Raw Data'!C126</f>
        <v>4.1382048326761698</v>
      </c>
      <c r="C126" s="20">
        <f>'Raw Data'!F126</f>
        <v>29.517436981201172</v>
      </c>
      <c r="D126" s="20">
        <f>'Raw Data'!G126</f>
        <v>-43.771354675292969</v>
      </c>
      <c r="E126" s="20">
        <f>'Raw Data'!H126</f>
        <v>7.4963916433611733</v>
      </c>
      <c r="F126" s="20">
        <f>Comparison!$B$10+(C126-Comparison!$B$10)*Comparison!$B$7</f>
        <v>30.070830970520632</v>
      </c>
      <c r="G126" s="20">
        <f>Comparison!$B$11+(D126-Comparison!$B$11)*Comparison!$B$7</f>
        <v>-43.975022879377924</v>
      </c>
    </row>
    <row r="127" spans="1:7">
      <c r="A127" s="18">
        <f>'Raw Data'!A127</f>
        <v>305</v>
      </c>
      <c r="B127" s="20">
        <f>'Raw Data'!C127</f>
        <v>4.1715541906783944</v>
      </c>
      <c r="C127" s="20">
        <f>'Raw Data'!F127</f>
        <v>30.712871551513672</v>
      </c>
      <c r="D127" s="20">
        <f>'Raw Data'!G127</f>
        <v>-43.770378112792969</v>
      </c>
      <c r="E127" s="20">
        <f>'Raw Data'!H127</f>
        <v>7.5432704000173461</v>
      </c>
      <c r="F127" s="20">
        <f>Comparison!$B$10+(C127-Comparison!$B$10)*Comparison!$B$7</f>
        <v>31.335984406293186</v>
      </c>
      <c r="G127" s="20">
        <f>Comparison!$B$11+(D127-Comparison!$B$11)*Comparison!$B$7</f>
        <v>-43.973989362836903</v>
      </c>
    </row>
    <row r="128" spans="1:7">
      <c r="A128" s="18">
        <f>'Raw Data'!A128</f>
        <v>306</v>
      </c>
      <c r="B128" s="20">
        <f>'Raw Data'!C128</f>
        <v>4.204903548680619</v>
      </c>
      <c r="C128" s="20">
        <f>'Raw Data'!F128</f>
        <v>31.274065017700195</v>
      </c>
      <c r="D128" s="20">
        <f>'Raw Data'!G128</f>
        <v>-43.592185974121094</v>
      </c>
      <c r="E128" s="20">
        <f>'Raw Data'!H128</f>
        <v>7.5624889544774243</v>
      </c>
      <c r="F128" s="20">
        <f>Comparison!$B$10+(C128-Comparison!$B$10)*Comparison!$B$7</f>
        <v>31.929907201828023</v>
      </c>
      <c r="G128" s="20">
        <f>Comparison!$B$11+(D128-Comparison!$B$11)*Comparison!$B$7</f>
        <v>-43.785404891493194</v>
      </c>
    </row>
    <row r="129" spans="1:7">
      <c r="A129" s="18">
        <f>'Raw Data'!A129</f>
        <v>307</v>
      </c>
      <c r="B129" s="20">
        <f>'Raw Data'!C129</f>
        <v>4.2382529066828436</v>
      </c>
      <c r="C129" s="20">
        <f>'Raw Data'!F129</f>
        <v>32.273128509521484</v>
      </c>
      <c r="D129" s="20">
        <f>'Raw Data'!G129</f>
        <v>-43.625743865966797</v>
      </c>
      <c r="E129" s="20">
        <f>'Raw Data'!H129</f>
        <v>7.5583748065868592</v>
      </c>
      <c r="F129" s="20">
        <f>Comparison!$B$10+(C129-Comparison!$B$10)*Comparison!$B$7</f>
        <v>32.987237013615392</v>
      </c>
      <c r="G129" s="20">
        <f>Comparison!$B$11+(D129-Comparison!$B$11)*Comparison!$B$7</f>
        <v>-43.820919911068692</v>
      </c>
    </row>
    <row r="130" spans="1:7">
      <c r="A130" s="18">
        <f>'Raw Data'!A130</f>
        <v>308</v>
      </c>
      <c r="B130" s="20">
        <f>'Raw Data'!C130</f>
        <v>4.2716022646850682</v>
      </c>
      <c r="C130" s="20">
        <f>'Raw Data'!F130</f>
        <v>32.988235473632813</v>
      </c>
      <c r="D130" s="20">
        <f>'Raw Data'!G130</f>
        <v>-43.67633056640625</v>
      </c>
      <c r="E130" s="20">
        <f>'Raw Data'!H130</f>
        <v>7.5611178205790228</v>
      </c>
      <c r="F130" s="20">
        <f>Comparison!$B$10+(C130-Comparison!$B$10)*Comparison!$B$7</f>
        <v>33.744049686645099</v>
      </c>
      <c r="G130" s="20">
        <f>Comparison!$B$11+(D130-Comparison!$B$11)*Comparison!$B$7</f>
        <v>-43.874456875328171</v>
      </c>
    </row>
    <row r="131" spans="1:7">
      <c r="A131" s="18">
        <f>'Raw Data'!A131</f>
        <v>309</v>
      </c>
      <c r="B131" s="20">
        <f>'Raw Data'!C131</f>
        <v>4.304951622687291</v>
      </c>
      <c r="C131" s="20">
        <f>'Raw Data'!F131</f>
        <v>34.299213409423828</v>
      </c>
      <c r="D131" s="20">
        <f>'Raw Data'!G131</f>
        <v>-43.683452606201172</v>
      </c>
      <c r="E131" s="20">
        <f>'Raw Data'!H131</f>
        <v>7.6578582828796868</v>
      </c>
      <c r="F131" s="20">
        <f>Comparison!$B$10+(C131-Comparison!$B$10)*Comparison!$B$7</f>
        <v>35.131485085350725</v>
      </c>
      <c r="G131" s="20">
        <f>Comparison!$B$11+(D131-Comparison!$B$11)*Comparison!$B$7</f>
        <v>-43.881994279164417</v>
      </c>
    </row>
    <row r="132" spans="1:7">
      <c r="A132" s="18">
        <f>'Raw Data'!A132</f>
        <v>310</v>
      </c>
      <c r="B132" s="20">
        <f>'Raw Data'!C132</f>
        <v>4.3383009806895156</v>
      </c>
      <c r="C132" s="20">
        <f>'Raw Data'!F132</f>
        <v>35.198650360107422</v>
      </c>
      <c r="D132" s="20">
        <f>'Raw Data'!G132</f>
        <v>-43.595157623291016</v>
      </c>
      <c r="E132" s="20">
        <f>'Raw Data'!H132</f>
        <v>7.5693408983986119</v>
      </c>
      <c r="F132" s="20">
        <f>Comparison!$B$10+(C132-Comparison!$B$10)*Comparison!$B$7</f>
        <v>36.083378042671399</v>
      </c>
      <c r="G132" s="20">
        <f>Comparison!$B$11+(D132-Comparison!$B$11)*Comparison!$B$7</f>
        <v>-43.788549850030115</v>
      </c>
    </row>
    <row r="133" spans="1:7">
      <c r="A133" s="18">
        <f>'Raw Data'!A133</f>
        <v>311</v>
      </c>
      <c r="B133" s="20">
        <f>'Raw Data'!C133</f>
        <v>4.3716503386917402</v>
      </c>
      <c r="C133" s="20">
        <f>'Raw Data'!F133</f>
        <v>36.045619964599609</v>
      </c>
      <c r="D133" s="20">
        <f>'Raw Data'!G133</f>
        <v>-43.600666046142578</v>
      </c>
      <c r="E133" s="20">
        <f>'Raw Data'!H133</f>
        <v>7.51986755197301</v>
      </c>
      <c r="F133" s="20">
        <f>Comparison!$B$10+(C133-Comparison!$B$10)*Comparison!$B$7</f>
        <v>36.979743708956335</v>
      </c>
      <c r="G133" s="20">
        <f>Comparison!$B$11+(D133-Comparison!$B$11)*Comparison!$B$7</f>
        <v>-43.794379529269293</v>
      </c>
    </row>
    <row r="134" spans="1:7">
      <c r="A134" s="18">
        <f>'Raw Data'!A134</f>
        <v>312</v>
      </c>
      <c r="B134" s="20">
        <f>'Raw Data'!C134</f>
        <v>4.4049996966939649</v>
      </c>
      <c r="C134" s="20">
        <f>'Raw Data'!F134</f>
        <v>36.990974426269531</v>
      </c>
      <c r="D134" s="20">
        <f>'Raw Data'!G134</f>
        <v>-43.4766845703125</v>
      </c>
      <c r="E134" s="20">
        <f>'Raw Data'!H134</f>
        <v>7.6848892821547166</v>
      </c>
      <c r="F134" s="20">
        <f>Comparison!$B$10+(C134-Comparison!$B$10)*Comparison!$B$7</f>
        <v>37.980232129574759</v>
      </c>
      <c r="G134" s="20">
        <f>Comparison!$B$11+(D134-Comparison!$B$11)*Comparison!$B$7</f>
        <v>-43.663167337473993</v>
      </c>
    </row>
    <row r="135" spans="1:7">
      <c r="A135" s="18">
        <f>'Raw Data'!A135</f>
        <v>313</v>
      </c>
      <c r="B135" s="20">
        <f>'Raw Data'!C135</f>
        <v>4.4383490546961895</v>
      </c>
      <c r="C135" s="20">
        <f>'Raw Data'!F135</f>
        <v>38.209392547607422</v>
      </c>
      <c r="D135" s="20">
        <f>'Raw Data'!G135</f>
        <v>-43.502326965332031</v>
      </c>
      <c r="E135" s="20">
        <f>'Raw Data'!H135</f>
        <v>7.6280135489215581</v>
      </c>
      <c r="F135" s="20">
        <f>Comparison!$B$10+(C135-Comparison!$B$10)*Comparison!$B$7</f>
        <v>39.269709538627104</v>
      </c>
      <c r="G135" s="20">
        <f>Comparison!$B$11+(D135-Comparison!$B$11)*Comparison!$B$7</f>
        <v>-43.690305221023664</v>
      </c>
    </row>
    <row r="136" spans="1:7">
      <c r="A136" s="18">
        <f>'Raw Data'!A136</f>
        <v>314</v>
      </c>
      <c r="B136" s="20">
        <f>'Raw Data'!C136</f>
        <v>4.4716984126984123</v>
      </c>
      <c r="C136" s="20">
        <f>'Raw Data'!F136</f>
        <v>38.948673248291016</v>
      </c>
      <c r="D136" s="20">
        <f>'Raw Data'!G136</f>
        <v>-43.433662414550781</v>
      </c>
      <c r="E136" s="20">
        <f>'Raw Data'!H136</f>
        <v>7.5046856436593981</v>
      </c>
      <c r="F136" s="20">
        <f>Comparison!$B$10+(C136-Comparison!$B$10)*Comparison!$B$7</f>
        <v>40.052105783220981</v>
      </c>
      <c r="G136" s="20">
        <f>Comparison!$B$11+(D136-Comparison!$B$11)*Comparison!$B$7</f>
        <v>-43.6176360892334</v>
      </c>
    </row>
    <row r="137" spans="1:7">
      <c r="A137" s="18">
        <f>'Raw Data'!A137</f>
        <v>315</v>
      </c>
      <c r="B137" s="20">
        <f>'Raw Data'!C137</f>
        <v>4.5050477707006369</v>
      </c>
      <c r="C137" s="20">
        <f>'Raw Data'!F137</f>
        <v>39.529327392578125</v>
      </c>
      <c r="D137" s="20">
        <f>'Raw Data'!G137</f>
        <v>-43.304862976074219</v>
      </c>
      <c r="E137" s="20">
        <f>'Raw Data'!H137</f>
        <v>7.5432704000173461</v>
      </c>
      <c r="F137" s="20">
        <f>Comparison!$B$10+(C137-Comparison!$B$10)*Comparison!$B$7</f>
        <v>40.666624221857376</v>
      </c>
      <c r="G137" s="20">
        <f>Comparison!$B$11+(D137-Comparison!$B$11)*Comparison!$B$7</f>
        <v>-43.481324946690819</v>
      </c>
    </row>
    <row r="138" spans="1:7">
      <c r="A138" s="18">
        <f>'Raw Data'!A138</f>
        <v>316</v>
      </c>
      <c r="B138" s="20">
        <f>'Raw Data'!C138</f>
        <v>4.5383971287028615</v>
      </c>
      <c r="C138" s="20">
        <f>'Raw Data'!F138</f>
        <v>40.660049438476563</v>
      </c>
      <c r="D138" s="20">
        <f>'Raw Data'!G138</f>
        <v>-43.264595031738281</v>
      </c>
      <c r="E138" s="20">
        <f>'Raw Data'!H138</f>
        <v>7.5033039469444454</v>
      </c>
      <c r="F138" s="20">
        <f>Comparison!$B$10+(C138-Comparison!$B$10)*Comparison!$B$7</f>
        <v>41.863291038091589</v>
      </c>
      <c r="G138" s="20">
        <f>Comparison!$B$11+(D138-Comparison!$B$11)*Comparison!$B$7</f>
        <v>-43.438708538069818</v>
      </c>
    </row>
    <row r="139" spans="1:7">
      <c r="A139" s="18">
        <f>'Raw Data'!A139</f>
        <v>317</v>
      </c>
      <c r="B139" s="20">
        <f>'Raw Data'!C139</f>
        <v>4.5717464867050861</v>
      </c>
      <c r="C139" s="20">
        <f>'Raw Data'!F139</f>
        <v>41.759498596191406</v>
      </c>
      <c r="D139" s="20">
        <f>'Raw Data'!G139</f>
        <v>-43.297233581542969</v>
      </c>
      <c r="E139" s="20">
        <f>'Raw Data'!H139</f>
        <v>7.5789232128038808</v>
      </c>
      <c r="F139" s="20">
        <f>Comparison!$B$10+(C139-Comparison!$B$10)*Comparison!$B$7</f>
        <v>43.026861101969331</v>
      </c>
      <c r="G139" s="20">
        <f>Comparison!$B$11+(D139-Comparison!$B$11)*Comparison!$B$7</f>
        <v>-43.473250598714124</v>
      </c>
    </row>
    <row r="140" spans="1:7">
      <c r="A140" s="18">
        <f>'Raw Data'!A140</f>
        <v>318</v>
      </c>
      <c r="B140" s="20">
        <f>'Raw Data'!C140</f>
        <v>4.6050958447073107</v>
      </c>
      <c r="C140" s="20">
        <f>'Raw Data'!F140</f>
        <v>42.653465270996094</v>
      </c>
      <c r="D140" s="20">
        <f>'Raw Data'!G140</f>
        <v>-43.260543823242188</v>
      </c>
      <c r="E140" s="20">
        <f>'Raw Data'!H140</f>
        <v>7.6035079985526526</v>
      </c>
      <c r="F140" s="20">
        <f>Comparison!$B$10+(C140-Comparison!$B$10)*Comparison!$B$7</f>
        <v>43.972964751790713</v>
      </c>
      <c r="G140" s="20">
        <f>Comparison!$B$11+(D140-Comparison!$B$11)*Comparison!$B$7</f>
        <v>-43.434421059294195</v>
      </c>
    </row>
    <row r="141" spans="1:7">
      <c r="A141" s="18">
        <f>'Raw Data'!A141</f>
        <v>319</v>
      </c>
      <c r="B141" s="20">
        <f>'Raw Data'!C141</f>
        <v>4.6384452027095335</v>
      </c>
      <c r="C141" s="20">
        <f>'Raw Data'!F141</f>
        <v>44.019874572753906</v>
      </c>
      <c r="D141" s="20">
        <f>'Raw Data'!G141</f>
        <v>-43.291500091552734</v>
      </c>
      <c r="E141" s="20">
        <f>'Raw Data'!H141</f>
        <v>7.6592120985506327</v>
      </c>
      <c r="F141" s="20">
        <f>Comparison!$B$10+(C141-Comparison!$B$10)*Comparison!$B$7</f>
        <v>45.419064325721024</v>
      </c>
      <c r="G141" s="20">
        <f>Comparison!$B$11+(D141-Comparison!$B$11)*Comparison!$B$7</f>
        <v>-43.467182726209636</v>
      </c>
    </row>
    <row r="142" spans="1:7">
      <c r="A142" s="18">
        <f>'Raw Data'!A142</f>
        <v>320</v>
      </c>
      <c r="B142" s="20">
        <f>'Raw Data'!C142</f>
        <v>4.6717945607117581</v>
      </c>
      <c r="C142" s="20">
        <f>'Raw Data'!F142</f>
        <v>44.548133850097656</v>
      </c>
      <c r="D142" s="20">
        <f>'Raw Data'!G142</f>
        <v>-43.072208404541016</v>
      </c>
      <c r="E142" s="20">
        <f>'Raw Data'!H142</f>
        <v>7.5322663527290965</v>
      </c>
      <c r="F142" s="20">
        <f>Comparison!$B$10+(C142-Comparison!$B$10)*Comparison!$B$7</f>
        <v>45.978132179627458</v>
      </c>
      <c r="G142" s="20">
        <f>Comparison!$B$11+(D142-Comparison!$B$11)*Comparison!$B$7</f>
        <v>-43.235101742315464</v>
      </c>
    </row>
    <row r="143" spans="1:7">
      <c r="A143" s="18">
        <f>'Raw Data'!A143</f>
        <v>321</v>
      </c>
      <c r="B143" s="20">
        <f>'Raw Data'!C143</f>
        <v>4.7051439187139827</v>
      </c>
      <c r="C143" s="20">
        <f>'Raw Data'!F143</f>
        <v>45.133995056152344</v>
      </c>
      <c r="D143" s="20">
        <f>'Raw Data'!G143</f>
        <v>-42.763866424560547</v>
      </c>
      <c r="E143" s="20">
        <f>'Raw Data'!H143</f>
        <v>7.5679710059073653</v>
      </c>
      <c r="F143" s="20">
        <f>Comparison!$B$10+(C143-Comparison!$B$10)*Comparison!$B$7</f>
        <v>46.598161360757942</v>
      </c>
      <c r="G143" s="20">
        <f>Comparison!$B$11+(D143-Comparison!$B$11)*Comparison!$B$7</f>
        <v>-42.908776968837287</v>
      </c>
    </row>
    <row r="144" spans="1:7">
      <c r="A144" s="18">
        <f>'Raw Data'!A144</f>
        <v>322</v>
      </c>
      <c r="B144" s="20">
        <f>'Raw Data'!C144</f>
        <v>4.7384932767162073</v>
      </c>
      <c r="C144" s="20">
        <f>'Raw Data'!F144</f>
        <v>46.123420715332031</v>
      </c>
      <c r="D144" s="20">
        <f>'Raw Data'!G144</f>
        <v>-42.681629180908203</v>
      </c>
      <c r="E144" s="20">
        <f>'Raw Data'!H144</f>
        <v>7.6116852814305451</v>
      </c>
      <c r="F144" s="20">
        <f>Comparison!$B$10+(C144-Comparison!$B$10)*Comparison!$B$7</f>
        <v>47.64529125246375</v>
      </c>
      <c r="G144" s="20">
        <f>Comparison!$B$11+(D144-Comparison!$B$11)*Comparison!$B$7</f>
        <v>-42.821743571996485</v>
      </c>
    </row>
    <row r="145" spans="1:7">
      <c r="A145" s="18">
        <f>'Raw Data'!A145</f>
        <v>323</v>
      </c>
      <c r="B145" s="20">
        <f>'Raw Data'!C145</f>
        <v>4.771842634718432</v>
      </c>
      <c r="C145" s="20">
        <f>'Raw Data'!F145</f>
        <v>47.153148651123047</v>
      </c>
      <c r="D145" s="20">
        <f>'Raw Data'!G145</f>
        <v>-42.648761749267578</v>
      </c>
      <c r="E145" s="20">
        <f>'Raw Data'!H145</f>
        <v>7.6361645897677644</v>
      </c>
      <c r="F145" s="20">
        <f>Comparison!$B$10+(C145-Comparison!$B$10)*Comparison!$B$7</f>
        <v>48.73507388735645</v>
      </c>
      <c r="G145" s="20">
        <f>Comparison!$B$11+(D145-Comparison!$B$11)*Comparison!$B$7</f>
        <v>-42.786959280912875</v>
      </c>
    </row>
    <row r="146" spans="1:7">
      <c r="A146" s="18">
        <f>'Raw Data'!A146</f>
        <v>324</v>
      </c>
      <c r="B146" s="20">
        <f>'Raw Data'!C146</f>
        <v>4.8051919927206548</v>
      </c>
      <c r="C146" s="20">
        <f>'Raw Data'!F146</f>
        <v>47.399288177490234</v>
      </c>
      <c r="D146" s="20">
        <f>'Raw Data'!G146</f>
        <v>-42.331096649169922</v>
      </c>
      <c r="E146" s="20">
        <f>'Raw Data'!H146</f>
        <v>7.6673299726877939</v>
      </c>
      <c r="F146" s="20">
        <f>Comparison!$B$10+(C146-Comparison!$B$10)*Comparison!$B$7</f>
        <v>48.995568501780625</v>
      </c>
      <c r="G146" s="20">
        <f>Comparison!$B$11+(D146-Comparison!$B$11)*Comparison!$B$7</f>
        <v>-42.450767654207183</v>
      </c>
    </row>
    <row r="147" spans="1:7">
      <c r="A147" s="18">
        <f>'Raw Data'!A147</f>
        <v>325</v>
      </c>
      <c r="B147" s="20">
        <f>'Raw Data'!C147</f>
        <v>4.8385413507228794</v>
      </c>
      <c r="C147" s="20">
        <f>'Raw Data'!F147</f>
        <v>48.444534301757813</v>
      </c>
      <c r="D147" s="20">
        <f>'Raw Data'!G147</f>
        <v>-42.297306060791016</v>
      </c>
      <c r="E147" s="20">
        <f>'Raw Data'!H147</f>
        <v>7.5405208936748602</v>
      </c>
      <c r="F147" s="20">
        <f>Comparison!$B$10+(C147-Comparison!$B$10)*Comparison!$B$7</f>
        <v>50.101774360457924</v>
      </c>
      <c r="G147" s="20">
        <f>Comparison!$B$11+(D147-Comparison!$B$11)*Comparison!$B$7</f>
        <v>-42.4150063670184</v>
      </c>
    </row>
    <row r="148" spans="1:7">
      <c r="A148" s="18">
        <f>'Raw Data'!A148</f>
        <v>326</v>
      </c>
      <c r="B148" s="20">
        <f>'Raw Data'!C148</f>
        <v>4.871890708725104</v>
      </c>
      <c r="C148" s="20">
        <f>'Raw Data'!F148</f>
        <v>49.102214813232422</v>
      </c>
      <c r="D148" s="20">
        <f>'Raw Data'!G148</f>
        <v>-42.086269378662109</v>
      </c>
      <c r="E148" s="20">
        <f>'Raw Data'!H148</f>
        <v>7.5528857900265809</v>
      </c>
      <c r="F148" s="20">
        <f>Comparison!$B$10+(C148-Comparison!$B$10)*Comparison!$B$7</f>
        <v>50.797811416267038</v>
      </c>
      <c r="G148" s="20">
        <f>Comparison!$B$11+(D148-Comparison!$B$11)*Comparison!$B$7</f>
        <v>-42.191661827635009</v>
      </c>
    </row>
    <row r="149" spans="1:7">
      <c r="A149" s="18">
        <f>'Raw Data'!A149</f>
        <v>327</v>
      </c>
      <c r="B149" s="20">
        <f>'Raw Data'!C149</f>
        <v>4.9052400667273286</v>
      </c>
      <c r="C149" s="20">
        <f>'Raw Data'!F149</f>
        <v>50.551303863525391</v>
      </c>
      <c r="D149" s="20">
        <f>'Raw Data'!G149</f>
        <v>-42.224822998046875</v>
      </c>
      <c r="E149" s="20">
        <f>'Raw Data'!H149</f>
        <v>7.6225746793894631</v>
      </c>
      <c r="F149" s="20">
        <f>Comparison!$B$10+(C149-Comparison!$B$10)*Comparison!$B$7</f>
        <v>52.331412699220806</v>
      </c>
      <c r="G149" s="20">
        <f>Comparison!$B$11+(D149-Comparison!$B$11)*Comparison!$B$7</f>
        <v>-42.338296024065798</v>
      </c>
    </row>
    <row r="150" spans="1:7">
      <c r="A150" s="18">
        <f>'Raw Data'!A150</f>
        <v>328</v>
      </c>
      <c r="B150" s="20">
        <f>'Raw Data'!C150</f>
        <v>4.9385894247295514</v>
      </c>
      <c r="C150" s="20">
        <f>'Raw Data'!F150</f>
        <v>50.991706848144531</v>
      </c>
      <c r="D150" s="20">
        <f>'Raw Data'!G150</f>
        <v>-41.77783203125</v>
      </c>
      <c r="E150" s="20">
        <f>'Raw Data'!H150</f>
        <v>7.6048714896419876</v>
      </c>
      <c r="F150" s="20">
        <f>Comparison!$B$10+(C150-Comparison!$B$10)*Comparison!$B$7</f>
        <v>52.797500399001599</v>
      </c>
      <c r="G150" s="20">
        <f>Comparison!$B$11+(D150-Comparison!$B$11)*Comparison!$B$7</f>
        <v>-41.865236124807126</v>
      </c>
    </row>
    <row r="151" spans="1:7">
      <c r="A151" s="18">
        <f>'Raw Data'!A151</f>
        <v>329</v>
      </c>
      <c r="B151" s="20">
        <f>'Raw Data'!C151</f>
        <v>4.971938782731776</v>
      </c>
      <c r="C151" s="20">
        <f>'Raw Data'!F151</f>
        <v>51.310104370117188</v>
      </c>
      <c r="D151" s="20">
        <f>'Raw Data'!G151</f>
        <v>-41.014091491699219</v>
      </c>
      <c r="E151" s="20">
        <f>'Raw Data'!H151</f>
        <v>7.6334485432334152</v>
      </c>
      <c r="F151" s="20">
        <f>Comparison!$B$10+(C151-Comparison!$B$10)*Comparison!$B$7</f>
        <v>53.134467163113058</v>
      </c>
      <c r="G151" s="20">
        <f>Comparison!$B$11+(D151-Comparison!$B$11)*Comparison!$B$7</f>
        <v>-41.056953520599968</v>
      </c>
    </row>
    <row r="152" spans="1:7">
      <c r="A152" s="18">
        <f>'Raw Data'!A152</f>
        <v>330</v>
      </c>
      <c r="B152" s="20">
        <f>'Raw Data'!C152</f>
        <v>5.0052881407340006</v>
      </c>
      <c r="C152" s="20">
        <f>'Raw Data'!F152</f>
        <v>52.038166046142578</v>
      </c>
      <c r="D152" s="20">
        <f>'Raw Data'!G152</f>
        <v>-40.412261962890625</v>
      </c>
      <c r="E152" s="20">
        <f>'Raw Data'!H152</f>
        <v>7.5720799398844596</v>
      </c>
      <c r="F152" s="20">
        <f>Comparison!$B$10+(C152-Comparison!$B$10)*Comparison!$B$7</f>
        <v>53.904990079007199</v>
      </c>
      <c r="G152" s="20">
        <f>Comparison!$B$11+(D152-Comparison!$B$11)*Comparison!$B$7</f>
        <v>-40.42002472915425</v>
      </c>
    </row>
    <row r="153" spans="1:7">
      <c r="A153" s="18">
        <f>'Raw Data'!A153</f>
        <v>331</v>
      </c>
      <c r="B153" s="20">
        <f>'Raw Data'!C153</f>
        <v>5.0386374987362252</v>
      </c>
      <c r="C153" s="20">
        <f>'Raw Data'!F153</f>
        <v>52.187164306640625</v>
      </c>
      <c r="D153" s="20">
        <f>'Raw Data'!G153</f>
        <v>-39.504512786865234</v>
      </c>
      <c r="E153" s="20">
        <f>'Raw Data'!H153</f>
        <v>7.5994160574552083</v>
      </c>
      <c r="F153" s="20">
        <f>Comparison!$B$10+(C153-Comparison!$B$10)*Comparison!$B$7</f>
        <v>54.062678057818083</v>
      </c>
      <c r="G153" s="20">
        <f>Comparison!$B$11+(D153-Comparison!$B$11)*Comparison!$B$7</f>
        <v>-39.459334769712967</v>
      </c>
    </row>
    <row r="154" spans="1:7">
      <c r="A154" s="18">
        <f>'Raw Data'!A154</f>
        <v>332</v>
      </c>
      <c r="B154" s="20">
        <f>'Raw Data'!C154</f>
        <v>5.0719868567384498</v>
      </c>
      <c r="C154" s="20">
        <f>'Raw Data'!F154</f>
        <v>53.138713836669922</v>
      </c>
      <c r="D154" s="20">
        <f>'Raw Data'!G154</f>
        <v>-39.059223175048828</v>
      </c>
      <c r="E154" s="20">
        <f>'Raw Data'!H154</f>
        <v>7.6239347605278427</v>
      </c>
      <c r="F154" s="20">
        <f>Comparison!$B$10+(C154-Comparison!$B$10)*Comparison!$B$7</f>
        <v>55.069722848993578</v>
      </c>
      <c r="G154" s="20">
        <f>Comparison!$B$11+(D154-Comparison!$B$11)*Comparison!$B$7</f>
        <v>-38.988075450053103</v>
      </c>
    </row>
    <row r="155" spans="1:7">
      <c r="A155" s="18">
        <f>'Raw Data'!A155</f>
        <v>333</v>
      </c>
      <c r="B155" s="20">
        <f>'Raw Data'!C155</f>
        <v>5.1053362147406727</v>
      </c>
      <c r="C155" s="20">
        <f>'Raw Data'!F155</f>
        <v>51.641048431396484</v>
      </c>
      <c r="D155" s="20">
        <f>'Raw Data'!G155</f>
        <v>-37.933498382568359</v>
      </c>
      <c r="E155" s="20">
        <f>'Raw Data'!H155</f>
        <v>7.5350188711300268</v>
      </c>
      <c r="F155" s="20">
        <f>Comparison!$B$10+(C155-Comparison!$B$10)*Comparison!$B$7</f>
        <v>53.484712192472188</v>
      </c>
      <c r="G155" s="20">
        <f>Comparison!$B$11+(D155-Comparison!$B$11)*Comparison!$B$7</f>
        <v>-37.796697331743623</v>
      </c>
    </row>
    <row r="156" spans="1:7">
      <c r="A156" s="18">
        <f>'Raw Data'!A156</f>
        <v>334</v>
      </c>
      <c r="B156" s="20">
        <f>'Raw Data'!C156</f>
        <v>5.1386855727428973</v>
      </c>
      <c r="C156" s="20">
        <f>'Raw Data'!F156</f>
        <v>50.977767944335938</v>
      </c>
      <c r="D156" s="20">
        <f>'Raw Data'!G156</f>
        <v>-37.329631805419922</v>
      </c>
      <c r="E156" s="20">
        <f>'Raw Data'!H156</f>
        <v>7.5666008654044363</v>
      </c>
      <c r="F156" s="20">
        <f>Comparison!$B$10+(C156-Comparison!$B$10)*Comparison!$B$7</f>
        <v>52.782748565248177</v>
      </c>
      <c r="G156" s="20">
        <f>Comparison!$B$11+(D156-Comparison!$B$11)*Comparison!$B$7</f>
        <v>-37.157612689388131</v>
      </c>
    </row>
    <row r="157" spans="1:7">
      <c r="A157" s="18">
        <f>'Raw Data'!A157</f>
        <v>335</v>
      </c>
      <c r="B157" s="20">
        <f>'Raw Data'!C157</f>
        <v>5.1720349307451219</v>
      </c>
      <c r="C157" s="20">
        <f>'Raw Data'!F157</f>
        <v>50.819927215576172</v>
      </c>
      <c r="D157" s="20">
        <f>'Raw Data'!G157</f>
        <v>-37.178768157958984</v>
      </c>
      <c r="E157" s="20">
        <f>'Raw Data'!H157</f>
        <v>7.5720799398844596</v>
      </c>
      <c r="F157" s="20">
        <f>Comparison!$B$10+(C157-Comparison!$B$10)*Comparison!$B$7</f>
        <v>52.615702417132297</v>
      </c>
      <c r="G157" s="20">
        <f>Comparison!$B$11+(D157-Comparison!$B$11)*Comparison!$B$7</f>
        <v>-36.997950532496944</v>
      </c>
    </row>
    <row r="158" spans="1:7">
      <c r="A158" s="18">
        <f>'Raw Data'!A158</f>
        <v>336</v>
      </c>
      <c r="B158" s="20">
        <f>'Raw Data'!C158</f>
        <v>5.2053842887473465</v>
      </c>
      <c r="C158" s="20">
        <f>'Raw Data'!F158</f>
        <v>51.020565032958984</v>
      </c>
      <c r="D158" s="20">
        <f>'Raw Data'!G158</f>
        <v>-37.288394927978516</v>
      </c>
      <c r="E158" s="20">
        <f>'Raw Data'!H158</f>
        <v>7.5432704000173461</v>
      </c>
      <c r="F158" s="20">
        <f>Comparison!$B$10+(C158-Comparison!$B$10)*Comparison!$B$7</f>
        <v>52.828041620223452</v>
      </c>
      <c r="G158" s="20">
        <f>Comparison!$B$11+(D158-Comparison!$B$11)*Comparison!$B$7</f>
        <v>-37.11397083857409</v>
      </c>
    </row>
    <row r="159" spans="1:7">
      <c r="A159" s="18">
        <f>'Raw Data'!A159</f>
        <v>337</v>
      </c>
      <c r="B159" s="20">
        <f>'Raw Data'!C159</f>
        <v>5.2387336467495711</v>
      </c>
      <c r="C159" s="20">
        <f>'Raw Data'!F159</f>
        <v>48.709480285644531</v>
      </c>
      <c r="D159" s="20">
        <f>'Raw Data'!G159</f>
        <v>-36.681659698486328</v>
      </c>
      <c r="E159" s="20">
        <f>'Raw Data'!H159</f>
        <v>7.5884934272215778</v>
      </c>
      <c r="F159" s="20">
        <f>Comparison!$B$10+(C159-Comparison!$B$10)*Comparison!$B$7</f>
        <v>50.382172242644643</v>
      </c>
      <c r="G159" s="20">
        <f>Comparison!$B$11+(D159-Comparison!$B$11)*Comparison!$B$7</f>
        <v>-36.471850241379357</v>
      </c>
    </row>
    <row r="160" spans="1:7">
      <c r="A160" s="18">
        <f>'Raw Data'!A160</f>
        <v>338</v>
      </c>
      <c r="B160" s="20">
        <f>'Raw Data'!C160</f>
        <v>5.2720830047517939</v>
      </c>
      <c r="C160" s="20">
        <f>'Raw Data'!F160</f>
        <v>47.453346252441406</v>
      </c>
      <c r="D160" s="20">
        <f>'Raw Data'!G160</f>
        <v>-36.722309112548828</v>
      </c>
      <c r="E160" s="20">
        <f>'Raw Data'!H160</f>
        <v>7.6686821162434411</v>
      </c>
      <c r="F160" s="20">
        <f>Comparison!$B$10+(C160-Comparison!$B$10)*Comparison!$B$7</f>
        <v>49.0527792943695</v>
      </c>
      <c r="G160" s="20">
        <f>Comparison!$B$11+(D160-Comparison!$B$11)*Comparison!$B$7</f>
        <v>-36.51487036739919</v>
      </c>
    </row>
    <row r="161" spans="1:7">
      <c r="A161" s="18">
        <f>'Raw Data'!A161</f>
        <v>339</v>
      </c>
      <c r="B161" s="20">
        <f>'Raw Data'!C161</f>
        <v>5.3054323627540185</v>
      </c>
      <c r="C161" s="20">
        <f>'Raw Data'!F161</f>
        <v>46.365814208984375</v>
      </c>
      <c r="D161" s="20">
        <f>'Raw Data'!G161</f>
        <v>-36.711154937744141</v>
      </c>
      <c r="E161" s="20">
        <f>'Raw Data'!H161</f>
        <v>7.51986755197301</v>
      </c>
      <c r="F161" s="20">
        <f>Comparison!$B$10+(C161-Comparison!$B$10)*Comparison!$B$7</f>
        <v>47.901821362031363</v>
      </c>
      <c r="G161" s="20">
        <f>Comparison!$B$11+(D161-Comparison!$B$11)*Comparison!$B$7</f>
        <v>-36.503065670657264</v>
      </c>
    </row>
    <row r="162" spans="1:7">
      <c r="A162" s="18">
        <f>'Raw Data'!A162</f>
        <v>340</v>
      </c>
      <c r="B162" s="20">
        <f>'Raw Data'!C162</f>
        <v>5.3387817207562431</v>
      </c>
      <c r="C162" s="20">
        <f>'Raw Data'!F162</f>
        <v>45.508632659912109</v>
      </c>
      <c r="D162" s="20">
        <f>'Raw Data'!G162</f>
        <v>-36.832752227783203</v>
      </c>
      <c r="E162" s="20">
        <f>'Raw Data'!H162</f>
        <v>7.4880884564195043</v>
      </c>
      <c r="F162" s="20">
        <f>Comparison!$B$10+(C162-Comparison!$B$10)*Comparison!$B$7</f>
        <v>46.994648180979624</v>
      </c>
      <c r="G162" s="20">
        <f>Comparison!$B$11+(D162-Comparison!$B$11)*Comparison!$B$7</f>
        <v>-36.631754628709842</v>
      </c>
    </row>
    <row r="163" spans="1:7">
      <c r="A163" s="18">
        <f>'Raw Data'!A163</f>
        <v>341</v>
      </c>
      <c r="B163" s="20">
        <f>'Raw Data'!C163</f>
        <v>5.3721310787584677</v>
      </c>
      <c r="C163" s="20">
        <f>'Raw Data'!F163</f>
        <v>44.793407440185547</v>
      </c>
      <c r="D163" s="20">
        <f>'Raw Data'!G163</f>
        <v>-36.896484375</v>
      </c>
      <c r="E163" s="20">
        <f>'Raw Data'!H163</f>
        <v>7.5542584180779002</v>
      </c>
      <c r="F163" s="20">
        <f>Comparison!$B$10+(C163-Comparison!$B$10)*Comparison!$B$7</f>
        <v>46.237710355556274</v>
      </c>
      <c r="G163" s="20">
        <f>Comparison!$B$11+(D163-Comparison!$B$11)*Comparison!$B$7</f>
        <v>-36.699203694533175</v>
      </c>
    </row>
    <row r="164" spans="1:7">
      <c r="A164" s="18">
        <f>'Raw Data'!A164</f>
        <v>342</v>
      </c>
      <c r="B164" s="20">
        <f>'Raw Data'!C164</f>
        <v>5.4054804367606923</v>
      </c>
      <c r="C164" s="20">
        <f>'Raw Data'!F164</f>
        <v>44.135009765625</v>
      </c>
      <c r="D164" s="20">
        <f>'Raw Data'!G164</f>
        <v>-36.956813812255859</v>
      </c>
      <c r="E164" s="20">
        <f>'Raw Data'!H164</f>
        <v>7.5570029262222453</v>
      </c>
      <c r="F164" s="20">
        <f>Comparison!$B$10+(C164-Comparison!$B$10)*Comparison!$B$7</f>
        <v>45.540914311037341</v>
      </c>
      <c r="G164" s="20">
        <f>Comparison!$B$11+(D164-Comparison!$B$11)*Comparison!$B$7</f>
        <v>-36.763051601158899</v>
      </c>
    </row>
    <row r="165" spans="1:7">
      <c r="A165" s="18">
        <f>'Raw Data'!A165</f>
        <v>343</v>
      </c>
      <c r="B165" s="20">
        <f>'Raw Data'!C165</f>
        <v>5.4388297947629152</v>
      </c>
      <c r="C165" s="20">
        <f>'Raw Data'!F165</f>
        <v>43.652027130126953</v>
      </c>
      <c r="D165" s="20">
        <f>'Raw Data'!G165</f>
        <v>-37.213394165039063</v>
      </c>
      <c r="E165" s="20">
        <f>'Raw Data'!H165</f>
        <v>7.5391457644770172</v>
      </c>
      <c r="F165" s="20">
        <f>Comparison!$B$10+(C165-Comparison!$B$10)*Comparison!$B$7</f>
        <v>45.029763675198609</v>
      </c>
      <c r="G165" s="20">
        <f>Comparison!$B$11+(D165-Comparison!$B$11)*Comparison!$B$7</f>
        <v>-37.034595960789176</v>
      </c>
    </row>
    <row r="166" spans="1:7">
      <c r="A166" s="18">
        <f>'Raw Data'!A166</f>
        <v>344</v>
      </c>
      <c r="B166" s="20">
        <f>'Raw Data'!C166</f>
        <v>5.4721791527651398</v>
      </c>
      <c r="C166" s="20">
        <f>'Raw Data'!F166</f>
        <v>42.692432403564453</v>
      </c>
      <c r="D166" s="20">
        <f>'Raw Data'!G166</f>
        <v>-37.237865447998047</v>
      </c>
      <c r="E166" s="20">
        <f>'Raw Data'!H166</f>
        <v>7.5350188711300268</v>
      </c>
      <c r="F166" s="20">
        <f>Comparison!$B$10+(C166-Comparison!$B$10)*Comparison!$B$7</f>
        <v>44.014204484081688</v>
      </c>
      <c r="G166" s="20">
        <f>Comparison!$B$11+(D166-Comparison!$B$11)*Comparison!$B$7</f>
        <v>-37.060494431924425</v>
      </c>
    </row>
    <row r="167" spans="1:7">
      <c r="A167" s="18">
        <f>'Raw Data'!A167</f>
        <v>345</v>
      </c>
      <c r="B167" s="20">
        <f>'Raw Data'!C167</f>
        <v>5.5055285107673644</v>
      </c>
      <c r="C167" s="20">
        <f>'Raw Data'!F167</f>
        <v>41.169681549072266</v>
      </c>
      <c r="D167" s="20">
        <f>'Raw Data'!G167</f>
        <v>-37.147472381591797</v>
      </c>
      <c r="E167" s="20">
        <f>'Raw Data'!H167</f>
        <v>7.5707105430128072</v>
      </c>
      <c r="F167" s="20">
        <f>Comparison!$B$10+(C167-Comparison!$B$10)*Comparison!$B$7</f>
        <v>42.402645371412916</v>
      </c>
      <c r="G167" s="20">
        <f>Comparison!$B$11+(D167-Comparison!$B$11)*Comparison!$B$7</f>
        <v>-36.964829557096536</v>
      </c>
    </row>
    <row r="168" spans="1:7">
      <c r="A168" s="18">
        <f>'Raw Data'!A168</f>
        <v>346</v>
      </c>
      <c r="B168" s="20">
        <f>'Raw Data'!C168</f>
        <v>5.538877868769589</v>
      </c>
      <c r="C168" s="20">
        <f>'Raw Data'!F168</f>
        <v>39.817897796630859</v>
      </c>
      <c r="D168" s="20">
        <f>'Raw Data'!G168</f>
        <v>-36.994148254394531</v>
      </c>
      <c r="E168" s="20">
        <f>'Raw Data'!H168</f>
        <v>7.5391457644770172</v>
      </c>
      <c r="F168" s="20">
        <f>Comparison!$B$10+(C168-Comparison!$B$10)*Comparison!$B$7</f>
        <v>40.972024322553935</v>
      </c>
      <c r="G168" s="20">
        <f>Comparison!$B$11+(D168-Comparison!$B$11)*Comparison!$B$7</f>
        <v>-36.802563422982864</v>
      </c>
    </row>
    <row r="169" spans="1:7">
      <c r="A169" s="18">
        <f>'Raw Data'!A169</f>
        <v>347</v>
      </c>
      <c r="B169" s="20">
        <f>'Raw Data'!C169</f>
        <v>5.5722272267718136</v>
      </c>
      <c r="C169" s="20">
        <f>'Raw Data'!F169</f>
        <v>39.317424774169922</v>
      </c>
      <c r="D169" s="20">
        <f>'Raw Data'!G169</f>
        <v>-37.158897399902344</v>
      </c>
      <c r="E169" s="20">
        <f>'Raw Data'!H169</f>
        <v>7.5597464379939563</v>
      </c>
      <c r="F169" s="20">
        <f>Comparison!$B$10+(C169-Comparison!$B$10)*Comparison!$B$7</f>
        <v>40.442363243978626</v>
      </c>
      <c r="G169" s="20">
        <f>Comparison!$B$11+(D169-Comparison!$B$11)*Comparison!$B$7</f>
        <v>-36.97692089319164</v>
      </c>
    </row>
    <row r="170" spans="1:7">
      <c r="A170" s="18">
        <f>'Raw Data'!A170</f>
        <v>348</v>
      </c>
      <c r="B170" s="20">
        <f>'Raw Data'!C170</f>
        <v>5.6055765847740364</v>
      </c>
      <c r="C170" s="20">
        <f>'Raw Data'!F170</f>
        <v>38.511451721191406</v>
      </c>
      <c r="D170" s="20">
        <f>'Raw Data'!G170</f>
        <v>-37.238185882568359</v>
      </c>
      <c r="E170" s="20">
        <f>'Raw Data'!H170</f>
        <v>7.5734490891479567</v>
      </c>
      <c r="F170" s="20">
        <f>Comparison!$B$10+(C170-Comparison!$B$10)*Comparison!$B$7</f>
        <v>39.589385086546471</v>
      </c>
      <c r="G170" s="20">
        <f>Comparison!$B$11+(D170-Comparison!$B$11)*Comparison!$B$7</f>
        <v>-37.06083355453945</v>
      </c>
    </row>
    <row r="171" spans="1:7">
      <c r="A171" s="18">
        <f>'Raw Data'!A171</f>
        <v>349</v>
      </c>
      <c r="B171" s="20">
        <f>'Raw Data'!C171</f>
        <v>5.638925942776261</v>
      </c>
      <c r="C171" s="20">
        <f>'Raw Data'!F171</f>
        <v>37.513168334960938</v>
      </c>
      <c r="D171" s="20">
        <f>'Raw Data'!G171</f>
        <v>-37.249240875244141</v>
      </c>
      <c r="E171" s="20">
        <f>'Raw Data'!H171</f>
        <v>7.5666008654044363</v>
      </c>
      <c r="F171" s="20">
        <f>Comparison!$B$10+(C171-Comparison!$B$10)*Comparison!$B$7</f>
        <v>38.53288087683972</v>
      </c>
      <c r="G171" s="20">
        <f>Comparison!$B$11+(D171-Comparison!$B$11)*Comparison!$B$7</f>
        <v>-37.072533284757682</v>
      </c>
    </row>
    <row r="172" spans="1:7">
      <c r="A172" s="18">
        <f>'Raw Data'!A172</f>
        <v>350</v>
      </c>
      <c r="B172" s="20">
        <f>'Raw Data'!C172</f>
        <v>5.6722753007784856</v>
      </c>
      <c r="C172" s="20">
        <f>'Raw Data'!F172</f>
        <v>36.704433441162109</v>
      </c>
      <c r="D172" s="20">
        <f>'Raw Data'!G172</f>
        <v>-37.331020355224609</v>
      </c>
      <c r="E172" s="20">
        <f>'Raw Data'!H172</f>
        <v>7.5734490891479567</v>
      </c>
      <c r="F172" s="20">
        <f>Comparison!$B$10+(C172-Comparison!$B$10)*Comparison!$B$7</f>
        <v>37.676979805439998</v>
      </c>
      <c r="G172" s="20">
        <f>Comparison!$B$11+(D172-Comparison!$B$11)*Comparison!$B$7</f>
        <v>-37.159082220719888</v>
      </c>
    </row>
    <row r="173" spans="1:7">
      <c r="A173" s="18">
        <f>'Raw Data'!A173</f>
        <v>351</v>
      </c>
      <c r="B173" s="20">
        <f>'Raw Data'!C173</f>
        <v>5.7056246587807102</v>
      </c>
      <c r="C173" s="20">
        <f>'Raw Data'!F173</f>
        <v>35.749992370605469</v>
      </c>
      <c r="D173" s="20">
        <f>'Raw Data'!G173</f>
        <v>-37.337783813476563</v>
      </c>
      <c r="E173" s="20">
        <f>'Raw Data'!H173</f>
        <v>7.4922412001289125</v>
      </c>
      <c r="F173" s="20">
        <f>Comparison!$B$10+(C173-Comparison!$B$10)*Comparison!$B$7</f>
        <v>36.666874836381325</v>
      </c>
      <c r="G173" s="20">
        <f>Comparison!$B$11+(D173-Comparison!$B$11)*Comparison!$B$7</f>
        <v>-37.166240130201231</v>
      </c>
    </row>
    <row r="174" spans="1:7">
      <c r="A174" s="18">
        <f>'Raw Data'!A174</f>
        <v>352</v>
      </c>
      <c r="B174" s="20">
        <f>'Raw Data'!C174</f>
        <v>5.7389740167829348</v>
      </c>
      <c r="C174" s="20">
        <f>'Raw Data'!F174</f>
        <v>35.066616058349609</v>
      </c>
      <c r="D174" s="20">
        <f>'Raw Data'!G174</f>
        <v>-37.460826873779297</v>
      </c>
      <c r="E174" s="20">
        <f>'Raw Data'!H174</f>
        <v>7.501921995749937</v>
      </c>
      <c r="F174" s="20">
        <f>Comparison!$B$10+(C174-Comparison!$B$10)*Comparison!$B$7</f>
        <v>35.943643376586699</v>
      </c>
      <c r="G174" s="20">
        <f>Comparison!$B$11+(D174-Comparison!$B$11)*Comparison!$B$7</f>
        <v>-37.296459177195395</v>
      </c>
    </row>
    <row r="175" spans="1:7">
      <c r="A175" s="18">
        <f>'Raw Data'!A175</f>
        <v>353</v>
      </c>
      <c r="B175" s="20">
        <f>'Raw Data'!C175</f>
        <v>5.7723233747851577</v>
      </c>
      <c r="C175" s="20">
        <f>'Raw Data'!F175</f>
        <v>33.650249481201172</v>
      </c>
      <c r="D175" s="20">
        <f>'Raw Data'!G175</f>
        <v>-37.314990997314453</v>
      </c>
      <c r="E175" s="20">
        <f>'Raw Data'!H175</f>
        <v>7.5074482742126314</v>
      </c>
      <c r="F175" s="20">
        <f>Comparison!$B$10+(C175-Comparison!$B$10)*Comparison!$B$7</f>
        <v>34.444672972104982</v>
      </c>
      <c r="G175" s="20">
        <f>Comparison!$B$11+(D175-Comparison!$B$11)*Comparison!$B$7</f>
        <v>-37.142118015620852</v>
      </c>
    </row>
    <row r="176" spans="1:7">
      <c r="A176" s="18">
        <f>'Raw Data'!A176</f>
        <v>354</v>
      </c>
      <c r="B176" s="20">
        <f>'Raw Data'!C176</f>
        <v>5.8056727327873823</v>
      </c>
      <c r="C176" s="20">
        <f>'Raw Data'!F176</f>
        <v>33.063880920410156</v>
      </c>
      <c r="D176" s="20">
        <f>'Raw Data'!G176</f>
        <v>-37.476688385009766</v>
      </c>
      <c r="E176" s="20">
        <f>'Raw Data'!H176</f>
        <v>7.5157300729516914</v>
      </c>
      <c r="F176" s="20">
        <f>Comparison!$B$10+(C176-Comparison!$B$10)*Comparison!$B$7</f>
        <v>33.824106846834042</v>
      </c>
      <c r="G176" s="20">
        <f>Comparison!$B$11+(D176-Comparison!$B$11)*Comparison!$B$7</f>
        <v>-37.313245746638948</v>
      </c>
    </row>
    <row r="177" spans="1:7">
      <c r="A177" s="18">
        <f>'Raw Data'!A177</f>
        <v>355</v>
      </c>
      <c r="B177" s="20">
        <f>'Raw Data'!C177</f>
        <v>5.8390220907896069</v>
      </c>
      <c r="C177" s="20">
        <f>'Raw Data'!F177</f>
        <v>32.058967590332031</v>
      </c>
      <c r="D177" s="20">
        <f>'Raw Data'!G177</f>
        <v>-37.529991149902344</v>
      </c>
      <c r="E177" s="20">
        <f>'Raw Data'!H177</f>
        <v>7.4908572080232423</v>
      </c>
      <c r="F177" s="20">
        <f>Comparison!$B$10+(C177-Comparison!$B$10)*Comparison!$B$7</f>
        <v>32.760586028735545</v>
      </c>
      <c r="G177" s="20">
        <f>Comparison!$B$11+(D177-Comparison!$B$11)*Comparison!$B$7</f>
        <v>-37.369657178778134</v>
      </c>
    </row>
    <row r="178" spans="1:7">
      <c r="A178" s="18">
        <f>'Raw Data'!A178</f>
        <v>356</v>
      </c>
      <c r="B178" s="20">
        <f>'Raw Data'!C178</f>
        <v>5.8723714487918315</v>
      </c>
      <c r="C178" s="20">
        <f>'Raw Data'!F178</f>
        <v>30.757080078125</v>
      </c>
      <c r="D178" s="20">
        <f>'Raw Data'!G178</f>
        <v>-37.581172943115234</v>
      </c>
      <c r="E178" s="20">
        <f>'Raw Data'!H178</f>
        <v>7.5843933854487648</v>
      </c>
      <c r="F178" s="20">
        <f>Comparison!$B$10+(C178-Comparison!$B$10)*Comparison!$B$7</f>
        <v>31.382771215644151</v>
      </c>
      <c r="G178" s="20">
        <f>Comparison!$B$11+(D178-Comparison!$B$11)*Comparison!$B$7</f>
        <v>-37.423823942179801</v>
      </c>
    </row>
    <row r="179" spans="1:7">
      <c r="A179" s="18">
        <f>'Raw Data'!A179</f>
        <v>357</v>
      </c>
      <c r="B179" s="20">
        <f>'Raw Data'!C179</f>
        <v>5.9057208067940561</v>
      </c>
      <c r="C179" s="20">
        <f>'Raw Data'!F179</f>
        <v>30.343950271606445</v>
      </c>
      <c r="D179" s="20">
        <f>'Raw Data'!G179</f>
        <v>-37.605609893798828</v>
      </c>
      <c r="E179" s="20">
        <f>'Raw Data'!H179</f>
        <v>7.5460189045355959</v>
      </c>
      <c r="F179" s="20">
        <f>Comparison!$B$10+(C179-Comparison!$B$10)*Comparison!$B$7</f>
        <v>30.945547291293053</v>
      </c>
      <c r="G179" s="20">
        <f>Comparison!$B$11+(D179-Comparison!$B$11)*Comparison!$B$7</f>
        <v>-37.449686078749153</v>
      </c>
    </row>
    <row r="180" spans="1:7">
      <c r="A180" s="18">
        <f>'Raw Data'!A180</f>
        <v>358</v>
      </c>
      <c r="B180" s="20">
        <f>'Raw Data'!C180</f>
        <v>5.9390701647962789</v>
      </c>
      <c r="C180" s="20">
        <f>'Raw Data'!F180</f>
        <v>29.568639755249023</v>
      </c>
      <c r="D180" s="20">
        <f>'Raw Data'!G180</f>
        <v>-37.691818237304688</v>
      </c>
      <c r="E180" s="20">
        <f>'Raw Data'!H180</f>
        <v>7.5432704000173461</v>
      </c>
      <c r="F180" s="20">
        <f>Comparison!$B$10+(C180-Comparison!$B$10)*Comparison!$B$7</f>
        <v>30.125019938379236</v>
      </c>
      <c r="G180" s="20">
        <f>Comparison!$B$11+(D180-Comparison!$B$11)*Comparison!$B$7</f>
        <v>-37.540922173711834</v>
      </c>
    </row>
    <row r="181" spans="1:7">
      <c r="A181" s="18">
        <f>'Raw Data'!A181</f>
        <v>359</v>
      </c>
      <c r="B181" s="20">
        <f>'Raw Data'!C181</f>
        <v>5.9724195227985035</v>
      </c>
      <c r="C181" s="20">
        <f>'Raw Data'!F181</f>
        <v>28.930313110351563</v>
      </c>
      <c r="D181" s="20">
        <f>'Raw Data'!G181</f>
        <v>-37.826839447021484</v>
      </c>
      <c r="E181" s="20">
        <f>'Raw Data'!H181</f>
        <v>7.5253806520918287</v>
      </c>
      <c r="F181" s="20">
        <f>Comparison!$B$10+(C181-Comparison!$B$10)*Comparison!$B$7</f>
        <v>29.449465484800001</v>
      </c>
      <c r="G181" s="20">
        <f>Comparison!$B$11+(D181-Comparison!$B$11)*Comparison!$B$7</f>
        <v>-37.683817947029411</v>
      </c>
    </row>
    <row r="182" spans="1:7">
      <c r="A182" s="18">
        <f>'Raw Data'!A182</f>
        <v>360</v>
      </c>
      <c r="B182" s="20">
        <f>'Raw Data'!C182</f>
        <v>6.0057688808007281</v>
      </c>
      <c r="C182" s="20">
        <f>'Raw Data'!F182</f>
        <v>27.771247863769531</v>
      </c>
      <c r="D182" s="20">
        <f>'Raw Data'!G182</f>
        <v>-37.866344451904297</v>
      </c>
      <c r="E182" s="20">
        <f>'Raw Data'!H182</f>
        <v>7.528135688117529</v>
      </c>
      <c r="F182" s="20">
        <f>Comparison!$B$10+(C182-Comparison!$B$10)*Comparison!$B$7</f>
        <v>28.222802465832359</v>
      </c>
      <c r="G182" s="20">
        <f>Comparison!$B$11+(D182-Comparison!$B$11)*Comparison!$B$7</f>
        <v>-37.725626920852747</v>
      </c>
    </row>
    <row r="183" spans="1:7">
      <c r="A183" s="18">
        <f>'Raw Data'!A183</f>
        <v>361</v>
      </c>
      <c r="B183" s="20">
        <f>'Raw Data'!C183</f>
        <v>6.0391182388029527</v>
      </c>
      <c r="C183" s="20">
        <f>'Raw Data'!F183</f>
        <v>26.834108352661133</v>
      </c>
      <c r="D183" s="20">
        <f>'Raw Data'!G183</f>
        <v>-37.863258361816406</v>
      </c>
      <c r="E183" s="20">
        <f>'Raw Data'!H183</f>
        <v>7.4783897532661019</v>
      </c>
      <c r="F183" s="20">
        <f>Comparison!$B$10+(C183-Comparison!$B$10)*Comparison!$B$7</f>
        <v>27.231008099397847</v>
      </c>
      <c r="G183" s="20">
        <f>Comparison!$B$11+(D183-Comparison!$B$11)*Comparison!$B$7</f>
        <v>-37.722360847096169</v>
      </c>
    </row>
    <row r="184" spans="1:7">
      <c r="A184" s="18">
        <f>'Raw Data'!A184</f>
        <v>362</v>
      </c>
      <c r="B184" s="20">
        <f>'Raw Data'!C184</f>
        <v>6.0724675968051773</v>
      </c>
      <c r="C184" s="20">
        <f>'Raw Data'!F184</f>
        <v>25.434139251708984</v>
      </c>
      <c r="D184" s="20">
        <f>'Raw Data'!G184</f>
        <v>-37.736061096191406</v>
      </c>
      <c r="E184" s="20">
        <f>'Raw Data'!H184</f>
        <v>7.4756163840799568</v>
      </c>
      <c r="F184" s="20">
        <f>Comparison!$B$10+(C184-Comparison!$B$10)*Comparison!$B$7</f>
        <v>25.749391487305044</v>
      </c>
      <c r="G184" s="20">
        <f>Comparison!$B$11+(D184-Comparison!$B$11)*Comparison!$B$7</f>
        <v>-37.587745317628695</v>
      </c>
    </row>
    <row r="185" spans="1:7">
      <c r="A185" s="18">
        <f>'Raw Data'!A185</f>
        <v>363</v>
      </c>
      <c r="B185" s="20">
        <f>'Raw Data'!C185</f>
        <v>6.1058169548074002</v>
      </c>
      <c r="C185" s="20">
        <f>'Raw Data'!F185</f>
        <v>24.864921569824219</v>
      </c>
      <c r="D185" s="20">
        <f>'Raw Data'!G185</f>
        <v>-37.748832702636719</v>
      </c>
      <c r="E185" s="20">
        <f>'Raw Data'!H185</f>
        <v>7.4839334084034252</v>
      </c>
      <c r="F185" s="20">
        <f>Comparison!$B$10+(C185-Comparison!$B$10)*Comparison!$B$7</f>
        <v>25.146976496285717</v>
      </c>
      <c r="G185" s="20">
        <f>Comparison!$B$11+(D185-Comparison!$B$11)*Comparison!$B$7</f>
        <v>-37.601261776141683</v>
      </c>
    </row>
    <row r="186" spans="1:7">
      <c r="A186" s="18">
        <f>'Raw Data'!A186</f>
        <v>364</v>
      </c>
      <c r="B186" s="20">
        <f>'Raw Data'!C186</f>
        <v>6.1391663128096248</v>
      </c>
      <c r="C186" s="20">
        <f>'Raw Data'!F186</f>
        <v>23.512744903564453</v>
      </c>
      <c r="D186" s="20">
        <f>'Raw Data'!G186</f>
        <v>-37.733158111572266</v>
      </c>
      <c r="E186" s="20">
        <f>'Raw Data'!H186</f>
        <v>7.5088292083315888</v>
      </c>
      <c r="F186" s="20">
        <f>Comparison!$B$10+(C186-Comparison!$B$10)*Comparison!$B$7</f>
        <v>23.715939618505931</v>
      </c>
      <c r="G186" s="20">
        <f>Comparison!$B$11+(D186-Comparison!$B$11)*Comparison!$B$7</f>
        <v>-37.584673028223563</v>
      </c>
    </row>
    <row r="187" spans="1:7">
      <c r="A187" s="18">
        <f>'Raw Data'!A187</f>
        <v>365</v>
      </c>
      <c r="B187" s="20">
        <f>'Raw Data'!C187</f>
        <v>6.1725156708118494</v>
      </c>
      <c r="C187" s="20">
        <f>'Raw Data'!F187</f>
        <v>22.4205322265625</v>
      </c>
      <c r="D187" s="20">
        <f>'Raw Data'!G187</f>
        <v>-37.781341552734375</v>
      </c>
      <c r="E187" s="20">
        <f>'Raw Data'!H187</f>
        <v>7.5363947533420124</v>
      </c>
      <c r="F187" s="20">
        <f>Comparison!$B$10+(C187-Comparison!$B$10)*Comparison!$B$7</f>
        <v>22.560028073684087</v>
      </c>
      <c r="G187" s="20">
        <f>Comparison!$B$11+(D187-Comparison!$B$11)*Comparison!$B$7</f>
        <v>-37.635666572870385</v>
      </c>
    </row>
    <row r="188" spans="1:7">
      <c r="A188" s="18">
        <f>'Raw Data'!A188</f>
        <v>366</v>
      </c>
      <c r="B188" s="20">
        <f>'Raw Data'!C188</f>
        <v>6.205865028814074</v>
      </c>
      <c r="C188" s="20">
        <f>'Raw Data'!F188</f>
        <v>22.278652191162109</v>
      </c>
      <c r="D188" s="20">
        <f>'Raw Data'!G188</f>
        <v>-37.867324829101563</v>
      </c>
      <c r="E188" s="20">
        <f>'Raw Data'!H188</f>
        <v>7.5363947533420124</v>
      </c>
      <c r="F188" s="20">
        <f>Comparison!$B$10+(C188-Comparison!$B$10)*Comparison!$B$7</f>
        <v>22.409873461535462</v>
      </c>
      <c r="G188" s="20">
        <f>Comparison!$B$11+(D188-Comparison!$B$11)*Comparison!$B$7</f>
        <v>-37.726664474567748</v>
      </c>
    </row>
    <row r="189" spans="1:7">
      <c r="A189" s="18">
        <f>'Raw Data'!A189</f>
        <v>367</v>
      </c>
      <c r="B189" s="20">
        <f>'Raw Data'!C189</f>
        <v>6.2392143868162986</v>
      </c>
      <c r="C189" s="20">
        <f>'Raw Data'!F189</f>
        <v>21.013391494750977</v>
      </c>
      <c r="D189" s="20">
        <f>'Raw Data'!G189</f>
        <v>-37.8460693359375</v>
      </c>
      <c r="E189" s="20">
        <f>'Raw Data'!H189</f>
        <v>7.4797760522405206</v>
      </c>
      <c r="F189" s="20">
        <f>Comparison!$B$10+(C189-Comparison!$B$10)*Comparison!$B$7</f>
        <v>21.070821574493191</v>
      </c>
      <c r="G189" s="20">
        <f>Comparison!$B$11+(D189-Comparison!$B$11)*Comparison!$B$7</f>
        <v>-37.704169341104674</v>
      </c>
    </row>
    <row r="190" spans="1:7">
      <c r="A190" s="18">
        <f>'Raw Data'!A190</f>
        <v>368</v>
      </c>
      <c r="B190" s="20">
        <f>'Raw Data'!C190</f>
        <v>6.2725637448185214</v>
      </c>
      <c r="C190" s="20">
        <f>'Raw Data'!F190</f>
        <v>20.045480728149414</v>
      </c>
      <c r="D190" s="20">
        <f>'Raw Data'!G190</f>
        <v>-37.840045928955078</v>
      </c>
      <c r="E190" s="20">
        <f>'Raw Data'!H190</f>
        <v>7.489472960167384</v>
      </c>
      <c r="F190" s="20">
        <f>Comparison!$B$10+(C190-Comparison!$B$10)*Comparison!$B$7</f>
        <v>20.046461344081671</v>
      </c>
      <c r="G190" s="20">
        <f>Comparison!$B$11+(D190-Comparison!$B$11)*Comparison!$B$7</f>
        <v>-37.697794643377073</v>
      </c>
    </row>
    <row r="191" spans="1:7">
      <c r="A191" s="18">
        <f>'Raw Data'!A191</f>
        <v>369</v>
      </c>
      <c r="B191" s="20">
        <f>'Raw Data'!C191</f>
        <v>6.305913102820746</v>
      </c>
      <c r="C191" s="20">
        <f>'Raw Data'!F191</f>
        <v>18.566549301147461</v>
      </c>
      <c r="D191" s="20">
        <f>'Raw Data'!G191</f>
        <v>-37.827262878417969</v>
      </c>
      <c r="E191" s="20">
        <f>'Raw Data'!H191</f>
        <v>7.5253806520918287</v>
      </c>
      <c r="F191" s="20">
        <f>Comparison!$B$10+(C191-Comparison!$B$10)*Comparison!$B$7</f>
        <v>18.481277249017058</v>
      </c>
      <c r="G191" s="20">
        <f>Comparison!$B$11+(D191-Comparison!$B$11)*Comparison!$B$7</f>
        <v>-37.684266073342116</v>
      </c>
    </row>
    <row r="192" spans="1:7">
      <c r="A192" s="18">
        <f>'Raw Data'!A192</f>
        <v>370</v>
      </c>
      <c r="B192" s="20">
        <f>'Raw Data'!C192</f>
        <v>6.3392624608229706</v>
      </c>
      <c r="C192" s="20">
        <f>'Raw Data'!F192</f>
        <v>18.189785003662109</v>
      </c>
      <c r="D192" s="20">
        <f>'Raw Data'!G192</f>
        <v>-37.877841949462891</v>
      </c>
      <c r="E192" s="20">
        <f>'Raw Data'!H192</f>
        <v>7.4672900963088642</v>
      </c>
      <c r="F192" s="20">
        <f>Comparison!$B$10+(C192-Comparison!$B$10)*Comparison!$B$7</f>
        <v>18.082539704296881</v>
      </c>
      <c r="G192" s="20">
        <f>Comparison!$B$11+(D192-Comparison!$B$11)*Comparison!$B$7</f>
        <v>-37.737794963253627</v>
      </c>
    </row>
    <row r="193" spans="1:7">
      <c r="A193" s="18">
        <f>'Raw Data'!A193</f>
        <v>371</v>
      </c>
      <c r="B193" s="20">
        <f>'Raw Data'!C193</f>
        <v>6.3726118188251952</v>
      </c>
      <c r="C193" s="20">
        <f>'Raw Data'!F193</f>
        <v>18.106277465820313</v>
      </c>
      <c r="D193" s="20">
        <f>'Raw Data'!G193</f>
        <v>-37.87371826171875</v>
      </c>
      <c r="E193" s="20">
        <f>'Raw Data'!H193</f>
        <v>7.4797760522405206</v>
      </c>
      <c r="F193" s="20">
        <f>Comparison!$B$10+(C193-Comparison!$B$10)*Comparison!$B$7</f>
        <v>17.994161928517954</v>
      </c>
      <c r="G193" s="20">
        <f>Comparison!$B$11+(D193-Comparison!$B$11)*Comparison!$B$7</f>
        <v>-37.73343077817222</v>
      </c>
    </row>
    <row r="194" spans="1:7">
      <c r="A194" s="18">
        <f>'Raw Data'!A194</f>
        <v>372</v>
      </c>
      <c r="B194" s="20">
        <f>'Raw Data'!C194</f>
        <v>6.4059611768274198</v>
      </c>
      <c r="C194" s="20">
        <f>'Raw Data'!F194</f>
        <v>16.723440170288086</v>
      </c>
      <c r="D194" s="20">
        <f>'Raw Data'!G194</f>
        <v>-37.936717987060547</v>
      </c>
      <c r="E194" s="20">
        <f>'Raw Data'!H194</f>
        <v>7.6348066872781866</v>
      </c>
      <c r="F194" s="20">
        <f>Comparison!$B$10+(C194-Comparison!$B$10)*Comparison!$B$7</f>
        <v>16.530676264806825</v>
      </c>
      <c r="G194" s="20">
        <f>Comparison!$B$11+(D194-Comparison!$B$11)*Comparison!$B$7</f>
        <v>-37.800104706589785</v>
      </c>
    </row>
    <row r="195" spans="1:7">
      <c r="A195" s="18">
        <f>'Raw Data'!A195</f>
        <v>373</v>
      </c>
      <c r="B195" s="20">
        <f>'Raw Data'!C195</f>
        <v>6.4393105348296427</v>
      </c>
      <c r="C195" s="20">
        <f>'Raw Data'!F195</f>
        <v>15.28121280670166</v>
      </c>
      <c r="D195" s="20">
        <f>'Raw Data'!G195</f>
        <v>-37.978782653808594</v>
      </c>
      <c r="E195" s="20">
        <f>'Raw Data'!H195</f>
        <v>7.5652304767550733</v>
      </c>
      <c r="F195" s="20">
        <f>Comparison!$B$10+(C195-Comparison!$B$10)*Comparison!$B$7</f>
        <v>15.004336848564598</v>
      </c>
      <c r="G195" s="20">
        <f>Comparison!$B$11+(D195-Comparison!$B$11)*Comparison!$B$7</f>
        <v>-37.8446226241593</v>
      </c>
    </row>
    <row r="196" spans="1:7">
      <c r="A196" s="18">
        <f>'Raw Data'!A196</f>
        <v>374</v>
      </c>
      <c r="B196" s="20">
        <f>'Raw Data'!C196</f>
        <v>6.4726598928318673</v>
      </c>
      <c r="C196" s="20">
        <f>'Raw Data'!F196</f>
        <v>14.800529479980469</v>
      </c>
      <c r="D196" s="20">
        <f>'Raw Data'!G196</f>
        <v>-38.009895324707031</v>
      </c>
      <c r="E196" s="20">
        <f>'Raw Data'!H196</f>
        <v>7.5267582961586736</v>
      </c>
      <c r="F196" s="20">
        <f>Comparison!$B$10+(C196-Comparison!$B$10)*Comparison!$B$7</f>
        <v>14.495619619347345</v>
      </c>
      <c r="G196" s="20">
        <f>Comparison!$B$11+(D196-Comparison!$B$11)*Comparison!$B$7</f>
        <v>-37.877549815208269</v>
      </c>
    </row>
    <row r="197" spans="1:7">
      <c r="A197" s="18">
        <f>'Raw Data'!A197</f>
        <v>375</v>
      </c>
      <c r="B197" s="20">
        <f>'Raw Data'!C197</f>
        <v>6.5060092508340919</v>
      </c>
      <c r="C197" s="20">
        <f>'Raw Data'!F197</f>
        <v>14.657273292541504</v>
      </c>
      <c r="D197" s="20">
        <f>'Raw Data'!G197</f>
        <v>-37.988491058349609</v>
      </c>
      <c r="E197" s="20">
        <f>'Raw Data'!H197</f>
        <v>7.5226246070801173</v>
      </c>
      <c r="F197" s="20">
        <f>Comparison!$B$10+(C197-Comparison!$B$10)*Comparison!$B$7</f>
        <v>14.34400859668242</v>
      </c>
      <c r="G197" s="20">
        <f>Comparison!$B$11+(D197-Comparison!$B$11)*Comparison!$B$7</f>
        <v>-37.854897231959647</v>
      </c>
    </row>
    <row r="198" spans="1:7">
      <c r="A198" s="18">
        <f>'Raw Data'!A198</f>
        <v>376</v>
      </c>
      <c r="B198" s="20">
        <f>'Raw Data'!C198</f>
        <v>6.5393586088363165</v>
      </c>
      <c r="C198" s="20">
        <f>'Raw Data'!F198</f>
        <v>13.360041618347168</v>
      </c>
      <c r="D198" s="20">
        <f>'Raw Data'!G198</f>
        <v>-38.084003448486328</v>
      </c>
      <c r="E198" s="20">
        <f>'Raw Data'!H198</f>
        <v>7.5707105430128072</v>
      </c>
      <c r="F198" s="20">
        <f>Comparison!$B$10+(C198-Comparison!$B$10)*Comparison!$B$7</f>
        <v>12.971121154443805</v>
      </c>
      <c r="G198" s="20">
        <f>Comparison!$B$11+(D198-Comparison!$B$11)*Comparison!$B$7</f>
        <v>-37.955979994279907</v>
      </c>
    </row>
    <row r="199" spans="1:7">
      <c r="A199" s="18">
        <f>'Raw Data'!A199</f>
        <v>377</v>
      </c>
      <c r="B199" s="20">
        <f>'Raw Data'!C199</f>
        <v>6.5727079668385411</v>
      </c>
      <c r="C199" s="20">
        <f>'Raw Data'!F199</f>
        <v>12.367304801940918</v>
      </c>
      <c r="D199" s="20">
        <f>'Raw Data'!G199</f>
        <v>-38.192546844482422</v>
      </c>
      <c r="E199" s="20">
        <f>'Raw Data'!H199</f>
        <v>7.5515129124745641</v>
      </c>
      <c r="F199" s="20">
        <f>Comparison!$B$10+(C199-Comparison!$B$10)*Comparison!$B$7</f>
        <v>11.920486995716114</v>
      </c>
      <c r="G199" s="20">
        <f>Comparison!$B$11+(D199-Comparison!$B$11)*Comparison!$B$7</f>
        <v>-38.070853742944358</v>
      </c>
    </row>
    <row r="200" spans="1:7">
      <c r="A200" s="18">
        <f>'Raw Data'!A200</f>
        <v>378</v>
      </c>
      <c r="B200" s="20">
        <f>'Raw Data'!C200</f>
        <v>6.6060573248407639</v>
      </c>
      <c r="C200" s="20">
        <f>'Raw Data'!F200</f>
        <v>11.870497703552246</v>
      </c>
      <c r="D200" s="20">
        <f>'Raw Data'!G200</f>
        <v>-38.233062744140625</v>
      </c>
      <c r="E200" s="20">
        <f>'Raw Data'!H200</f>
        <v>7.4963916433611733</v>
      </c>
      <c r="F200" s="20">
        <f>Comparison!$B$10+(C200-Comparison!$B$10)*Comparison!$B$7</f>
        <v>11.394705641343609</v>
      </c>
      <c r="G200" s="20">
        <f>Comparison!$B$11+(D200-Comparison!$B$11)*Comparison!$B$7</f>
        <v>-38.113732567874607</v>
      </c>
    </row>
    <row r="201" spans="1:7">
      <c r="A201" s="18">
        <f>'Raw Data'!A201</f>
        <v>379</v>
      </c>
      <c r="B201" s="20">
        <f>'Raw Data'!C201</f>
        <v>6.6394066828429885</v>
      </c>
      <c r="C201" s="20">
        <f>'Raw Data'!F201</f>
        <v>10.801214218139648</v>
      </c>
      <c r="D201" s="20">
        <f>'Raw Data'!G201</f>
        <v>-38.256507873535156</v>
      </c>
      <c r="E201" s="20">
        <f>'Raw Data'!H201</f>
        <v>7.5611178205790228</v>
      </c>
      <c r="F201" s="20">
        <f>Comparison!$B$10+(C201-Comparison!$B$10)*Comparison!$B$7</f>
        <v>10.26306054007223</v>
      </c>
      <c r="G201" s="20">
        <f>Comparison!$B$11+(D201-Comparison!$B$11)*Comparison!$B$7</f>
        <v>-38.138545039206988</v>
      </c>
    </row>
    <row r="202" spans="1:7">
      <c r="A202" s="18">
        <f>'Raw Data'!A202</f>
        <v>380</v>
      </c>
      <c r="B202" s="20">
        <f>'Raw Data'!C202</f>
        <v>6.6727560408452131</v>
      </c>
      <c r="C202" s="20">
        <f>'Raw Data'!F202</f>
        <v>9.8969345092773438</v>
      </c>
      <c r="D202" s="20">
        <f>'Raw Data'!G202</f>
        <v>-38.141838073730469</v>
      </c>
      <c r="E202" s="20">
        <f>'Raw Data'!H202</f>
        <v>7.4575643445447293</v>
      </c>
      <c r="F202" s="20">
        <f>Comparison!$B$10+(C202-Comparison!$B$10)*Comparison!$B$7</f>
        <v>9.3060423903733458</v>
      </c>
      <c r="G202" s="20">
        <f>Comparison!$B$11+(D202-Comparison!$B$11)*Comparison!$B$7</f>
        <v>-38.017187589117249</v>
      </c>
    </row>
    <row r="203" spans="1:7">
      <c r="A203" s="18">
        <f>'Raw Data'!A203</f>
        <v>381</v>
      </c>
      <c r="B203" s="20">
        <f>'Raw Data'!C203</f>
        <v>6.7061053988474377</v>
      </c>
      <c r="C203" s="20">
        <f>'Raw Data'!F203</f>
        <v>9.0329265594482422</v>
      </c>
      <c r="D203" s="20">
        <f>'Raw Data'!G203</f>
        <v>-38.134944915771484</v>
      </c>
      <c r="E203" s="20">
        <f>'Raw Data'!H203</f>
        <v>7.5501397852857473</v>
      </c>
      <c r="F203" s="20">
        <f>Comparison!$B$10+(C203-Comparison!$B$10)*Comparison!$B$7</f>
        <v>8.3916446864694532</v>
      </c>
      <c r="G203" s="20">
        <f>Comparison!$B$11+(D203-Comparison!$B$11)*Comparison!$B$7</f>
        <v>-38.009892415720302</v>
      </c>
    </row>
    <row r="204" spans="1:7">
      <c r="A204" s="18">
        <f>'Raw Data'!A204</f>
        <v>382</v>
      </c>
      <c r="B204" s="20">
        <f>'Raw Data'!C204</f>
        <v>6.7394547568496623</v>
      </c>
      <c r="C204" s="20">
        <f>'Raw Data'!F204</f>
        <v>7.6399435997009277</v>
      </c>
      <c r="D204" s="20">
        <f>'Raw Data'!G204</f>
        <v>-38.301689147949219</v>
      </c>
      <c r="E204" s="20">
        <f>'Raw Data'!H204</f>
        <v>7.5350188711300268</v>
      </c>
      <c r="F204" s="20">
        <f>Comparison!$B$10+(C204-Comparison!$B$10)*Comparison!$B$7</f>
        <v>6.9174216538895621</v>
      </c>
      <c r="G204" s="20">
        <f>Comparison!$B$11+(D204-Comparison!$B$11)*Comparison!$B$7</f>
        <v>-38.186361327924985</v>
      </c>
    </row>
    <row r="205" spans="1:7">
      <c r="A205" s="18">
        <f>'Raw Data'!A205</f>
        <v>383</v>
      </c>
      <c r="B205" s="20">
        <f>'Raw Data'!C205</f>
        <v>6.7728041148518852</v>
      </c>
      <c r="C205" s="20">
        <f>'Raw Data'!F205</f>
        <v>6.9884443283081055</v>
      </c>
      <c r="D205" s="20">
        <f>'Raw Data'!G205</f>
        <v>-38.331329345703125</v>
      </c>
      <c r="E205" s="20">
        <f>'Raw Data'!H205</f>
        <v>7.5528857900265809</v>
      </c>
      <c r="F205" s="20">
        <f>Comparison!$B$10+(C205-Comparison!$B$10)*Comparison!$B$7</f>
        <v>6.2279263338818129</v>
      </c>
      <c r="G205" s="20">
        <f>Comparison!$B$11+(D205-Comparison!$B$11)*Comparison!$B$7</f>
        <v>-38.217730169814452</v>
      </c>
    </row>
    <row r="206" spans="1:7">
      <c r="A206" s="18">
        <f>'Raw Data'!A206</f>
        <v>384</v>
      </c>
      <c r="B206" s="20">
        <f>'Raw Data'!C206</f>
        <v>6.8061534728541098</v>
      </c>
      <c r="C206" s="20">
        <f>'Raw Data'!F206</f>
        <v>5.538358211517334</v>
      </c>
      <c r="D206" s="20">
        <f>'Raw Data'!G206</f>
        <v>-38.232353210449219</v>
      </c>
      <c r="E206" s="20">
        <f>'Raw Data'!H206</f>
        <v>7.528135688117529</v>
      </c>
      <c r="F206" s="20">
        <f>Comparison!$B$10+(C206-Comparison!$B$10)*Comparison!$B$7</f>
        <v>4.6932698345768422</v>
      </c>
      <c r="G206" s="20">
        <f>Comparison!$B$11+(D206-Comparison!$B$11)*Comparison!$B$7</f>
        <v>-38.112981653512769</v>
      </c>
    </row>
    <row r="207" spans="1:7">
      <c r="A207" s="18">
        <f>'Raw Data'!A207</f>
        <v>385</v>
      </c>
      <c r="B207" s="20">
        <f>'Raw Data'!C207</f>
        <v>6.8395028308563344</v>
      </c>
      <c r="C207" s="20">
        <f>'Raw Data'!F207</f>
        <v>5.0653843879699707</v>
      </c>
      <c r="D207" s="20">
        <f>'Raw Data'!G207</f>
        <v>-38.09503173828125</v>
      </c>
      <c r="E207" s="20">
        <f>'Raw Data'!H207</f>
        <v>7.4686784555467254</v>
      </c>
      <c r="F207" s="20">
        <f>Comparison!$B$10+(C207-Comparison!$B$10)*Comparison!$B$7</f>
        <v>4.1927117339900395</v>
      </c>
      <c r="G207" s="20">
        <f>Comparison!$B$11+(D207-Comparison!$B$11)*Comparison!$B$7</f>
        <v>-37.967651464280223</v>
      </c>
    </row>
    <row r="208" spans="1:7">
      <c r="A208" s="18">
        <f>'Raw Data'!A208</f>
        <v>386</v>
      </c>
      <c r="B208" s="20">
        <f>'Raw Data'!C208</f>
        <v>6.872852188858559</v>
      </c>
      <c r="C208" s="20">
        <f>'Raw Data'!F208</f>
        <v>4.4457335472106934</v>
      </c>
      <c r="D208" s="20">
        <f>'Raw Data'!G208</f>
        <v>-37.946918487548828</v>
      </c>
      <c r="E208" s="20">
        <f>'Raw Data'!H208</f>
        <v>7.495008417656372</v>
      </c>
      <c r="F208" s="20">
        <f>Comparison!$B$10+(C208-Comparison!$B$10)*Comparison!$B$7</f>
        <v>3.5369222749642582</v>
      </c>
      <c r="G208" s="20">
        <f>Comparison!$B$11+(D208-Comparison!$B$11)*Comparison!$B$7</f>
        <v>-37.810900109834634</v>
      </c>
    </row>
    <row r="209" spans="1:7">
      <c r="A209" s="18">
        <f>'Raw Data'!A209</f>
        <v>387</v>
      </c>
      <c r="B209" s="20">
        <f>'Raw Data'!C209</f>
        <v>6.9062015468607836</v>
      </c>
      <c r="C209" s="20">
        <f>'Raw Data'!F209</f>
        <v>3.2711436748504639</v>
      </c>
      <c r="D209" s="20">
        <f>'Raw Data'!G209</f>
        <v>-37.886009216308594</v>
      </c>
      <c r="E209" s="20">
        <f>'Raw Data'!H209</f>
        <v>7.6835399907243964</v>
      </c>
      <c r="F209" s="20">
        <f>Comparison!$B$10+(C209-Comparison!$B$10)*Comparison!$B$7</f>
        <v>2.2938292194809122</v>
      </c>
      <c r="G209" s="20">
        <f>Comparison!$B$11+(D209-Comparison!$B$11)*Comparison!$B$7</f>
        <v>-37.746438552762676</v>
      </c>
    </row>
    <row r="210" spans="1:7">
      <c r="A210" s="18">
        <f>'Raw Data'!A210</f>
        <v>388</v>
      </c>
      <c r="B210" s="20">
        <f>'Raw Data'!C210</f>
        <v>6.9395509048630064</v>
      </c>
      <c r="C210" s="20">
        <f>'Raw Data'!F210</f>
        <v>1.426903247833252</v>
      </c>
      <c r="D210" s="20">
        <f>'Raw Data'!G210</f>
        <v>-38.073646545410156</v>
      </c>
      <c r="E210" s="20">
        <f>'Raw Data'!H210</f>
        <v>7.4963916433611733</v>
      </c>
      <c r="F210" s="20">
        <f>Comparison!$B$10+(C210-Comparison!$B$10)*Comparison!$B$7</f>
        <v>0.34203096085975915</v>
      </c>
      <c r="G210" s="20">
        <f>Comparison!$B$11+(D210-Comparison!$B$11)*Comparison!$B$7</f>
        <v>-37.945019066901537</v>
      </c>
    </row>
    <row r="211" spans="1:7">
      <c r="A211" s="18">
        <f>'Raw Data'!A211</f>
        <v>389</v>
      </c>
      <c r="B211" s="20">
        <f>'Raw Data'!C211</f>
        <v>6.972900262865231</v>
      </c>
      <c r="C211" s="20">
        <f>'Raw Data'!F211</f>
        <v>0.7342216968536377</v>
      </c>
      <c r="D211" s="20">
        <f>'Raw Data'!G211</f>
        <v>-37.970870971679688</v>
      </c>
      <c r="E211" s="20">
        <f>'Raw Data'!H211</f>
        <v>7.4867036966376359</v>
      </c>
      <c r="F211" s="20">
        <f>Comparison!$B$10+(C211-Comparison!$B$10)*Comparison!$B$7</f>
        <v>-0.39104842790932537</v>
      </c>
      <c r="G211" s="20">
        <f>Comparison!$B$11+(D211-Comparison!$B$11)*Comparison!$B$7</f>
        <v>-37.836249525307466</v>
      </c>
    </row>
    <row r="212" spans="1:7">
      <c r="A212" s="18">
        <f>'Raw Data'!A212</f>
        <v>390</v>
      </c>
      <c r="B212" s="20">
        <f>'Raw Data'!C212</f>
        <v>7.0062496208674556</v>
      </c>
      <c r="C212" s="20">
        <f>'Raw Data'!F212</f>
        <v>0.16818778216838837</v>
      </c>
      <c r="D212" s="20">
        <f>'Raw Data'!G212</f>
        <v>-37.909168243408203</v>
      </c>
      <c r="E212" s="20">
        <f>'Raw Data'!H212</f>
        <v>7.4977746138818162</v>
      </c>
      <c r="F212" s="20">
        <f>Comparison!$B$10+(C212-Comparison!$B$10)*Comparison!$B$7</f>
        <v>-0.99009397143968059</v>
      </c>
      <c r="G212" s="20">
        <f>Comparison!$B$11+(D212-Comparison!$B$11)*Comparison!$B$7</f>
        <v>-37.770948236045939</v>
      </c>
    </row>
    <row r="213" spans="1:7">
      <c r="A213" s="18">
        <f>'Raw Data'!A213</f>
        <v>391</v>
      </c>
      <c r="B213" s="20">
        <f>'Raw Data'!C213</f>
        <v>7.0395989788696802</v>
      </c>
      <c r="C213" s="20">
        <f>'Raw Data'!F213</f>
        <v>-0.45015448331832886</v>
      </c>
      <c r="D213" s="20">
        <f>'Raw Data'!G213</f>
        <v>-37.734535217285156</v>
      </c>
      <c r="E213" s="20">
        <f>'Raw Data'!H213</f>
        <v>7.4603444245460686</v>
      </c>
      <c r="F213" s="20">
        <f>Comparison!$B$10+(C213-Comparison!$B$10)*Comparison!$B$7</f>
        <v>-1.6444985378555614</v>
      </c>
      <c r="G213" s="20">
        <f>Comparison!$B$11+(D213-Comparison!$B$11)*Comparison!$B$7</f>
        <v>-37.586130448033352</v>
      </c>
    </row>
    <row r="214" spans="1:7">
      <c r="A214" s="18">
        <f>'Raw Data'!A214</f>
        <v>392</v>
      </c>
      <c r="B214" s="20">
        <f>'Raw Data'!C214</f>
        <v>7.0729483368719048</v>
      </c>
      <c r="C214" s="20">
        <f>'Raw Data'!F214</f>
        <v>-1.2335057258605957</v>
      </c>
      <c r="D214" s="20">
        <f>'Raw Data'!G214</f>
        <v>-37.687244415283203</v>
      </c>
      <c r="E214" s="20">
        <f>'Raw Data'!H214</f>
        <v>7.4770031972602533</v>
      </c>
      <c r="F214" s="20">
        <f>Comparison!$B$10+(C214-Comparison!$B$10)*Comparison!$B$7</f>
        <v>-2.4735355596475372</v>
      </c>
      <c r="G214" s="20">
        <f>Comparison!$B$11+(D214-Comparison!$B$11)*Comparison!$B$7</f>
        <v>-37.536081602099806</v>
      </c>
    </row>
    <row r="215" spans="1:7">
      <c r="A215" s="18">
        <f>'Raw Data'!A215</f>
        <v>393</v>
      </c>
      <c r="B215" s="20">
        <f>'Raw Data'!C215</f>
        <v>7.1062976948741277</v>
      </c>
      <c r="C215" s="20">
        <f>'Raw Data'!F215</f>
        <v>-2.083789587020874</v>
      </c>
      <c r="D215" s="20">
        <f>'Raw Data'!G215</f>
        <v>-37.536678314208984</v>
      </c>
      <c r="E215" s="20">
        <f>'Raw Data'!H215</f>
        <v>7.4672900963088642</v>
      </c>
      <c r="F215" s="20">
        <f>Comparison!$B$10+(C215-Comparison!$B$10)*Comparison!$B$7</f>
        <v>-3.373408773158225</v>
      </c>
      <c r="G215" s="20">
        <f>Comparison!$B$11+(D215-Comparison!$B$11)*Comparison!$B$7</f>
        <v>-37.376734344779706</v>
      </c>
    </row>
    <row r="216" spans="1:7">
      <c r="A216" s="18">
        <f>'Raw Data'!A216</f>
        <v>394</v>
      </c>
      <c r="B216" s="20">
        <f>'Raw Data'!C216</f>
        <v>7.1396470528763523</v>
      </c>
      <c r="C216" s="20">
        <f>'Raw Data'!F216</f>
        <v>-2.7567014694213867</v>
      </c>
      <c r="D216" s="20">
        <f>'Raw Data'!G216</f>
        <v>-37.479473114013672</v>
      </c>
      <c r="E216" s="20">
        <f>'Raw Data'!H216</f>
        <v>7.5267582961586736</v>
      </c>
      <c r="F216" s="20">
        <f>Comparison!$B$10+(C216-Comparison!$B$10)*Comparison!$B$7</f>
        <v>-4.0855655077326958</v>
      </c>
      <c r="G216" s="20">
        <f>Comparison!$B$11+(D216-Comparison!$B$11)*Comparison!$B$7</f>
        <v>-37.316192883650437</v>
      </c>
    </row>
    <row r="217" spans="1:7">
      <c r="A217" s="18">
        <f>'Raw Data'!A217</f>
        <v>395</v>
      </c>
      <c r="B217" s="20">
        <f>'Raw Data'!C217</f>
        <v>7.1729964108785769</v>
      </c>
      <c r="C217" s="20">
        <f>'Raw Data'!F217</f>
        <v>-4.8843679428100586</v>
      </c>
      <c r="D217" s="20">
        <f>'Raw Data'!G217</f>
        <v>-37.733169555664063</v>
      </c>
      <c r="E217" s="20">
        <f>'Raw Data'!H217</f>
        <v>7.5994160574552083</v>
      </c>
      <c r="F217" s="20">
        <f>Comparison!$B$10+(C217-Comparison!$B$10)*Comparison!$B$7</f>
        <v>-6.33731948560375</v>
      </c>
      <c r="G217" s="20">
        <f>Comparison!$B$11+(D217-Comparison!$B$11)*Comparison!$B$7</f>
        <v>-37.584685139745524</v>
      </c>
    </row>
    <row r="218" spans="1:7">
      <c r="A218" s="18">
        <f>'Raw Data'!A218</f>
        <v>396</v>
      </c>
      <c r="B218" s="20">
        <f>'Raw Data'!C218</f>
        <v>7.2063457688808015</v>
      </c>
      <c r="C218" s="20">
        <f>'Raw Data'!F218</f>
        <v>-6.6304640769958496</v>
      </c>
      <c r="D218" s="20">
        <f>'Raw Data'!G218</f>
        <v>-37.993850708007813</v>
      </c>
      <c r="E218" s="20">
        <f>'Raw Data'!H218</f>
        <v>7.419931315403792</v>
      </c>
      <c r="F218" s="20">
        <f>Comparison!$B$10+(C218-Comparison!$B$10)*Comparison!$B$7</f>
        <v>-8.1852495841760593</v>
      </c>
      <c r="G218" s="20">
        <f>Comparison!$B$11+(D218-Comparison!$B$11)*Comparison!$B$7</f>
        <v>-37.860569461413277</v>
      </c>
    </row>
    <row r="219" spans="1:7">
      <c r="A219" s="18">
        <f>'Raw Data'!A219</f>
        <v>397</v>
      </c>
      <c r="B219" s="20">
        <f>'Raw Data'!C219</f>
        <v>7.2396951268830261</v>
      </c>
      <c r="C219" s="20">
        <f>'Raw Data'!F219</f>
        <v>-7.4825701713562012</v>
      </c>
      <c r="D219" s="20">
        <f>'Raw Data'!G219</f>
        <v>-37.960624694824219</v>
      </c>
      <c r="E219" s="20">
        <f>'Raw Data'!H219</f>
        <v>7.4922412001289125</v>
      </c>
      <c r="F219" s="20">
        <f>Comparison!$B$10+(C219-Comparison!$B$10)*Comparison!$B$7</f>
        <v>-9.0870513052363044</v>
      </c>
      <c r="G219" s="20">
        <f>Comparison!$B$11+(D219-Comparison!$B$11)*Comparison!$B$7</f>
        <v>-37.825405675974764</v>
      </c>
    </row>
    <row r="220" spans="1:7">
      <c r="A220" s="18">
        <f>'Raw Data'!A220</f>
        <v>398</v>
      </c>
      <c r="B220" s="20">
        <f>'Raw Data'!C220</f>
        <v>7.2730444848852489</v>
      </c>
      <c r="C220" s="20">
        <f>'Raw Data'!F220</f>
        <v>-8.6882419586181641</v>
      </c>
      <c r="D220" s="20">
        <f>'Raw Data'!G220</f>
        <v>-38.003997802734375</v>
      </c>
      <c r="E220" s="20">
        <f>'Raw Data'!H220</f>
        <v>7.501921995749937</v>
      </c>
      <c r="F220" s="20">
        <f>Comparison!$B$10+(C220-Comparison!$B$10)*Comparison!$B$7</f>
        <v>-10.363039002053338</v>
      </c>
      <c r="G220" s="20">
        <f>Comparison!$B$11+(D220-Comparison!$B$11)*Comparison!$B$7</f>
        <v>-37.871308344222285</v>
      </c>
    </row>
    <row r="221" spans="1:7">
      <c r="A221" s="18">
        <f>'Raw Data'!A221</f>
        <v>399</v>
      </c>
      <c r="B221" s="20">
        <f>'Raw Data'!C221</f>
        <v>7.3063938428874735</v>
      </c>
      <c r="C221" s="20">
        <f>'Raw Data'!F221</f>
        <v>-9.4252958297729492</v>
      </c>
      <c r="D221" s="20">
        <f>'Raw Data'!G221</f>
        <v>-38.01861572265625</v>
      </c>
      <c r="E221" s="20">
        <f>'Raw Data'!H221</f>
        <v>7.5405208936748602</v>
      </c>
      <c r="F221" s="20">
        <f>Comparison!$B$10+(C221-Comparison!$B$10)*Comparison!$B$7</f>
        <v>-11.143078546331513</v>
      </c>
      <c r="G221" s="20">
        <f>Comparison!$B$11+(D221-Comparison!$B$11)*Comparison!$B$7</f>
        <v>-37.886778794945634</v>
      </c>
    </row>
    <row r="222" spans="1:7">
      <c r="A222" s="18">
        <f>'Raw Data'!A222</f>
        <v>400</v>
      </c>
      <c r="B222" s="20">
        <f>'Raw Data'!C222</f>
        <v>7.3397432008896981</v>
      </c>
      <c r="C222" s="20">
        <f>'Raw Data'!F222</f>
        <v>-10.61316967010498</v>
      </c>
      <c r="D222" s="20">
        <f>'Raw Data'!G222</f>
        <v>-38.011215209960938</v>
      </c>
      <c r="E222" s="20">
        <f>'Raw Data'!H222</f>
        <v>7.5611178205790228</v>
      </c>
      <c r="F222" s="20">
        <f>Comparison!$B$10+(C222-Comparison!$B$10)*Comparison!$B$7</f>
        <v>-12.400230303259157</v>
      </c>
      <c r="G222" s="20">
        <f>Comparison!$B$11+(D222-Comparison!$B$11)*Comparison!$B$7</f>
        <v>-37.878946677408237</v>
      </c>
    </row>
    <row r="223" spans="1:7">
      <c r="A223" s="18">
        <f>'Raw Data'!A223</f>
        <v>401</v>
      </c>
      <c r="B223" s="20">
        <f>'Raw Data'!C223</f>
        <v>7.3730925588919227</v>
      </c>
      <c r="C223" s="20">
        <f>'Raw Data'!F223</f>
        <v>-11.757813453674316</v>
      </c>
      <c r="D223" s="20">
        <f>'Raw Data'!G223</f>
        <v>-38.071891784667969</v>
      </c>
      <c r="E223" s="20">
        <f>'Raw Data'!H223</f>
        <v>7.5432704000173461</v>
      </c>
      <c r="F223" s="20">
        <f>Comparison!$B$10+(C223-Comparison!$B$10)*Comparison!$B$7</f>
        <v>-13.611630785963847</v>
      </c>
      <c r="G223" s="20">
        <f>Comparison!$B$11+(D223-Comparison!$B$11)*Comparison!$B$7</f>
        <v>-37.943161966866903</v>
      </c>
    </row>
    <row r="224" spans="1:7">
      <c r="A224" s="18">
        <f>'Raw Data'!A224</f>
        <v>402</v>
      </c>
      <c r="B224" s="20">
        <f>'Raw Data'!C224</f>
        <v>7.4064419168941455</v>
      </c>
      <c r="C224" s="20">
        <f>'Raw Data'!F224</f>
        <v>-12.790497779846191</v>
      </c>
      <c r="D224" s="20">
        <f>'Raw Data'!G224</f>
        <v>-38.148422241210938</v>
      </c>
      <c r="E224" s="20">
        <f>'Raw Data'!H224</f>
        <v>7.5789232128038808</v>
      </c>
      <c r="F224" s="20">
        <f>Comparison!$B$10+(C224-Comparison!$B$10)*Comparison!$B$7</f>
        <v>-14.70454223069752</v>
      </c>
      <c r="G224" s="20">
        <f>Comparison!$B$11+(D224-Comparison!$B$11)*Comparison!$B$7</f>
        <v>-38.024155751421141</v>
      </c>
    </row>
    <row r="225" spans="1:7">
      <c r="A225" s="18">
        <f>'Raw Data'!A225</f>
        <v>403</v>
      </c>
      <c r="B225" s="20">
        <f>'Raw Data'!C225</f>
        <v>7.4397912748963702</v>
      </c>
      <c r="C225" s="20">
        <f>'Raw Data'!F225</f>
        <v>-13.56669807434082</v>
      </c>
      <c r="D225" s="20">
        <f>'Raw Data'!G225</f>
        <v>-38.234161376953125</v>
      </c>
      <c r="E225" s="20">
        <f>'Raw Data'!H225</f>
        <v>7.4380746900128436</v>
      </c>
      <c r="F225" s="20">
        <f>Comparison!$B$10+(C225-Comparison!$B$10)*Comparison!$B$7</f>
        <v>-15.526011254444121</v>
      </c>
      <c r="G225" s="20">
        <f>Comparison!$B$11+(D225-Comparison!$B$11)*Comparison!$B$7</f>
        <v>-38.114895273983251</v>
      </c>
    </row>
    <row r="226" spans="1:7">
      <c r="A226" s="18">
        <f>'Raw Data'!A226</f>
        <v>404</v>
      </c>
      <c r="B226" s="20">
        <f>'Raw Data'!C226</f>
        <v>7.4731406328985948</v>
      </c>
      <c r="C226" s="20">
        <f>'Raw Data'!F226</f>
        <v>-13.615469932556152</v>
      </c>
      <c r="D226" s="20">
        <f>'Raw Data'!G226</f>
        <v>-38.246898651123047</v>
      </c>
      <c r="E226" s="20">
        <f>'Raw Data'!H226</f>
        <v>7.5102098885323407</v>
      </c>
      <c r="F226" s="20">
        <f>Comparison!$B$10+(C226-Comparison!$B$10)*Comparison!$B$7</f>
        <v>-15.577627533178649</v>
      </c>
      <c r="G226" s="20">
        <f>Comparison!$B$11+(D226-Comparison!$B$11)*Comparison!$B$7</f>
        <v>-38.128375397930341</v>
      </c>
    </row>
    <row r="227" spans="1:7">
      <c r="A227" s="18">
        <f>'Raw Data'!A227</f>
        <v>405</v>
      </c>
      <c r="B227" s="20">
        <f>'Raw Data'!C227</f>
        <v>7.5064899909008194</v>
      </c>
      <c r="C227" s="20">
        <f>'Raw Data'!F227</f>
        <v>-13.400360107421875</v>
      </c>
      <c r="D227" s="20">
        <f>'Raw Data'!G227</f>
        <v>-38.262981414794922</v>
      </c>
      <c r="E227" s="20">
        <f>'Raw Data'!H227</f>
        <v>7.4963916433611733</v>
      </c>
      <c r="F227" s="20">
        <f>Comparison!$B$10+(C227-Comparison!$B$10)*Comparison!$B$7</f>
        <v>-15.349972301269197</v>
      </c>
      <c r="G227" s="20">
        <f>Comparison!$B$11+(D227-Comparison!$B$11)*Comparison!$B$7</f>
        <v>-38.145396123465218</v>
      </c>
    </row>
    <row r="228" spans="1:7">
      <c r="A228" s="18">
        <f>'Raw Data'!A228</f>
        <v>406</v>
      </c>
      <c r="B228" s="20">
        <f>'Raw Data'!C228</f>
        <v>7.539839348903044</v>
      </c>
      <c r="C228" s="20">
        <f>'Raw Data'!F228</f>
        <v>-16.586952209472656</v>
      </c>
      <c r="D228" s="20">
        <f>'Raw Data'!G228</f>
        <v>-39.995994567871094</v>
      </c>
      <c r="E228" s="20">
        <f>'Raw Data'!H228</f>
        <v>7.7292837602318407</v>
      </c>
      <c r="F228" s="20">
        <f>Comparison!$B$10+(C228-Comparison!$B$10)*Comparison!$B$7</f>
        <v>-18.722409443739771</v>
      </c>
      <c r="G228" s="20">
        <f>Comparison!$B$11+(D228-Comparison!$B$11)*Comparison!$B$7</f>
        <v>-39.97948022919774</v>
      </c>
    </row>
    <row r="229" spans="1:7">
      <c r="A229" s="18">
        <f>'Raw Data'!A229</f>
        <v>407</v>
      </c>
      <c r="B229" s="20">
        <f>'Raw Data'!C229</f>
        <v>7.5731887069052668</v>
      </c>
      <c r="C229" s="20">
        <f>'Raw Data'!F229</f>
        <v>-14.733124732971191</v>
      </c>
      <c r="D229" s="20">
        <f>'Raw Data'!G229</f>
        <v>-40.027435302734375</v>
      </c>
      <c r="E229" s="20">
        <f>'Raw Data'!H229</f>
        <v>7.6700340214308929</v>
      </c>
      <c r="F229" s="20">
        <f>Comparison!$B$10+(C229-Comparison!$B$10)*Comparison!$B$7</f>
        <v>-16.760465009915777</v>
      </c>
      <c r="G229" s="20">
        <f>Comparison!$B$11+(D229-Comparison!$B$11)*Comparison!$B$7</f>
        <v>-40.012754617209701</v>
      </c>
    </row>
    <row r="230" spans="1:7">
      <c r="A230" s="18">
        <f>'Raw Data'!A230</f>
        <v>408</v>
      </c>
      <c r="B230" s="20">
        <f>'Raw Data'!C230</f>
        <v>7.6065380649074914</v>
      </c>
      <c r="C230" s="20">
        <f>'Raw Data'!F230</f>
        <v>-14.948756217956543</v>
      </c>
      <c r="D230" s="20">
        <f>'Raw Data'!G230</f>
        <v>-41.007926940917969</v>
      </c>
      <c r="E230" s="20">
        <f>'Raw Data'!H230</f>
        <v>7.7400077109462018</v>
      </c>
      <c r="F230" s="20">
        <f>Comparison!$B$10+(C230-Comparison!$B$10)*Comparison!$B$7</f>
        <v>-16.988672325368135</v>
      </c>
      <c r="G230" s="20">
        <f>Comparison!$B$11+(D230-Comparison!$B$11)*Comparison!$B$7</f>
        <v>-41.050429447434794</v>
      </c>
    </row>
    <row r="231" spans="1:7">
      <c r="A231" s="18">
        <f>'Raw Data'!A231</f>
        <v>409</v>
      </c>
      <c r="B231" s="20">
        <f>'Raw Data'!C231</f>
        <v>7.639887422909716</v>
      </c>
      <c r="C231" s="20">
        <f>'Raw Data'!F231</f>
        <v>-15.095537185668945</v>
      </c>
      <c r="D231" s="20">
        <f>'Raw Data'!G231</f>
        <v>-42.002239227294922</v>
      </c>
      <c r="E231" s="20">
        <f>'Raw Data'!H231</f>
        <v>7.7547289285039307</v>
      </c>
      <c r="F231" s="20">
        <f>Comparison!$B$10+(C231-Comparison!$B$10)*Comparison!$B$7</f>
        <v>-17.144013696798289</v>
      </c>
      <c r="G231" s="20">
        <f>Comparison!$B$11+(D231-Comparison!$B$11)*Comparison!$B$7</f>
        <v>-42.102730959019674</v>
      </c>
    </row>
    <row r="232" spans="1:7">
      <c r="A232" s="18">
        <f>'Raw Data'!A232</f>
        <v>410</v>
      </c>
      <c r="B232" s="20">
        <f>'Raw Data'!C232</f>
        <v>7.6732367809119406</v>
      </c>
      <c r="C232" s="20">
        <f>'Raw Data'!F232</f>
        <v>-13.889252662658691</v>
      </c>
      <c r="D232" s="20">
        <f>'Raw Data'!G232</f>
        <v>-42.397388458251953</v>
      </c>
      <c r="E232" s="20">
        <f>'Raw Data'!H232</f>
        <v>7.5925912549492098</v>
      </c>
      <c r="F232" s="20">
        <f>Comparison!$B$10+(C232-Comparison!$B$10)*Comparison!$B$7</f>
        <v>-15.86737752890938</v>
      </c>
      <c r="G232" s="20">
        <f>Comparison!$B$11+(D232-Comparison!$B$11)*Comparison!$B$7</f>
        <v>-42.520925663776694</v>
      </c>
    </row>
    <row r="233" spans="1:7">
      <c r="A233" s="18">
        <f>'Raw Data'!A233</f>
        <v>411</v>
      </c>
      <c r="B233" s="20">
        <f>'Raw Data'!C233</f>
        <v>7.7065861389141652</v>
      </c>
      <c r="C233" s="20">
        <f>'Raw Data'!F233</f>
        <v>-13.837160110473633</v>
      </c>
      <c r="D233" s="20">
        <f>'Raw Data'!G233</f>
        <v>-42.932456970214844</v>
      </c>
      <c r="E233" s="20">
        <f>'Raw Data'!H233</f>
        <v>7.5884934272215778</v>
      </c>
      <c r="F233" s="20">
        <f>Comparison!$B$10+(C233-Comparison!$B$10)*Comparison!$B$7</f>
        <v>-15.812246890217999</v>
      </c>
      <c r="G233" s="20">
        <f>Comparison!$B$11+(D233-Comparison!$B$11)*Comparison!$B$7</f>
        <v>-43.087199873252331</v>
      </c>
    </row>
    <row r="234" spans="1:7">
      <c r="A234" s="18">
        <f>'Raw Data'!A234</f>
        <v>412</v>
      </c>
      <c r="B234" s="20">
        <f>'Raw Data'!C234</f>
        <v>7.739935496916388</v>
      </c>
      <c r="C234" s="20">
        <f>'Raw Data'!F234</f>
        <v>-12.771215438842773</v>
      </c>
      <c r="D234" s="20">
        <f>'Raw Data'!G234</f>
        <v>-42.944488525390625</v>
      </c>
      <c r="E234" s="20">
        <f>'Raw Data'!H234</f>
        <v>7.5707105430128072</v>
      </c>
      <c r="F234" s="20">
        <f>Comparison!$B$10+(C234-Comparison!$B$10)*Comparison!$B$7</f>
        <v>-14.684135325479922</v>
      </c>
      <c r="G234" s="20">
        <f>Comparison!$B$11+(D234-Comparison!$B$11)*Comparison!$B$7</f>
        <v>-43.099933120011585</v>
      </c>
    </row>
    <row r="235" spans="1:7">
      <c r="A235" s="18">
        <f>'Raw Data'!A235</f>
        <v>413</v>
      </c>
      <c r="B235" s="20">
        <f>'Raw Data'!C235</f>
        <v>7.7732848549186127</v>
      </c>
      <c r="C235" s="20">
        <f>'Raw Data'!F235</f>
        <v>-11.683273315429688</v>
      </c>
      <c r="D235" s="20">
        <f>'Raw Data'!G235</f>
        <v>-43.053520202636719</v>
      </c>
      <c r="E235" s="20">
        <f>'Raw Data'!H235</f>
        <v>7.4742293135820566</v>
      </c>
      <c r="F235" s="20">
        <f>Comparison!$B$10+(C235-Comparison!$B$10)*Comparison!$B$7</f>
        <v>-13.532743396938031</v>
      </c>
      <c r="G235" s="20">
        <f>Comparison!$B$11+(D235-Comparison!$B$11)*Comparison!$B$7</f>
        <v>-43.215323626946542</v>
      </c>
    </row>
    <row r="236" spans="1:7">
      <c r="A236" s="18">
        <f>'Raw Data'!A236</f>
        <v>414</v>
      </c>
      <c r="B236" s="20">
        <f>'Raw Data'!C236</f>
        <v>7.8066342129208373</v>
      </c>
      <c r="C236" s="20">
        <f>'Raw Data'!F236</f>
        <v>-10.843058586120605</v>
      </c>
      <c r="D236" s="20">
        <f>'Raw Data'!G236</f>
        <v>-43.089706420898438</v>
      </c>
      <c r="E236" s="20">
        <f>'Raw Data'!H236</f>
        <v>7.4686784555467254</v>
      </c>
      <c r="F236" s="20">
        <f>Comparison!$B$10+(C236-Comparison!$B$10)*Comparison!$B$7</f>
        <v>-12.643526556492965</v>
      </c>
      <c r="G236" s="20">
        <f>Comparison!$B$11+(D236-Comparison!$B$11)*Comparison!$B$7</f>
        <v>-43.253620259400016</v>
      </c>
    </row>
    <row r="237" spans="1:7">
      <c r="A237" s="18">
        <f>'Raw Data'!A237</f>
        <v>415</v>
      </c>
      <c r="B237" s="20">
        <f>'Raw Data'!C237</f>
        <v>7.8399835709230619</v>
      </c>
      <c r="C237" s="20">
        <f>'Raw Data'!F237</f>
        <v>-10.002077102661133</v>
      </c>
      <c r="D237" s="20">
        <f>'Raw Data'!G237</f>
        <v>-43.176528930664063</v>
      </c>
      <c r="E237" s="20">
        <f>'Raw Data'!H237</f>
        <v>7.5102098885323407</v>
      </c>
      <c r="F237" s="20">
        <f>Comparison!$B$10+(C237-Comparison!$B$10)*Comparison!$B$7</f>
        <v>-11.753498244076237</v>
      </c>
      <c r="G237" s="20">
        <f>Comparison!$B$11+(D237-Comparison!$B$11)*Comparison!$B$7</f>
        <v>-43.345506339374815</v>
      </c>
    </row>
    <row r="238" spans="1:7">
      <c r="A238" s="18">
        <f>'Raw Data'!A238</f>
        <v>416</v>
      </c>
      <c r="B238" s="20">
        <f>'Raw Data'!C238</f>
        <v>7.8733329289252865</v>
      </c>
      <c r="C238" s="20">
        <f>'Raw Data'!F238</f>
        <v>-9.227874755859375</v>
      </c>
      <c r="D238" s="20">
        <f>'Raw Data'!G238</f>
        <v>-43.213363647460938</v>
      </c>
      <c r="E238" s="20">
        <f>'Raw Data'!H238</f>
        <v>7.4963916433611733</v>
      </c>
      <c r="F238" s="20">
        <f>Comparison!$B$10+(C238-Comparison!$B$10)*Comparison!$B$7</f>
        <v>-10.934143690206032</v>
      </c>
      <c r="G238" s="20">
        <f>Comparison!$B$11+(D238-Comparison!$B$11)*Comparison!$B$7</f>
        <v>-43.384489291406304</v>
      </c>
    </row>
    <row r="239" spans="1:7">
      <c r="A239" s="18">
        <f>'Raw Data'!A239</f>
        <v>417</v>
      </c>
      <c r="B239" s="20">
        <f>'Raw Data'!C239</f>
        <v>7.9066822869275093</v>
      </c>
      <c r="C239" s="20">
        <f>'Raw Data'!F239</f>
        <v>-8.2112255096435547</v>
      </c>
      <c r="D239" s="20">
        <f>'Raw Data'!G239</f>
        <v>-43.325725555419922</v>
      </c>
      <c r="E239" s="20">
        <f>'Raw Data'!H239</f>
        <v>7.4977746138818162</v>
      </c>
      <c r="F239" s="20">
        <f>Comparison!$B$10+(C239-Comparison!$B$10)*Comparison!$B$7</f>
        <v>-9.8582025063323826</v>
      </c>
      <c r="G239" s="20">
        <f>Comparison!$B$11+(D239-Comparison!$B$11)*Comparison!$B$7</f>
        <v>-43.503404251233093</v>
      </c>
    </row>
    <row r="240" spans="1:7">
      <c r="A240" s="18">
        <f>'Raw Data'!A240</f>
        <v>418</v>
      </c>
      <c r="B240" s="20">
        <f>'Raw Data'!C240</f>
        <v>7.9400316449297339</v>
      </c>
      <c r="C240" s="20">
        <f>'Raw Data'!F240</f>
        <v>-7.7013659477233887</v>
      </c>
      <c r="D240" s="20">
        <f>'Raw Data'!G240</f>
        <v>-43.39593505859375</v>
      </c>
      <c r="E240" s="20">
        <f>'Raw Data'!H240</f>
        <v>7.4241221834676159</v>
      </c>
      <c r="F240" s="20">
        <f>Comparison!$B$10+(C240-Comparison!$B$10)*Comparison!$B$7</f>
        <v>-9.3186074565119945</v>
      </c>
      <c r="G240" s="20">
        <f>Comparison!$B$11+(D240-Comparison!$B$11)*Comparison!$B$7</f>
        <v>-43.577708438488642</v>
      </c>
    </row>
    <row r="241" spans="1:7">
      <c r="A241" s="18">
        <f>'Raw Data'!A241</f>
        <v>419</v>
      </c>
      <c r="B241" s="20">
        <f>'Raw Data'!C241</f>
        <v>7.9733810029319585</v>
      </c>
      <c r="C241" s="20">
        <f>'Raw Data'!F241</f>
        <v>-6.0898447036743164</v>
      </c>
      <c r="D241" s="20">
        <f>'Raw Data'!G241</f>
        <v>-43.186115264892578</v>
      </c>
      <c r="E241" s="20">
        <f>'Raw Data'!H241</f>
        <v>7.5515129124745641</v>
      </c>
      <c r="F241" s="20">
        <f>Comparison!$B$10+(C241-Comparison!$B$10)*Comparison!$B$7</f>
        <v>-7.6131007819006271</v>
      </c>
      <c r="G241" s="20">
        <f>Comparison!$B$11+(D241-Comparison!$B$11)*Comparison!$B$7</f>
        <v>-43.355651757607532</v>
      </c>
    </row>
    <row r="242" spans="1:7">
      <c r="A242" s="18">
        <f>'Raw Data'!A242</f>
        <v>420</v>
      </c>
      <c r="B242" s="20">
        <f>'Raw Data'!C242</f>
        <v>8.0067303609341831</v>
      </c>
      <c r="C242" s="20">
        <f>'Raw Data'!F242</f>
        <v>-4.8748435974121094</v>
      </c>
      <c r="D242" s="20">
        <f>'Raw Data'!G242</f>
        <v>-43.140735626220703</v>
      </c>
      <c r="E242" s="20">
        <f>'Raw Data'!H242</f>
        <v>7.5542584180779002</v>
      </c>
      <c r="F242" s="20">
        <f>Comparison!$B$10+(C242-Comparison!$B$10)*Comparison!$B$7</f>
        <v>-6.3272396714483428</v>
      </c>
      <c r="G242" s="20">
        <f>Comparison!$B$11+(D242-Comparison!$B$11)*Comparison!$B$7</f>
        <v>-43.307625535842149</v>
      </c>
    </row>
    <row r="243" spans="1:7">
      <c r="A243" s="18">
        <f>'Raw Data'!A243</f>
        <v>421</v>
      </c>
      <c r="B243" s="20">
        <f>'Raw Data'!C243</f>
        <v>8.0400797189364077</v>
      </c>
      <c r="C243" s="20">
        <f>'Raw Data'!F243</f>
        <v>-3.4532790184020996</v>
      </c>
      <c r="D243" s="20">
        <f>'Raw Data'!G243</f>
        <v>-43.234569549560547</v>
      </c>
      <c r="E243" s="20">
        <f>'Raw Data'!H243</f>
        <v>7.5143504070248861</v>
      </c>
      <c r="F243" s="20">
        <f>Comparison!$B$10+(C243-Comparison!$B$10)*Comparison!$B$7</f>
        <v>-4.8227681127607518</v>
      </c>
      <c r="G243" s="20">
        <f>Comparison!$B$11+(D243-Comparison!$B$11)*Comparison!$B$7</f>
        <v>-43.406931941607532</v>
      </c>
    </row>
    <row r="244" spans="1:7">
      <c r="A244" s="18">
        <f>'Raw Data'!A244</f>
        <v>422</v>
      </c>
      <c r="B244" s="20">
        <f>'Raw Data'!C244</f>
        <v>8.0734290769386305</v>
      </c>
      <c r="C244" s="20">
        <f>'Raw Data'!F244</f>
        <v>-2.2616896629333496</v>
      </c>
      <c r="D244" s="20">
        <f>'Raw Data'!G244</f>
        <v>-43.185050964355469</v>
      </c>
      <c r="E244" s="20">
        <f>'Raw Data'!H244</f>
        <v>7.4908572080232423</v>
      </c>
      <c r="F244" s="20">
        <f>Comparison!$B$10+(C244-Comparison!$B$10)*Comparison!$B$7</f>
        <v>-3.5616841483684567</v>
      </c>
      <c r="G244" s="20">
        <f>Comparison!$B$11+(D244-Comparison!$B$11)*Comparison!$B$7</f>
        <v>-43.354525386064786</v>
      </c>
    </row>
    <row r="245" spans="1:7">
      <c r="A245" s="18">
        <f>'Raw Data'!A245</f>
        <v>423</v>
      </c>
      <c r="B245" s="20">
        <f>'Raw Data'!C245</f>
        <v>8.1067784349408551</v>
      </c>
      <c r="C245" s="20">
        <f>'Raw Data'!F245</f>
        <v>-1.3035084009170532</v>
      </c>
      <c r="D245" s="20">
        <f>'Raw Data'!G245</f>
        <v>-43.201351165771484</v>
      </c>
      <c r="E245" s="20">
        <f>'Raw Data'!H245</f>
        <v>7.5240027557785139</v>
      </c>
      <c r="F245" s="20">
        <f>Comparison!$B$10+(C245-Comparison!$B$10)*Comparison!$B$7</f>
        <v>-2.5476208563759037</v>
      </c>
      <c r="G245" s="20">
        <f>Comparison!$B$11+(D245-Comparison!$B$11)*Comparison!$B$7</f>
        <v>-43.371776230517</v>
      </c>
    </row>
    <row r="246" spans="1:7">
      <c r="A246" s="18">
        <f>'Raw Data'!A246</f>
        <v>424</v>
      </c>
      <c r="B246" s="20">
        <f>'Raw Data'!C246</f>
        <v>8.1401277929430798</v>
      </c>
      <c r="C246" s="20">
        <f>'Raw Data'!F246</f>
        <v>1.2970464304089546E-2</v>
      </c>
      <c r="D246" s="20">
        <f>'Raw Data'!G246</f>
        <v>-43.110164642333984</v>
      </c>
      <c r="E246" s="20">
        <f>'Raw Data'!H246</f>
        <v>7.4908572080232423</v>
      </c>
      <c r="F246" s="20">
        <f>Comparison!$B$10+(C246-Comparison!$B$10)*Comparison!$B$7</f>
        <v>-1.1543637088759056</v>
      </c>
      <c r="G246" s="20">
        <f>Comparison!$B$11+(D246-Comparison!$B$11)*Comparison!$B$7</f>
        <v>-43.275271623499528</v>
      </c>
    </row>
    <row r="247" spans="1:7">
      <c r="A247" s="18">
        <f>'Raw Data'!A247</f>
        <v>425</v>
      </c>
      <c r="B247" s="20">
        <f>'Raw Data'!C247</f>
        <v>8.1734771509453044</v>
      </c>
      <c r="C247" s="20">
        <f>'Raw Data'!F247</f>
        <v>1.2923555374145508</v>
      </c>
      <c r="D247" s="20">
        <f>'Raw Data'!G247</f>
        <v>-42.98150634765625</v>
      </c>
      <c r="E247" s="20">
        <f>'Raw Data'!H247</f>
        <v>7.5446447774360612</v>
      </c>
      <c r="F247" s="20">
        <f>Comparison!$B$10+(C247-Comparison!$B$10)*Comparison!$B$7</f>
        <v>0.19963630176348346</v>
      </c>
      <c r="G247" s="20">
        <f>Comparison!$B$11+(D247-Comparison!$B$11)*Comparison!$B$7</f>
        <v>-43.139109856394512</v>
      </c>
    </row>
    <row r="248" spans="1:7">
      <c r="A248" s="18">
        <f>'Raw Data'!A248</f>
        <v>426</v>
      </c>
      <c r="B248" s="20">
        <f>'Raw Data'!C248</f>
        <v>8.206826508947529</v>
      </c>
      <c r="C248" s="20">
        <f>'Raw Data'!F248</f>
        <v>2.6106119155883789</v>
      </c>
      <c r="D248" s="20">
        <f>'Raw Data'!G248</f>
        <v>-42.963813781738281</v>
      </c>
      <c r="E248" s="20">
        <f>'Raw Data'!H248</f>
        <v>7.5033039469444454</v>
      </c>
      <c r="F248" s="20">
        <f>Comparison!$B$10+(C248-Comparison!$B$10)*Comparison!$B$7</f>
        <v>1.5947746284388771</v>
      </c>
      <c r="G248" s="20">
        <f>Comparison!$B$11+(D248-Comparison!$B$11)*Comparison!$B$7</f>
        <v>-43.120385443436554</v>
      </c>
    </row>
    <row r="249" spans="1:7">
      <c r="A249" s="18">
        <f>'Raw Data'!A249</f>
        <v>427</v>
      </c>
      <c r="B249" s="20">
        <f>'Raw Data'!C249</f>
        <v>8.2401758669497518</v>
      </c>
      <c r="C249" s="20">
        <f>'Raw Data'!F249</f>
        <v>3.6307330131530762</v>
      </c>
      <c r="D249" s="20">
        <f>'Raw Data'!G249</f>
        <v>-42.996562957763672</v>
      </c>
      <c r="E249" s="20">
        <f>'Raw Data'!H249</f>
        <v>7.53777038441185</v>
      </c>
      <c r="F249" s="20">
        <f>Comparison!$B$10+(C249-Comparison!$B$10)*Comparison!$B$7</f>
        <v>2.6743901452886725</v>
      </c>
      <c r="G249" s="20">
        <f>Comparison!$B$11+(D249-Comparison!$B$11)*Comparison!$B$7</f>
        <v>-43.155044582126521</v>
      </c>
    </row>
    <row r="250" spans="1:7">
      <c r="A250" s="18">
        <f>'Raw Data'!A250</f>
        <v>428</v>
      </c>
      <c r="B250" s="20">
        <f>'Raw Data'!C250</f>
        <v>8.2735252249519764</v>
      </c>
      <c r="C250" s="20">
        <f>'Raw Data'!F250</f>
        <v>4.4223289489746094</v>
      </c>
      <c r="D250" s="20">
        <f>'Raw Data'!G250</f>
        <v>-42.946819305419922</v>
      </c>
      <c r="E250" s="20">
        <f>'Raw Data'!H250</f>
        <v>7.5720799398844596</v>
      </c>
      <c r="F250" s="20">
        <f>Comparison!$B$10+(C250-Comparison!$B$10)*Comparison!$B$7</f>
        <v>3.5121526986054974</v>
      </c>
      <c r="G250" s="20">
        <f>Comparison!$B$11+(D250-Comparison!$B$11)*Comparison!$B$7</f>
        <v>-43.102399833318465</v>
      </c>
    </row>
    <row r="251" spans="1:7">
      <c r="A251" s="18">
        <f>'Raw Data'!A251</f>
        <v>429</v>
      </c>
      <c r="B251" s="20">
        <f>'Raw Data'!C251</f>
        <v>8.306874582954201</v>
      </c>
      <c r="C251" s="20">
        <f>'Raw Data'!F251</f>
        <v>5.6790552139282227</v>
      </c>
      <c r="D251" s="20">
        <f>'Raw Data'!G251</f>
        <v>-43.029449462890625</v>
      </c>
      <c r="E251" s="20">
        <f>'Raw Data'!H251</f>
        <v>7.5473927814526762</v>
      </c>
      <c r="F251" s="20">
        <f>Comparison!$B$10+(C251-Comparison!$B$10)*Comparison!$B$7</f>
        <v>4.8421724181423347</v>
      </c>
      <c r="G251" s="20">
        <f>Comparison!$B$11+(D251-Comparison!$B$11)*Comparison!$B$7</f>
        <v>-43.189849059080068</v>
      </c>
    </row>
    <row r="252" spans="1:7">
      <c r="A252" s="18">
        <f>'Raw Data'!A252</f>
        <v>430</v>
      </c>
      <c r="B252" s="20">
        <f>'Raw Data'!C252</f>
        <v>8.3402239409564256</v>
      </c>
      <c r="C252" s="20">
        <f>'Raw Data'!F252</f>
        <v>6.7662415504455566</v>
      </c>
      <c r="D252" s="20">
        <f>'Raw Data'!G252</f>
        <v>-43.005302429199219</v>
      </c>
      <c r="E252" s="20">
        <f>'Raw Data'!H252</f>
        <v>7.5515129124745641</v>
      </c>
      <c r="F252" s="20">
        <f>Comparison!$B$10+(C252-Comparison!$B$10)*Comparison!$B$7</f>
        <v>5.9927644815877805</v>
      </c>
      <c r="G252" s="20">
        <f>Comparison!$B$11+(D252-Comparison!$B$11)*Comparison!$B$7</f>
        <v>-43.164293747733822</v>
      </c>
    </row>
    <row r="253" spans="1:7">
      <c r="A253" s="18">
        <f>'Raw Data'!A253</f>
        <v>431</v>
      </c>
      <c r="B253" s="20">
        <f>'Raw Data'!C253</f>
        <v>8.3735732989586502</v>
      </c>
      <c r="C253" s="20">
        <f>'Raw Data'!F253</f>
        <v>6.9971952438354492</v>
      </c>
      <c r="D253" s="20">
        <f>'Raw Data'!G253</f>
        <v>-43.065166473388672</v>
      </c>
      <c r="E253" s="20">
        <f>'Raw Data'!H253</f>
        <v>7.5088292083315888</v>
      </c>
      <c r="F253" s="20">
        <f>Comparison!$B$10+(C253-Comparison!$B$10)*Comparison!$B$7</f>
        <v>6.237187611011084</v>
      </c>
      <c r="G253" s="20">
        <f>Comparison!$B$11+(D253-Comparison!$B$11)*Comparison!$B$7</f>
        <v>-43.22764911913297</v>
      </c>
    </row>
    <row r="254" spans="1:7">
      <c r="A254" s="18">
        <f>'Raw Data'!A254</f>
        <v>432</v>
      </c>
      <c r="B254" s="20">
        <f>'Raw Data'!C254</f>
        <v>8.406922656960873</v>
      </c>
      <c r="C254" s="20">
        <f>'Raw Data'!F254</f>
        <v>7.9956259727478027</v>
      </c>
      <c r="D254" s="20">
        <f>'Raw Data'!G254</f>
        <v>-42.942184448242188</v>
      </c>
      <c r="E254" s="20">
        <f>'Raw Data'!H254</f>
        <v>7.6388796705965873</v>
      </c>
      <c r="F254" s="20">
        <f>Comparison!$B$10+(C254-Comparison!$B$10)*Comparison!$B$7</f>
        <v>7.2938477565631334</v>
      </c>
      <c r="G254" s="20">
        <f>Comparison!$B$11+(D254-Comparison!$B$11)*Comparison!$B$7</f>
        <v>-43.097494666922621</v>
      </c>
    </row>
    <row r="255" spans="1:7">
      <c r="A255" s="18">
        <f>'Raw Data'!A255</f>
        <v>433</v>
      </c>
      <c r="B255" s="20">
        <f>'Raw Data'!C255</f>
        <v>8.4402720149630976</v>
      </c>
      <c r="C255" s="20">
        <f>'Raw Data'!F255</f>
        <v>9.2472152709960938</v>
      </c>
      <c r="D255" s="20">
        <f>'Raw Data'!G255</f>
        <v>-43.012191772460938</v>
      </c>
      <c r="E255" s="20">
        <f>'Raw Data'!H255</f>
        <v>7.5871269928128733</v>
      </c>
      <c r="F255" s="20">
        <f>Comparison!$B$10+(C255-Comparison!$B$10)*Comparison!$B$7</f>
        <v>8.6184309166779105</v>
      </c>
      <c r="G255" s="20">
        <f>Comparison!$B$11+(D255-Comparison!$B$11)*Comparison!$B$7</f>
        <v>-43.171584883956783</v>
      </c>
    </row>
    <row r="256" spans="1:7">
      <c r="A256" s="18">
        <f>'Raw Data'!A256</f>
        <v>434</v>
      </c>
      <c r="B256" s="20">
        <f>'Raw Data'!C256</f>
        <v>8.4736213729653223</v>
      </c>
      <c r="C256" s="20">
        <f>'Raw Data'!F256</f>
        <v>10.505326271057129</v>
      </c>
      <c r="D256" s="20">
        <f>'Raw Data'!G256</f>
        <v>-42.989543914794922</v>
      </c>
      <c r="E256" s="20">
        <f>'Raw Data'!H256</f>
        <v>7.6089604969217488</v>
      </c>
      <c r="F256" s="20">
        <f>Comparison!$B$10+(C256-Comparison!$B$10)*Comparison!$B$7</f>
        <v>9.9499161303725181</v>
      </c>
      <c r="G256" s="20">
        <f>Comparison!$B$11+(D256-Comparison!$B$11)*Comparison!$B$7</f>
        <v>-43.147616181987956</v>
      </c>
    </row>
    <row r="257" spans="1:7">
      <c r="A257" s="18">
        <f>'Raw Data'!A257</f>
        <v>435</v>
      </c>
      <c r="B257" s="20">
        <f>'Raw Data'!C257</f>
        <v>8.5069707309675469</v>
      </c>
      <c r="C257" s="20">
        <f>'Raw Data'!F257</f>
        <v>11.118700981140137</v>
      </c>
      <c r="D257" s="20">
        <f>'Raw Data'!G257</f>
        <v>-42.986713409423828</v>
      </c>
      <c r="E257" s="20">
        <f>'Raw Data'!H257</f>
        <v>7.5157300729516914</v>
      </c>
      <c r="F257" s="20">
        <f>Comparison!$B$10+(C257-Comparison!$B$10)*Comparison!$B$7</f>
        <v>10.599063428893968</v>
      </c>
      <c r="G257" s="20">
        <f>Comparison!$B$11+(D257-Comparison!$B$11)*Comparison!$B$7</f>
        <v>-43.144620598888608</v>
      </c>
    </row>
    <row r="258" spans="1:7">
      <c r="A258" s="18">
        <f>'Raw Data'!A258</f>
        <v>436</v>
      </c>
      <c r="B258" s="20">
        <f>'Raw Data'!C258</f>
        <v>8.5403200889697715</v>
      </c>
      <c r="C258" s="20">
        <f>'Raw Data'!F258</f>
        <v>11.661783218383789</v>
      </c>
      <c r="D258" s="20">
        <f>'Raw Data'!G258</f>
        <v>-42.893657684326172</v>
      </c>
      <c r="E258" s="20">
        <f>'Raw Data'!H258</f>
        <v>7.6184929791346043</v>
      </c>
      <c r="F258" s="20">
        <f>Comparison!$B$10+(C258-Comparison!$B$10)*Comparison!$B$7</f>
        <v>11.173818731625627</v>
      </c>
      <c r="G258" s="20">
        <f>Comparison!$B$11+(D258-Comparison!$B$11)*Comparison!$B$7</f>
        <v>-43.046137776616845</v>
      </c>
    </row>
    <row r="259" spans="1:7">
      <c r="A259" s="18">
        <f>'Raw Data'!A259</f>
        <v>437</v>
      </c>
      <c r="B259" s="20">
        <f>'Raw Data'!C259</f>
        <v>8.5736694469719943</v>
      </c>
      <c r="C259" s="20">
        <f>'Raw Data'!F259</f>
        <v>13.045589447021484</v>
      </c>
      <c r="D259" s="20">
        <f>'Raw Data'!G259</f>
        <v>-42.967174530029297</v>
      </c>
      <c r="E259" s="20">
        <f>'Raw Data'!H259</f>
        <v>7.6916321888499901</v>
      </c>
      <c r="F259" s="20">
        <f>Comparison!$B$10+(C259-Comparison!$B$10)*Comparison!$B$7</f>
        <v>12.638329837529799</v>
      </c>
      <c r="G259" s="20">
        <f>Comparison!$B$11+(D259-Comparison!$B$11)*Comparison!$B$7</f>
        <v>-43.123942193720289</v>
      </c>
    </row>
    <row r="260" spans="1:7">
      <c r="A260" s="18">
        <f>'Raw Data'!A260</f>
        <v>438</v>
      </c>
      <c r="B260" s="20">
        <f>'Raw Data'!C260</f>
        <v>8.6070188049742189</v>
      </c>
      <c r="C260" s="20">
        <f>'Raw Data'!F260</f>
        <v>14.052620887756348</v>
      </c>
      <c r="D260" s="20">
        <f>'Raw Data'!G260</f>
        <v>-43.040409088134766</v>
      </c>
      <c r="E260" s="20">
        <f>'Raw Data'!H260</f>
        <v>7.6007802825909545</v>
      </c>
      <c r="F260" s="20">
        <f>Comparison!$B$10+(C260-Comparison!$B$10)*Comparison!$B$7</f>
        <v>13.704092296485326</v>
      </c>
      <c r="G260" s="20">
        <f>Comparison!$B$11+(D260-Comparison!$B$11)*Comparison!$B$7</f>
        <v>-43.201447859948594</v>
      </c>
    </row>
    <row r="261" spans="1:7">
      <c r="A261" s="18">
        <f>'Raw Data'!A261</f>
        <v>439</v>
      </c>
      <c r="B261" s="20">
        <f>'Raw Data'!C261</f>
        <v>8.6403681629764435</v>
      </c>
      <c r="C261" s="20">
        <f>'Raw Data'!F261</f>
        <v>15.584962844848633</v>
      </c>
      <c r="D261" s="20">
        <f>'Raw Data'!G261</f>
        <v>-42.941360473632813</v>
      </c>
      <c r="E261" s="20">
        <f>'Raw Data'!H261</f>
        <v>7.625294599076164</v>
      </c>
      <c r="F261" s="20">
        <f>Comparison!$B$10+(C261-Comparison!$B$10)*Comparison!$B$7</f>
        <v>15.325801873854296</v>
      </c>
      <c r="G261" s="20">
        <f>Comparison!$B$11+(D261-Comparison!$B$11)*Comparison!$B$7</f>
        <v>-43.096622637341135</v>
      </c>
    </row>
    <row r="262" spans="1:7">
      <c r="A262" s="18">
        <f>'Raw Data'!A262</f>
        <v>440</v>
      </c>
      <c r="B262" s="20">
        <f>'Raw Data'!C262</f>
        <v>8.6737175209786681</v>
      </c>
      <c r="C262" s="20">
        <f>'Raw Data'!F262</f>
        <v>16.612339019775391</v>
      </c>
      <c r="D262" s="20">
        <f>'Raw Data'!G262</f>
        <v>-42.937221527099609</v>
      </c>
      <c r="E262" s="20">
        <f>'Raw Data'!H262</f>
        <v>7.5212462058579037</v>
      </c>
      <c r="F262" s="20">
        <f>Comparison!$B$10+(C262-Comparison!$B$10)*Comparison!$B$7</f>
        <v>16.413095590983183</v>
      </c>
      <c r="G262" s="20">
        <f>Comparison!$B$11+(D262-Comparison!$B$11)*Comparison!$B$7</f>
        <v>-43.092242303563779</v>
      </c>
    </row>
    <row r="263" spans="1:7">
      <c r="A263" s="18">
        <f>'Raw Data'!A263</f>
        <v>441</v>
      </c>
      <c r="B263" s="20">
        <f>'Raw Data'!C263</f>
        <v>8.7070668789808927</v>
      </c>
      <c r="C263" s="20">
        <f>'Raw Data'!F263</f>
        <v>17.429729461669922</v>
      </c>
      <c r="D263" s="20">
        <f>'Raw Data'!G263</f>
        <v>-42.912670135498047</v>
      </c>
      <c r="E263" s="20">
        <f>'Raw Data'!H263</f>
        <v>7.5775550526315625</v>
      </c>
      <c r="F263" s="20">
        <f>Comparison!$B$10+(C263-Comparison!$B$10)*Comparison!$B$7</f>
        <v>17.278157010162467</v>
      </c>
      <c r="G263" s="20">
        <f>Comparison!$B$11+(D263-Comparison!$B$11)*Comparison!$B$7</f>
        <v>-43.066259051774772</v>
      </c>
    </row>
    <row r="264" spans="1:7">
      <c r="A264" s="18">
        <f>'Raw Data'!A264</f>
        <v>442</v>
      </c>
      <c r="B264" s="20">
        <f>'Raw Data'!C264</f>
        <v>8.7404162369831155</v>
      </c>
      <c r="C264" s="20">
        <f>'Raw Data'!F264</f>
        <v>18.309017181396484</v>
      </c>
      <c r="D264" s="20">
        <f>'Raw Data'!G264</f>
        <v>-42.875797271728516</v>
      </c>
      <c r="E264" s="20">
        <f>'Raw Data'!H264</f>
        <v>7.5679710059073653</v>
      </c>
      <c r="F264" s="20">
        <f>Comparison!$B$10+(C264-Comparison!$B$10)*Comparison!$B$7</f>
        <v>18.208725614476688</v>
      </c>
      <c r="G264" s="20">
        <f>Comparison!$B$11+(D264-Comparison!$B$11)*Comparison!$B$7</f>
        <v>-43.027235728003397</v>
      </c>
    </row>
    <row r="265" spans="1:7">
      <c r="A265" s="18">
        <f>'Raw Data'!A265</f>
        <v>443</v>
      </c>
      <c r="B265" s="20">
        <f>'Raw Data'!C265</f>
        <v>8.7737655949853401</v>
      </c>
      <c r="C265" s="20">
        <f>'Raw Data'!F265</f>
        <v>18.838743209838867</v>
      </c>
      <c r="D265" s="20">
        <f>'Raw Data'!G265</f>
        <v>-42.838100433349609</v>
      </c>
      <c r="E265" s="20">
        <f>'Raw Data'!H265</f>
        <v>7.5816587924680601</v>
      </c>
      <c r="F265" s="20">
        <f>Comparison!$B$10+(C265-Comparison!$B$10)*Comparison!$B$7</f>
        <v>18.769345761781643</v>
      </c>
      <c r="G265" s="20">
        <f>Comparison!$B$11+(D265-Comparison!$B$11)*Comparison!$B$7</f>
        <v>-42.987340374650543</v>
      </c>
    </row>
    <row r="266" spans="1:7">
      <c r="A266" s="18">
        <f>'Raw Data'!A266</f>
        <v>444</v>
      </c>
      <c r="B266" s="20">
        <f>'Raw Data'!C266</f>
        <v>8.8071149529875647</v>
      </c>
      <c r="C266" s="20">
        <f>'Raw Data'!F266</f>
        <v>19.248203277587891</v>
      </c>
      <c r="D266" s="20">
        <f>'Raw Data'!G266</f>
        <v>-42.874317169189453</v>
      </c>
      <c r="E266" s="20">
        <f>'Raw Data'!H266</f>
        <v>7.5734490891479567</v>
      </c>
      <c r="F266" s="20">
        <f>Comparison!$B$10+(C266-Comparison!$B$10)*Comparison!$B$7</f>
        <v>19.202685924755951</v>
      </c>
      <c r="G266" s="20">
        <f>Comparison!$B$11+(D266-Comparison!$B$11)*Comparison!$B$7</f>
        <v>-43.025669304495921</v>
      </c>
    </row>
    <row r="267" spans="1:7">
      <c r="A267" s="18">
        <f>'Raw Data'!A267</f>
        <v>445</v>
      </c>
      <c r="B267" s="20">
        <f>'Raw Data'!C267</f>
        <v>8.8404643109897894</v>
      </c>
      <c r="C267" s="20">
        <f>'Raw Data'!F267</f>
        <v>20.414674758911133</v>
      </c>
      <c r="D267" s="20">
        <f>'Raw Data'!G267</f>
        <v>-42.909576416015625</v>
      </c>
      <c r="E267" s="20">
        <f>'Raw Data'!H267</f>
        <v>7.5005397899352122</v>
      </c>
      <c r="F267" s="20">
        <f>Comparison!$B$10+(C267-Comparison!$B$10)*Comparison!$B$7</f>
        <v>20.437187117021971</v>
      </c>
      <c r="G267" s="20">
        <f>Comparison!$B$11+(D267-Comparison!$B$11)*Comparison!$B$7</f>
        <v>-43.06298490367022</v>
      </c>
    </row>
    <row r="268" spans="1:7">
      <c r="A268" s="18">
        <f>'Raw Data'!A268</f>
        <v>446</v>
      </c>
      <c r="B268" s="20">
        <f>'Raw Data'!C268</f>
        <v>8.873813668992014</v>
      </c>
      <c r="C268" s="20">
        <f>'Raw Data'!F268</f>
        <v>21.377468109130859</v>
      </c>
      <c r="D268" s="20">
        <f>'Raw Data'!G268</f>
        <v>-42.870281219482422</v>
      </c>
      <c r="E268" s="20">
        <f>'Raw Data'!H268</f>
        <v>7.5912255581569861</v>
      </c>
      <c r="F268" s="20">
        <f>Comparison!$B$10+(C268-Comparison!$B$10)*Comparison!$B$7</f>
        <v>21.456131478528121</v>
      </c>
      <c r="G268" s="20">
        <f>Comparison!$B$11+(D268-Comparison!$B$11)*Comparison!$B$7</f>
        <v>-43.021397974416246</v>
      </c>
    </row>
    <row r="269" spans="1:7">
      <c r="A269" s="18">
        <f>'Raw Data'!A269</f>
        <v>447</v>
      </c>
      <c r="B269" s="20">
        <f>'Raw Data'!C269</f>
        <v>8.9071630269942368</v>
      </c>
      <c r="C269" s="20">
        <f>'Raw Data'!F269</f>
        <v>22.377336502075195</v>
      </c>
      <c r="D269" s="20">
        <f>'Raw Data'!G269</f>
        <v>-42.892742156982422</v>
      </c>
      <c r="E269" s="20">
        <f>'Raw Data'!H269</f>
        <v>7.6402368491931707</v>
      </c>
      <c r="F269" s="20">
        <f>Comparison!$B$10+(C269-Comparison!$B$10)*Comparison!$B$7</f>
        <v>22.514313134027031</v>
      </c>
      <c r="G269" s="20">
        <f>Comparison!$B$11+(D269-Comparison!$B$11)*Comparison!$B$7</f>
        <v>-43.045168854859639</v>
      </c>
    </row>
    <row r="270" spans="1:7">
      <c r="A270" s="18">
        <f>'Raw Data'!A270</f>
        <v>448</v>
      </c>
      <c r="B270" s="20">
        <f>'Raw Data'!C270</f>
        <v>8.9405123849964614</v>
      </c>
      <c r="C270" s="20">
        <f>'Raw Data'!F270</f>
        <v>23.471353530883789</v>
      </c>
      <c r="D270" s="20">
        <f>'Raw Data'!G270</f>
        <v>-42.934207916259766</v>
      </c>
      <c r="E270" s="20">
        <f>'Raw Data'!H270</f>
        <v>7.6144090908866424</v>
      </c>
      <c r="F270" s="20">
        <f>Comparison!$B$10+(C270-Comparison!$B$10)*Comparison!$B$7</f>
        <v>23.672134262145363</v>
      </c>
      <c r="G270" s="20">
        <f>Comparison!$B$11+(D270-Comparison!$B$11)*Comparison!$B$7</f>
        <v>-43.089052936112985</v>
      </c>
    </row>
    <row r="271" spans="1:7">
      <c r="A271" s="18">
        <f>'Raw Data'!A271</f>
        <v>449</v>
      </c>
      <c r="B271" s="20">
        <f>'Raw Data'!C271</f>
        <v>8.973861742998686</v>
      </c>
      <c r="C271" s="20">
        <f>'Raw Data'!F271</f>
        <v>24.650920867919922</v>
      </c>
      <c r="D271" s="20">
        <f>'Raw Data'!G271</f>
        <v>-42.966018676757813</v>
      </c>
      <c r="E271" s="20">
        <f>'Raw Data'!H271</f>
        <v>7.6686821162434411</v>
      </c>
      <c r="F271" s="20">
        <f>Comparison!$B$10+(C271-Comparison!$B$10)*Comparison!$B$7</f>
        <v>24.920495072713379</v>
      </c>
      <c r="G271" s="20">
        <f>Comparison!$B$11+(D271-Comparison!$B$11)*Comparison!$B$7</f>
        <v>-43.122718930001817</v>
      </c>
    </row>
    <row r="272" spans="1:7">
      <c r="A272" s="18">
        <f>'Raw Data'!A272</f>
        <v>450</v>
      </c>
      <c r="B272" s="20">
        <f>'Raw Data'!C272</f>
        <v>9.0072111010009106</v>
      </c>
      <c r="C272" s="20">
        <f>'Raw Data'!F272</f>
        <v>25.620311737060547</v>
      </c>
      <c r="D272" s="20">
        <f>'Raw Data'!G272</f>
        <v>-43.013099670410156</v>
      </c>
      <c r="E272" s="20">
        <f>'Raw Data'!H272</f>
        <v>7.5871269928128733</v>
      </c>
      <c r="F272" s="20">
        <f>Comparison!$B$10+(C272-Comparison!$B$10)*Comparison!$B$7</f>
        <v>25.94642172663238</v>
      </c>
      <c r="G272" s="20">
        <f>Comparison!$B$11+(D272-Comparison!$B$11)*Comparison!$B$7</f>
        <v>-43.172545731366007</v>
      </c>
    </row>
    <row r="273" spans="1:7">
      <c r="A273" s="18">
        <f>'Raw Data'!A273</f>
        <v>451</v>
      </c>
      <c r="B273" s="20">
        <f>'Raw Data'!C273</f>
        <v>9.0405604590031352</v>
      </c>
      <c r="C273" s="20">
        <f>'Raw Data'!F273</f>
        <v>26.390205383300781</v>
      </c>
      <c r="D273" s="20">
        <f>'Raw Data'!G273</f>
        <v>-43.217136383056641</v>
      </c>
      <c r="E273" s="20">
        <f>'Raw Data'!H273</f>
        <v>7.4575643445447293</v>
      </c>
      <c r="F273" s="20">
        <f>Comparison!$B$10+(C273-Comparison!$B$10)*Comparison!$B$7</f>
        <v>26.761216292482747</v>
      </c>
      <c r="G273" s="20">
        <f>Comparison!$B$11+(D273-Comparison!$B$11)*Comparison!$B$7</f>
        <v>-43.388482056480782</v>
      </c>
    </row>
    <row r="274" spans="1:7">
      <c r="A274" s="18">
        <f>'Raw Data'!A274</f>
        <v>452</v>
      </c>
      <c r="B274" s="20">
        <f>'Raw Data'!C274</f>
        <v>9.073909817005358</v>
      </c>
      <c r="C274" s="20">
        <f>'Raw Data'!F274</f>
        <v>27.394079208374023</v>
      </c>
      <c r="D274" s="20">
        <f>'Raw Data'!G274</f>
        <v>-43.265727996826172</v>
      </c>
      <c r="E274" s="20">
        <f>'Raw Data'!H274</f>
        <v>7.5129704877391674</v>
      </c>
      <c r="F274" s="20">
        <f>Comparison!$B$10+(C274-Comparison!$B$10)*Comparison!$B$7</f>
        <v>27.82363698066942</v>
      </c>
      <c r="G274" s="20">
        <f>Comparison!$B$11+(D274-Comparison!$B$11)*Comparison!$B$7</f>
        <v>-43.439907578744361</v>
      </c>
    </row>
    <row r="275" spans="1:7">
      <c r="A275" s="18">
        <f>'Raw Data'!A275</f>
        <v>453</v>
      </c>
      <c r="B275" s="20">
        <f>'Raw Data'!C275</f>
        <v>9.1072591750075826</v>
      </c>
      <c r="C275" s="20">
        <f>'Raw Data'!F275</f>
        <v>28.638376235961914</v>
      </c>
      <c r="D275" s="20">
        <f>'Raw Data'!G275</f>
        <v>-43.378700256347656</v>
      </c>
      <c r="E275" s="20">
        <f>'Raw Data'!H275</f>
        <v>7.4783897532661019</v>
      </c>
      <c r="F275" s="20">
        <f>Comparison!$B$10+(C275-Comparison!$B$10)*Comparison!$B$7</f>
        <v>29.140502578058722</v>
      </c>
      <c r="G275" s="20">
        <f>Comparison!$B$11+(D275-Comparison!$B$11)*Comparison!$B$7</f>
        <v>-43.559468486409287</v>
      </c>
    </row>
    <row r="276" spans="1:7">
      <c r="A276" s="18">
        <f>'Raw Data'!A276</f>
        <v>454</v>
      </c>
      <c r="B276" s="20">
        <f>'Raw Data'!C276</f>
        <v>9.1406085330098072</v>
      </c>
      <c r="C276" s="20">
        <f>'Raw Data'!F276</f>
        <v>29.468008041381836</v>
      </c>
      <c r="D276" s="20">
        <f>'Raw Data'!G276</f>
        <v>-43.400005340576172</v>
      </c>
      <c r="E276" s="20">
        <f>'Raw Data'!H276</f>
        <v>7.5720799398844596</v>
      </c>
      <c r="F276" s="20">
        <f>Comparison!$B$10+(C276-Comparison!$B$10)*Comparison!$B$7</f>
        <v>30.018519288566615</v>
      </c>
      <c r="G276" s="20">
        <f>Comparison!$B$11+(D276-Comparison!$B$11)*Comparison!$B$7</f>
        <v>-43.582016103134208</v>
      </c>
    </row>
    <row r="277" spans="1:7">
      <c r="A277" s="18">
        <f>'Raw Data'!A277</f>
        <v>455</v>
      </c>
      <c r="B277" s="20">
        <f>'Raw Data'!C277</f>
        <v>9.1739578910120319</v>
      </c>
      <c r="C277" s="20">
        <f>'Raw Data'!F277</f>
        <v>31.037509918212891</v>
      </c>
      <c r="D277" s="20">
        <f>'Raw Data'!G277</f>
        <v>-43.663761138916016</v>
      </c>
      <c r="E277" s="20">
        <f>'Raw Data'!H277</f>
        <v>7.5789232128038808</v>
      </c>
      <c r="F277" s="20">
        <f>Comparison!$B$10+(C277-Comparison!$B$10)*Comparison!$B$7</f>
        <v>31.679555987049582</v>
      </c>
      <c r="G277" s="20">
        <f>Comparison!$B$11+(D277-Comparison!$B$11)*Comparison!$B$7</f>
        <v>-43.861154387036571</v>
      </c>
    </row>
    <row r="278" spans="1:7">
      <c r="A278" s="18">
        <f>'Raw Data'!A278</f>
        <v>456</v>
      </c>
      <c r="B278" s="20">
        <f>'Raw Data'!C278</f>
        <v>9.2073072490142565</v>
      </c>
      <c r="C278" s="20">
        <f>'Raw Data'!F278</f>
        <v>32.156742095947266</v>
      </c>
      <c r="D278" s="20">
        <f>'Raw Data'!G278</f>
        <v>-43.779052734375</v>
      </c>
      <c r="E278" s="20">
        <f>'Raw Data'!H278</f>
        <v>7.6062347363123708</v>
      </c>
      <c r="F278" s="20">
        <f>Comparison!$B$10+(C278-Comparison!$B$10)*Comparison!$B$7</f>
        <v>32.864062835230889</v>
      </c>
      <c r="G278" s="20">
        <f>Comparison!$B$11+(D278-Comparison!$B$11)*Comparison!$B$7</f>
        <v>-43.983169896486409</v>
      </c>
    </row>
    <row r="279" spans="1:7">
      <c r="A279" s="18">
        <f>'Raw Data'!A279</f>
        <v>457</v>
      </c>
      <c r="B279" s="20">
        <f>'Raw Data'!C279</f>
        <v>9.2406566070164793</v>
      </c>
      <c r="C279" s="20">
        <f>'Raw Data'!F279</f>
        <v>32.861366271972656</v>
      </c>
      <c r="D279" s="20">
        <f>'Raw Data'!G279</f>
        <v>-43.635540008544922</v>
      </c>
      <c r="E279" s="20">
        <f>'Raw Data'!H279</f>
        <v>7.5583748065868592</v>
      </c>
      <c r="F279" s="20">
        <f>Comparison!$B$10+(C279-Comparison!$B$10)*Comparison!$B$7</f>
        <v>33.609781354140623</v>
      </c>
      <c r="G279" s="20">
        <f>Comparison!$B$11+(D279-Comparison!$B$11)*Comparison!$B$7</f>
        <v>-43.831287373870765</v>
      </c>
    </row>
    <row r="280" spans="1:7">
      <c r="A280" s="18">
        <f>'Raw Data'!A280</f>
        <v>458</v>
      </c>
      <c r="B280" s="20">
        <f>'Raw Data'!C280</f>
        <v>9.2740059650187039</v>
      </c>
      <c r="C280" s="20">
        <f>'Raw Data'!F280</f>
        <v>33.742324829101563</v>
      </c>
      <c r="D280" s="20">
        <f>'Raw Data'!G280</f>
        <v>-43.786201477050781</v>
      </c>
      <c r="E280" s="20">
        <f>'Raw Data'!H280</f>
        <v>7.5597464379939563</v>
      </c>
      <c r="F280" s="20">
        <f>Comparison!$B$10+(C280-Comparison!$B$10)*Comparison!$B$7</f>
        <v>34.542118240661736</v>
      </c>
      <c r="G280" s="20">
        <f>Comparison!$B$11+(D280-Comparison!$B$11)*Comparison!$B$7</f>
        <v>-43.990735560540571</v>
      </c>
    </row>
    <row r="281" spans="1:7">
      <c r="A281" s="18">
        <f>'Raw Data'!A281</f>
        <v>459</v>
      </c>
      <c r="B281" s="20">
        <f>'Raw Data'!C281</f>
        <v>9.3073553230209285</v>
      </c>
      <c r="C281" s="20">
        <f>'Raw Data'!F281</f>
        <v>34.708591461181641</v>
      </c>
      <c r="D281" s="20">
        <f>'Raw Data'!G281</f>
        <v>-43.6473388671875</v>
      </c>
      <c r="E281" s="20">
        <f>'Raw Data'!H281</f>
        <v>7.625294599076164</v>
      </c>
      <c r="F281" s="20">
        <f>Comparison!$B$10+(C281-Comparison!$B$10)*Comparison!$B$7</f>
        <v>35.564738449084281</v>
      </c>
      <c r="G281" s="20">
        <f>Comparison!$B$11+(D281-Comparison!$B$11)*Comparison!$B$7</f>
        <v>-43.843774353016727</v>
      </c>
    </row>
    <row r="282" spans="1:7">
      <c r="A282" s="18">
        <f>'Raw Data'!A282</f>
        <v>460</v>
      </c>
      <c r="B282" s="20">
        <f>'Raw Data'!C282</f>
        <v>9.3407046810231531</v>
      </c>
      <c r="C282" s="20">
        <f>'Raw Data'!F282</f>
        <v>35.345081329345703</v>
      </c>
      <c r="D282" s="20">
        <f>'Raw Data'!G282</f>
        <v>-43.485950469970703</v>
      </c>
      <c r="E282" s="20">
        <f>'Raw Data'!H282</f>
        <v>7.5583748065868592</v>
      </c>
      <c r="F282" s="20">
        <f>Comparison!$B$10+(C282-Comparison!$B$10)*Comparison!$B$7</f>
        <v>36.238349003388123</v>
      </c>
      <c r="G282" s="20">
        <f>Comparison!$B$11+(D282-Comparison!$B$11)*Comparison!$B$7</f>
        <v>-43.672973633091686</v>
      </c>
    </row>
    <row r="283" spans="1:7">
      <c r="A283" s="18">
        <f>'Raw Data'!A283</f>
        <v>461</v>
      </c>
      <c r="B283" s="20">
        <f>'Raw Data'!C283</f>
        <v>9.3740540390253777</v>
      </c>
      <c r="C283" s="20">
        <f>'Raw Data'!F283</f>
        <v>36.063373565673828</v>
      </c>
      <c r="D283" s="20">
        <f>'Raw Data'!G283</f>
        <v>-43.493141174316406</v>
      </c>
      <c r="E283" s="20">
        <f>'Raw Data'!H283</f>
        <v>7.5939567061345947</v>
      </c>
      <c r="F283" s="20">
        <f>Comparison!$B$10+(C283-Comparison!$B$10)*Comparison!$B$7</f>
        <v>36.998532716698108</v>
      </c>
      <c r="G283" s="20">
        <f>Comparison!$B$11+(D283-Comparison!$B$11)*Comparison!$B$7</f>
        <v>-43.680583706059728</v>
      </c>
    </row>
    <row r="284" spans="1:7">
      <c r="A284" s="18">
        <f>'Raw Data'!A284</f>
        <v>462</v>
      </c>
      <c r="B284" s="20">
        <f>'Raw Data'!C284</f>
        <v>9.4074033970276005</v>
      </c>
      <c r="C284" s="20">
        <f>'Raw Data'!F284</f>
        <v>36.943164825439453</v>
      </c>
      <c r="D284" s="20">
        <f>'Raw Data'!G284</f>
        <v>-43.357284545898438</v>
      </c>
      <c r="E284" s="20">
        <f>'Raw Data'!H284</f>
        <v>7.7145139870969572</v>
      </c>
      <c r="F284" s="20">
        <f>Comparison!$B$10+(C284-Comparison!$B$10)*Comparison!$B$7</f>
        <v>37.929634227978795</v>
      </c>
      <c r="G284" s="20">
        <f>Comparison!$B$11+(D284-Comparison!$B$11)*Comparison!$B$7</f>
        <v>-43.536803791638697</v>
      </c>
    </row>
    <row r="285" spans="1:7">
      <c r="A285" s="18">
        <f>'Raw Data'!A285</f>
        <v>463</v>
      </c>
      <c r="B285" s="20">
        <f>'Raw Data'!C285</f>
        <v>9.4407527550298251</v>
      </c>
      <c r="C285" s="20">
        <f>'Raw Data'!F285</f>
        <v>38.500194549560547</v>
      </c>
      <c r="D285" s="20">
        <f>'Raw Data'!G285</f>
        <v>-43.535991668701172</v>
      </c>
      <c r="E285" s="20">
        <f>'Raw Data'!H285</f>
        <v>7.6848892821547166</v>
      </c>
      <c r="F285" s="20">
        <f>Comparison!$B$10+(C285-Comparison!$B$10)*Comparison!$B$7</f>
        <v>39.577471386106851</v>
      </c>
      <c r="G285" s="20">
        <f>Comparison!$B$11+(D285-Comparison!$B$11)*Comparison!$B$7</f>
        <v>-43.725933281470837</v>
      </c>
    </row>
    <row r="286" spans="1:7">
      <c r="A286" s="18">
        <f>'Raw Data'!A286</f>
        <v>464</v>
      </c>
      <c r="B286" s="20">
        <f>'Raw Data'!C286</f>
        <v>9.4741021130320497</v>
      </c>
      <c r="C286" s="20">
        <f>'Raw Data'!F286</f>
        <v>39.501323699951172</v>
      </c>
      <c r="D286" s="20">
        <f>'Raw Data'!G286</f>
        <v>-43.448772430419922</v>
      </c>
      <c r="E286" s="20">
        <f>'Raw Data'!H286</f>
        <v>7.6929800609691341</v>
      </c>
      <c r="F286" s="20">
        <f>Comparison!$B$10+(C286-Comparison!$B$10)*Comparison!$B$7</f>
        <v>40.636987327608907</v>
      </c>
      <c r="G286" s="20">
        <f>Comparison!$B$11+(D286-Comparison!$B$11)*Comparison!$B$7</f>
        <v>-43.63362733540125</v>
      </c>
    </row>
    <row r="287" spans="1:7">
      <c r="A287" s="18">
        <f>'Raw Data'!A287</f>
        <v>465</v>
      </c>
      <c r="B287" s="20">
        <f>'Raw Data'!C287</f>
        <v>9.5074514710342743</v>
      </c>
      <c r="C287" s="20">
        <f>'Raw Data'!F287</f>
        <v>40.117336273193359</v>
      </c>
      <c r="D287" s="20">
        <f>'Raw Data'!G287</f>
        <v>-43.333164215087891</v>
      </c>
      <c r="E287" s="20">
        <f>'Raw Data'!H287</f>
        <v>7.5693408983986119</v>
      </c>
      <c r="F287" s="20">
        <f>Comparison!$B$10+(C287-Comparison!$B$10)*Comparison!$B$7</f>
        <v>41.288926331943301</v>
      </c>
      <c r="G287" s="20">
        <f>Comparison!$B$11+(D287-Comparison!$B$11)*Comparison!$B$7</f>
        <v>-43.511276740510375</v>
      </c>
    </row>
    <row r="288" spans="1:7">
      <c r="A288" s="18">
        <f>'Raw Data'!A288</f>
        <v>466</v>
      </c>
      <c r="B288" s="20">
        <f>'Raw Data'!C288</f>
        <v>9.540800829036499</v>
      </c>
      <c r="C288" s="20">
        <f>'Raw Data'!F288</f>
        <v>41.040618896484375</v>
      </c>
      <c r="D288" s="20">
        <f>'Raw Data'!G288</f>
        <v>-43.366401672363281</v>
      </c>
      <c r="E288" s="20">
        <f>'Raw Data'!H288</f>
        <v>7.4783897532661019</v>
      </c>
      <c r="F288" s="20">
        <f>Comparison!$B$10+(C288-Comparison!$B$10)*Comparison!$B$7</f>
        <v>42.266055663865146</v>
      </c>
      <c r="G288" s="20">
        <f>Comparison!$B$11+(D288-Comparison!$B$11)*Comparison!$B$7</f>
        <v>-43.54645263747085</v>
      </c>
    </row>
    <row r="289" spans="1:7">
      <c r="A289" s="18">
        <f>'Raw Data'!A289</f>
        <v>467</v>
      </c>
      <c r="B289" s="20">
        <f>'Raw Data'!C289</f>
        <v>9.5741501870387218</v>
      </c>
      <c r="C289" s="20">
        <f>'Raw Data'!F289</f>
        <v>42.286838531494141</v>
      </c>
      <c r="D289" s="20">
        <f>'Raw Data'!G289</f>
        <v>-43.342971801757813</v>
      </c>
      <c r="E289" s="20">
        <f>'Raw Data'!H289</f>
        <v>7.5830262122271224</v>
      </c>
      <c r="F289" s="20">
        <f>Comparison!$B$10+(C289-Comparison!$B$10)*Comparison!$B$7</f>
        <v>43.584955996944572</v>
      </c>
      <c r="G289" s="20">
        <f>Comparison!$B$11+(D289-Comparison!$B$11)*Comparison!$B$7</f>
        <v>-43.521656314834416</v>
      </c>
    </row>
    <row r="290" spans="1:7">
      <c r="A290" s="18">
        <f>'Raw Data'!A290</f>
        <v>468</v>
      </c>
      <c r="B290" s="20">
        <f>'Raw Data'!C290</f>
        <v>9.6074995450409464</v>
      </c>
      <c r="C290" s="20">
        <f>'Raw Data'!F290</f>
        <v>43.125465393066406</v>
      </c>
      <c r="D290" s="20">
        <f>'Raw Data'!G290</f>
        <v>-43.323505401611328</v>
      </c>
      <c r="E290" s="20">
        <f>'Raw Data'!H290</f>
        <v>7.5994160574552083</v>
      </c>
      <c r="F290" s="20">
        <f>Comparison!$B$10+(C290-Comparison!$B$10)*Comparison!$B$7</f>
        <v>44.472492363716988</v>
      </c>
      <c r="G290" s="20">
        <f>Comparison!$B$11+(D290-Comparison!$B$11)*Comparison!$B$7</f>
        <v>-43.501054615971874</v>
      </c>
    </row>
    <row r="291" spans="1:7">
      <c r="A291" s="18">
        <f>'Raw Data'!A291</f>
        <v>469</v>
      </c>
      <c r="B291" s="20">
        <f>'Raw Data'!C291</f>
        <v>9.640848903043171</v>
      </c>
      <c r="C291" s="20">
        <f>'Raw Data'!F291</f>
        <v>44.577121734619141</v>
      </c>
      <c r="D291" s="20">
        <f>'Raw Data'!G291</f>
        <v>-43.361495971679688</v>
      </c>
      <c r="E291" s="20">
        <f>'Raw Data'!H291</f>
        <v>7.53777038441185</v>
      </c>
      <c r="F291" s="20">
        <f>Comparison!$B$10+(C291-Comparison!$B$10)*Comparison!$B$7</f>
        <v>46.008810664764908</v>
      </c>
      <c r="G291" s="20">
        <f>Comparison!$B$11+(D291-Comparison!$B$11)*Comparison!$B$7</f>
        <v>-43.541260831721836</v>
      </c>
    </row>
    <row r="292" spans="1:7">
      <c r="A292" s="18">
        <f>'Raw Data'!A292</f>
        <v>470</v>
      </c>
      <c r="B292" s="20">
        <f>'Raw Data'!C292</f>
        <v>9.6741982610453956</v>
      </c>
      <c r="C292" s="20">
        <f>'Raw Data'!F292</f>
        <v>45.088466644287109</v>
      </c>
      <c r="D292" s="20">
        <f>'Raw Data'!G292</f>
        <v>-43.242504119873047</v>
      </c>
      <c r="E292" s="20">
        <f>'Raw Data'!H292</f>
        <v>7.5652304767550733</v>
      </c>
      <c r="F292" s="20">
        <f>Comparison!$B$10+(C292-Comparison!$B$10)*Comparison!$B$7</f>
        <v>46.549977689207012</v>
      </c>
      <c r="G292" s="20">
        <f>Comparison!$B$11+(D292-Comparison!$B$11)*Comparison!$B$7</f>
        <v>-43.415329263503295</v>
      </c>
    </row>
    <row r="293" spans="1:7">
      <c r="A293" s="18">
        <f>'Raw Data'!A293</f>
        <v>471</v>
      </c>
      <c r="B293" s="20">
        <f>'Raw Data'!C293</f>
        <v>9.7075476190476202</v>
      </c>
      <c r="C293" s="20">
        <f>'Raw Data'!F293</f>
        <v>45.64337158203125</v>
      </c>
      <c r="D293" s="20">
        <f>'Raw Data'!G293</f>
        <v>-42.89508056640625</v>
      </c>
      <c r="E293" s="20">
        <f>'Raw Data'!H293</f>
        <v>7.6483748634112736</v>
      </c>
      <c r="F293" s="20">
        <f>Comparison!$B$10+(C293-Comparison!$B$10)*Comparison!$B$7</f>
        <v>47.137245203422054</v>
      </c>
      <c r="G293" s="20">
        <f>Comparison!$B$11+(D293-Comparison!$B$11)*Comparison!$B$7</f>
        <v>-43.047643642514501</v>
      </c>
    </row>
    <row r="294" spans="1:7">
      <c r="A294" s="18">
        <f>'Raw Data'!A294</f>
        <v>472</v>
      </c>
      <c r="B294" s="20">
        <f>'Raw Data'!C294</f>
        <v>9.740896977049843</v>
      </c>
      <c r="C294" s="20">
        <f>'Raw Data'!F294</f>
        <v>46.521488189697266</v>
      </c>
      <c r="D294" s="20">
        <f>'Raw Data'!G294</f>
        <v>-42.678329467773438</v>
      </c>
      <c r="E294" s="20">
        <f>'Raw Data'!H294</f>
        <v>7.6592120985506327</v>
      </c>
      <c r="F294" s="20">
        <f>Comparison!$B$10+(C294-Comparison!$B$10)*Comparison!$B$7</f>
        <v>48.066574395321858</v>
      </c>
      <c r="G294" s="20">
        <f>Comparison!$B$11+(D294-Comparison!$B$11)*Comparison!$B$7</f>
        <v>-42.818251416496565</v>
      </c>
    </row>
    <row r="295" spans="1:7">
      <c r="A295" s="18">
        <f>'Raw Data'!A295</f>
        <v>473</v>
      </c>
      <c r="B295" s="20">
        <f>'Raw Data'!C295</f>
        <v>9.7742463350520676</v>
      </c>
      <c r="C295" s="20">
        <f>'Raw Data'!F295</f>
        <v>47.523246765136719</v>
      </c>
      <c r="D295" s="20">
        <f>'Raw Data'!G295</f>
        <v>-42.705490112304688</v>
      </c>
      <c r="E295" s="20">
        <f>'Raw Data'!H295</f>
        <v>7.664624969967277</v>
      </c>
      <c r="F295" s="20">
        <f>Comparison!$B$10+(C295-Comparison!$B$10)*Comparison!$B$7</f>
        <v>49.126756470531987</v>
      </c>
      <c r="G295" s="20">
        <f>Comparison!$B$11+(D295-Comparison!$B$11)*Comparison!$B$7</f>
        <v>-42.846996095293598</v>
      </c>
    </row>
    <row r="296" spans="1:7">
      <c r="A296" s="18">
        <f>'Raw Data'!A296</f>
        <v>474</v>
      </c>
      <c r="B296" s="20">
        <f>'Raw Data'!C296</f>
        <v>9.8075956930542922</v>
      </c>
      <c r="C296" s="20">
        <f>'Raw Data'!F296</f>
        <v>47.36322021484375</v>
      </c>
      <c r="D296" s="20">
        <f>'Raw Data'!G296</f>
        <v>-42.267333984375</v>
      </c>
      <c r="E296" s="20">
        <f>'Raw Data'!H296</f>
        <v>7.6021442629128542</v>
      </c>
      <c r="F296" s="20">
        <f>Comparison!$B$10+(C296-Comparison!$B$10)*Comparison!$B$7</f>
        <v>48.957397021720794</v>
      </c>
      <c r="G296" s="20">
        <f>Comparison!$B$11+(D296-Comparison!$B$11)*Comparison!$B$7</f>
        <v>-42.383286290991947</v>
      </c>
    </row>
    <row r="297" spans="1:7">
      <c r="A297" s="18">
        <f>'Raw Data'!A297</f>
        <v>475</v>
      </c>
      <c r="B297" s="20">
        <f>'Raw Data'!C297</f>
        <v>9.8409450510565168</v>
      </c>
      <c r="C297" s="20">
        <f>'Raw Data'!F297</f>
        <v>48.34228515625</v>
      </c>
      <c r="D297" s="20">
        <f>'Raw Data'!G297</f>
        <v>-42.270553588867188</v>
      </c>
      <c r="E297" s="20">
        <f>'Raw Data'!H297</f>
        <v>7.5966868722145788</v>
      </c>
      <c r="F297" s="20">
        <f>Comparison!$B$10+(C297-Comparison!$B$10)*Comparison!$B$7</f>
        <v>49.993561948874245</v>
      </c>
      <c r="G297" s="20">
        <f>Comparison!$B$11+(D297-Comparison!$B$11)*Comparison!$B$7</f>
        <v>-42.386693665838109</v>
      </c>
    </row>
    <row r="298" spans="1:7">
      <c r="A298" s="18">
        <f>'Raw Data'!A298</f>
        <v>476</v>
      </c>
      <c r="B298" s="20">
        <f>'Raw Data'!C298</f>
        <v>9.8742944090587397</v>
      </c>
      <c r="C298" s="20">
        <f>'Raw Data'!F298</f>
        <v>49.351234436035156</v>
      </c>
      <c r="D298" s="20">
        <f>'Raw Data'!G298</f>
        <v>-42.152984619140625</v>
      </c>
      <c r="E298" s="20">
        <f>'Raw Data'!H298</f>
        <v>7.6970222611224646</v>
      </c>
      <c r="F298" s="20">
        <f>Comparison!$B$10+(C298-Comparison!$B$10)*Comparison!$B$7</f>
        <v>51.061354097052416</v>
      </c>
      <c r="G298" s="20">
        <f>Comparison!$B$11+(D298-Comparison!$B$11)*Comparison!$B$7</f>
        <v>-42.262267963517225</v>
      </c>
    </row>
    <row r="299" spans="1:7">
      <c r="A299" s="18">
        <f>'Raw Data'!A299</f>
        <v>477</v>
      </c>
      <c r="B299" s="20">
        <f>'Raw Data'!C299</f>
        <v>9.9076437670609643</v>
      </c>
      <c r="C299" s="20">
        <f>'Raw Data'!F299</f>
        <v>50.592689514160156</v>
      </c>
      <c r="D299" s="20">
        <f>'Raw Data'!G299</f>
        <v>-42.181007385253906</v>
      </c>
      <c r="E299" s="20">
        <f>'Raw Data'!H299</f>
        <v>7.7493789941461921</v>
      </c>
      <c r="F299" s="20">
        <f>Comparison!$B$10+(C299-Comparison!$B$10)*Comparison!$B$7</f>
        <v>52.375211999820394</v>
      </c>
      <c r="G299" s="20">
        <f>Comparison!$B$11+(D299-Comparison!$B$11)*Comparison!$B$7</f>
        <v>-42.291925043635629</v>
      </c>
    </row>
    <row r="300" spans="1:7">
      <c r="A300" s="18">
        <f>'Raw Data'!A300</f>
        <v>478</v>
      </c>
      <c r="B300" s="20">
        <f>'Raw Data'!C300</f>
        <v>9.9409931250631889</v>
      </c>
      <c r="C300" s="20">
        <f>'Raw Data'!F300</f>
        <v>51.423225402832031</v>
      </c>
      <c r="D300" s="20">
        <f>'Raw Data'!G300</f>
        <v>-41.8468017578125</v>
      </c>
      <c r="E300" s="20">
        <f>'Raw Data'!H300</f>
        <v>7.7104809569422113</v>
      </c>
      <c r="F300" s="20">
        <f>Comparison!$B$10+(C300-Comparison!$B$10)*Comparison!$B$7</f>
        <v>53.254185520563531</v>
      </c>
      <c r="G300" s="20">
        <f>Comparison!$B$11+(D300-Comparison!$B$11)*Comparison!$B$7</f>
        <v>-41.938228230516458</v>
      </c>
    </row>
    <row r="301" spans="1:7">
      <c r="A301" s="18">
        <f>'Raw Data'!A301</f>
        <v>479</v>
      </c>
      <c r="B301" s="20">
        <f>'Raw Data'!C301</f>
        <v>9.9743424830654135</v>
      </c>
      <c r="C301" s="20">
        <f>'Raw Data'!F301</f>
        <v>52.495510101318359</v>
      </c>
      <c r="D301" s="20">
        <f>'Raw Data'!G301</f>
        <v>-41.443584442138672</v>
      </c>
      <c r="E301" s="20">
        <f>'Raw Data'!H301</f>
        <v>7.6632721105498076</v>
      </c>
      <c r="F301" s="20">
        <f>Comparison!$B$10+(C301-Comparison!$B$10)*Comparison!$B$7</f>
        <v>54.38900686847024</v>
      </c>
      <c r="G301" s="20">
        <f>Comparison!$B$11+(D301-Comparison!$B$11)*Comparison!$B$7</f>
        <v>-41.511494902774082</v>
      </c>
    </row>
    <row r="302" spans="1:7">
      <c r="A302" s="18">
        <f>'Raw Data'!A302</f>
        <v>480</v>
      </c>
      <c r="B302" s="20">
        <f>'Raw Data'!C302</f>
        <v>10.007691841067636</v>
      </c>
      <c r="C302" s="20">
        <f>'Raw Data'!F302</f>
        <v>51.375736236572266</v>
      </c>
      <c r="D302" s="20">
        <f>'Raw Data'!G302</f>
        <v>-40.064556121826172</v>
      </c>
      <c r="E302" s="20">
        <f>'Raw Data'!H302</f>
        <v>7.6144090908866424</v>
      </c>
      <c r="F302" s="20">
        <f>Comparison!$B$10+(C302-Comparison!$B$10)*Comparison!$B$7</f>
        <v>53.203926741582585</v>
      </c>
      <c r="G302" s="20">
        <f>Comparison!$B$11+(D302-Comparison!$B$11)*Comparison!$B$7</f>
        <v>-40.052040357290316</v>
      </c>
    </row>
    <row r="303" spans="1:7">
      <c r="A303" s="18">
        <f>'Raw Data'!A303</f>
        <v>481</v>
      </c>
      <c r="B303" s="20">
        <f>'Raw Data'!C303</f>
        <v>10.041041199069863</v>
      </c>
      <c r="C303" s="20">
        <f>'Raw Data'!F303</f>
        <v>53.773212432861328</v>
      </c>
      <c r="D303" s="20">
        <f>'Raw Data'!G303</f>
        <v>-39.937877655029297</v>
      </c>
      <c r="E303" s="20">
        <f>'Raw Data'!H303</f>
        <v>7.6537953990763894</v>
      </c>
      <c r="F303" s="20">
        <f>Comparison!$B$10+(C303-Comparison!$B$10)*Comparison!$B$7</f>
        <v>55.741225998475507</v>
      </c>
      <c r="G303" s="20">
        <f>Comparison!$B$11+(D303-Comparison!$B$11)*Comparison!$B$7</f>
        <v>-39.91797388348526</v>
      </c>
    </row>
    <row r="304" spans="1:7">
      <c r="A304" s="18">
        <f>'Raw Data'!A304</f>
        <v>482</v>
      </c>
      <c r="B304" s="20">
        <f>'Raw Data'!C304</f>
        <v>10.074390557072086</v>
      </c>
      <c r="C304" s="20">
        <f>'Raw Data'!F304</f>
        <v>52.380588531494141</v>
      </c>
      <c r="D304" s="20">
        <f>'Raw Data'!G304</f>
        <v>-38.575626373291016</v>
      </c>
      <c r="E304" s="20">
        <f>'Raw Data'!H304</f>
        <v>7.4977746138818162</v>
      </c>
      <c r="F304" s="20">
        <f>Comparison!$B$10+(C304-Comparison!$B$10)*Comparison!$B$7</f>
        <v>54.267382964897266</v>
      </c>
      <c r="G304" s="20">
        <f>Comparison!$B$11+(D304-Comparison!$B$11)*Comparison!$B$7</f>
        <v>-38.476274829202247</v>
      </c>
    </row>
    <row r="305" spans="1:7">
      <c r="A305" s="18">
        <f>'Raw Data'!A305</f>
        <v>483</v>
      </c>
      <c r="B305" s="20">
        <f>'Raw Data'!C305</f>
        <v>10.107739915074312</v>
      </c>
      <c r="C305" s="20">
        <f>'Raw Data'!F305</f>
        <v>52.735939025878906</v>
      </c>
      <c r="D305" s="20">
        <f>'Raw Data'!G305</f>
        <v>-38.146625518798828</v>
      </c>
      <c r="E305" s="20">
        <f>'Raw Data'!H305</f>
        <v>7.5624889544774243</v>
      </c>
      <c r="F305" s="20">
        <f>Comparison!$B$10+(C305-Comparison!$B$10)*Comparison!$B$7</f>
        <v>54.64345783343385</v>
      </c>
      <c r="G305" s="20">
        <f>Comparison!$B$11+(D305-Comparison!$B$11)*Comparison!$B$7</f>
        <v>-38.022254242472627</v>
      </c>
    </row>
    <row r="306" spans="1:7">
      <c r="A306" s="18">
        <f>'Raw Data'!A306</f>
        <v>484</v>
      </c>
      <c r="B306" s="20">
        <f>'Raw Data'!C306</f>
        <v>10.141089273076535</v>
      </c>
      <c r="C306" s="20">
        <f>'Raw Data'!F306</f>
        <v>51.714992523193359</v>
      </c>
      <c r="D306" s="20">
        <f>'Raw Data'!G306</f>
        <v>-37.429431915283203</v>
      </c>
      <c r="E306" s="20">
        <f>'Raw Data'!H306</f>
        <v>7.5308897162645749</v>
      </c>
      <c r="F306" s="20">
        <f>Comparison!$B$10+(C306-Comparison!$B$10)*Comparison!$B$7</f>
        <v>53.56296877306233</v>
      </c>
      <c r="G306" s="20">
        <f>Comparison!$B$11+(D306-Comparison!$B$11)*Comparison!$B$7</f>
        <v>-37.263233235271294</v>
      </c>
    </row>
    <row r="307" spans="1:7">
      <c r="A307" s="18">
        <f>'Raw Data'!A307</f>
        <v>485</v>
      </c>
      <c r="B307" s="20">
        <f>'Raw Data'!C307</f>
        <v>10.174438631078758</v>
      </c>
      <c r="C307" s="20">
        <f>'Raw Data'!F307</f>
        <v>51.620067596435547</v>
      </c>
      <c r="D307" s="20">
        <f>'Raw Data'!G307</f>
        <v>-37.341053009033203</v>
      </c>
      <c r="E307" s="20">
        <f>'Raw Data'!H307</f>
        <v>7.5487664083239023</v>
      </c>
      <c r="F307" s="20">
        <f>Comparison!$B$10+(C307-Comparison!$B$10)*Comparison!$B$7</f>
        <v>53.462507735536278</v>
      </c>
      <c r="G307" s="20">
        <f>Comparison!$B$11+(D307-Comparison!$B$11)*Comparison!$B$7</f>
        <v>-37.16969998830924</v>
      </c>
    </row>
    <row r="308" spans="1:7">
      <c r="A308" s="18">
        <f>'Raw Data'!A308</f>
        <v>486</v>
      </c>
      <c r="B308" s="20">
        <f>'Raw Data'!C308</f>
        <v>10.207787989080984</v>
      </c>
      <c r="C308" s="20">
        <f>'Raw Data'!F308</f>
        <v>51.405231475830078</v>
      </c>
      <c r="D308" s="20">
        <f>'Raw Data'!G308</f>
        <v>-37.318466186523438</v>
      </c>
      <c r="E308" s="20">
        <f>'Raw Data'!H308</f>
        <v>7.5405208936748602</v>
      </c>
      <c r="F308" s="20">
        <f>Comparison!$B$10+(C308-Comparison!$B$10)*Comparison!$B$7</f>
        <v>53.235142170860492</v>
      </c>
      <c r="G308" s="20">
        <f>Comparison!$B$11+(D308-Comparison!$B$11)*Comparison!$B$7</f>
        <v>-37.145795881124236</v>
      </c>
    </row>
    <row r="309" spans="1:7">
      <c r="A309" s="18">
        <f>'Raw Data'!A309</f>
        <v>487</v>
      </c>
      <c r="B309" s="20">
        <f>'Raw Data'!C309</f>
        <v>10.241137347083207</v>
      </c>
      <c r="C309" s="20">
        <f>'Raw Data'!F309</f>
        <v>48.945716857910156</v>
      </c>
      <c r="D309" s="20">
        <f>'Raw Data'!G309</f>
        <v>-36.735485076904297</v>
      </c>
      <c r="E309" s="20">
        <f>'Raw Data'!H309</f>
        <v>7.4963916433611733</v>
      </c>
      <c r="F309" s="20">
        <f>Comparison!$B$10+(C309-Comparison!$B$10)*Comparison!$B$7</f>
        <v>50.632186353395063</v>
      </c>
      <c r="G309" s="20">
        <f>Comparison!$B$11+(D309-Comparison!$B$11)*Comparison!$B$7</f>
        <v>-36.528814766354948</v>
      </c>
    </row>
    <row r="310" spans="1:7">
      <c r="A310" s="18">
        <f>'Raw Data'!A310</f>
        <v>488</v>
      </c>
      <c r="B310" s="20">
        <f>'Raw Data'!C310</f>
        <v>10.274486705085433</v>
      </c>
      <c r="C310" s="20">
        <f>'Raw Data'!F310</f>
        <v>47.641403198242188</v>
      </c>
      <c r="D310" s="20">
        <f>'Raw Data'!G310</f>
        <v>-36.665435791015625</v>
      </c>
      <c r="E310" s="20">
        <f>'Raw Data'!H310</f>
        <v>7.5060670860353254</v>
      </c>
      <c r="F310" s="20">
        <f>Comparison!$B$10+(C310-Comparison!$B$10)*Comparison!$B$7</f>
        <v>49.251803897647079</v>
      </c>
      <c r="G310" s="20">
        <f>Comparison!$B$11+(D310-Comparison!$B$11)*Comparison!$B$7</f>
        <v>-36.454680140406914</v>
      </c>
    </row>
    <row r="311" spans="1:7">
      <c r="A311" s="18">
        <f>'Raw Data'!A311</f>
        <v>489</v>
      </c>
      <c r="B311" s="20">
        <f>'Raw Data'!C311</f>
        <v>10.307836063087656</v>
      </c>
      <c r="C311" s="20">
        <f>'Raw Data'!F311</f>
        <v>46.662834167480469</v>
      </c>
      <c r="D311" s="20">
        <f>'Raw Data'!G311</f>
        <v>-36.660945892333984</v>
      </c>
      <c r="E311" s="20">
        <f>'Raw Data'!H311</f>
        <v>7.5515129124745641</v>
      </c>
      <c r="F311" s="20">
        <f>Comparison!$B$10+(C311-Comparison!$B$10)*Comparison!$B$7</f>
        <v>48.216163803112117</v>
      </c>
      <c r="G311" s="20">
        <f>Comparison!$B$11+(D311-Comparison!$B$11)*Comparison!$B$7</f>
        <v>-36.449928386622624</v>
      </c>
    </row>
    <row r="312" spans="1:7">
      <c r="A312" s="18">
        <f>'Raw Data'!A312</f>
        <v>490</v>
      </c>
      <c r="B312" s="20">
        <f>'Raw Data'!C312</f>
        <v>10.341185421089879</v>
      </c>
      <c r="C312" s="20">
        <f>'Raw Data'!F312</f>
        <v>45.665351867675781</v>
      </c>
      <c r="D312" s="20">
        <f>'Raw Data'!G312</f>
        <v>-36.684417724609375</v>
      </c>
      <c r="E312" s="20">
        <f>'Raw Data'!H312</f>
        <v>7.5734490891479567</v>
      </c>
      <c r="F312" s="20">
        <f>Comparison!$B$10+(C312-Comparison!$B$10)*Comparison!$B$7</f>
        <v>47.160507399942922</v>
      </c>
      <c r="G312" s="20">
        <f>Comparison!$B$11+(D312-Comparison!$B$11)*Comparison!$B$7</f>
        <v>-36.474769118172929</v>
      </c>
    </row>
    <row r="313" spans="1:7">
      <c r="A313" s="18">
        <f>'Raw Data'!A313</f>
        <v>491</v>
      </c>
      <c r="B313" s="20">
        <f>'Raw Data'!C313</f>
        <v>10.374534779092105</v>
      </c>
      <c r="C313" s="20">
        <f>'Raw Data'!F313</f>
        <v>45.003719329833984</v>
      </c>
      <c r="D313" s="20">
        <f>'Raw Data'!G313</f>
        <v>-36.859363555908203</v>
      </c>
      <c r="E313" s="20">
        <f>'Raw Data'!H313</f>
        <v>7.5693408983986119</v>
      </c>
      <c r="F313" s="20">
        <f>Comparison!$B$10+(C313-Comparison!$B$10)*Comparison!$B$7</f>
        <v>46.460287831881871</v>
      </c>
      <c r="G313" s="20">
        <f>Comparison!$B$11+(D313-Comparison!$B$11)*Comparison!$B$7</f>
        <v>-36.65991795445256</v>
      </c>
    </row>
    <row r="314" spans="1:7">
      <c r="A314" s="18">
        <f>'Raw Data'!A314</f>
        <v>492</v>
      </c>
      <c r="B314" s="20">
        <f>'Raw Data'!C314</f>
        <v>10.407884137094328</v>
      </c>
      <c r="C314" s="20">
        <f>'Raw Data'!F314</f>
        <v>44.161346435546875</v>
      </c>
      <c r="D314" s="20">
        <f>'Raw Data'!G314</f>
        <v>-36.972793579101563</v>
      </c>
      <c r="E314" s="20">
        <f>'Raw Data'!H314</f>
        <v>7.5322663527290965</v>
      </c>
      <c r="F314" s="20">
        <f>Comparison!$B$10+(C314-Comparison!$B$10)*Comparison!$B$7</f>
        <v>45.568786960252893</v>
      </c>
      <c r="G314" s="20">
        <f>Comparison!$B$11+(D314-Comparison!$B$11)*Comparison!$B$7</f>
        <v>-36.779963322996089</v>
      </c>
    </row>
    <row r="315" spans="1:7">
      <c r="A315" s="18">
        <f>'Raw Data'!A315</f>
        <v>493</v>
      </c>
      <c r="B315" s="20">
        <f>'Raw Data'!C315</f>
        <v>10.441233495096554</v>
      </c>
      <c r="C315" s="20">
        <f>'Raw Data'!F315</f>
        <v>43.330982208251953</v>
      </c>
      <c r="D315" s="20">
        <f>'Raw Data'!G315</f>
        <v>-37.0189208984375</v>
      </c>
      <c r="E315" s="20">
        <f>'Raw Data'!H315</f>
        <v>7.5212462058579037</v>
      </c>
      <c r="F315" s="20">
        <f>Comparison!$B$10+(C315-Comparison!$B$10)*Comparison!$B$7</f>
        <v>44.68999511233924</v>
      </c>
      <c r="G315" s="20">
        <f>Comparison!$B$11+(D315-Comparison!$B$11)*Comparison!$B$7</f>
        <v>-36.828780830863195</v>
      </c>
    </row>
    <row r="316" spans="1:7">
      <c r="A316" s="18">
        <f>'Raw Data'!A316</f>
        <v>494</v>
      </c>
      <c r="B316" s="20">
        <f>'Raw Data'!C316</f>
        <v>10.474582853098777</v>
      </c>
      <c r="C316" s="20">
        <f>'Raw Data'!F316</f>
        <v>42.747810363769531</v>
      </c>
      <c r="D316" s="20">
        <f>'Raw Data'!G316</f>
        <v>-37.149532318115234</v>
      </c>
      <c r="E316" s="20">
        <f>'Raw Data'!H316</f>
        <v>7.5033039469444454</v>
      </c>
      <c r="F316" s="20">
        <f>Comparison!$B$10+(C316-Comparison!$B$10)*Comparison!$B$7</f>
        <v>44.072812138870532</v>
      </c>
      <c r="G316" s="20">
        <f>Comparison!$B$11+(D316-Comparison!$B$11)*Comparison!$B$7</f>
        <v>-36.967009631050246</v>
      </c>
    </row>
    <row r="317" spans="1:7">
      <c r="A317" s="18">
        <f>'Raw Data'!A317</f>
        <v>495</v>
      </c>
      <c r="B317" s="20">
        <f>'Raw Data'!C317</f>
        <v>10.507932211101</v>
      </c>
      <c r="C317" s="20">
        <f>'Raw Data'!F317</f>
        <v>41.981109619140625</v>
      </c>
      <c r="D317" s="20">
        <f>'Raw Data'!G317</f>
        <v>-37.245506286621094</v>
      </c>
      <c r="E317" s="20">
        <f>'Raw Data'!H317</f>
        <v>7.563859839824401</v>
      </c>
      <c r="F317" s="20">
        <f>Comparison!$B$10+(C317-Comparison!$B$10)*Comparison!$B$7</f>
        <v>43.261396687648414</v>
      </c>
      <c r="G317" s="20">
        <f>Comparison!$B$11+(D317-Comparison!$B$11)*Comparison!$B$7</f>
        <v>-37.068580891423089</v>
      </c>
    </row>
    <row r="318" spans="1:7">
      <c r="A318" s="18">
        <f>'Raw Data'!A318</f>
        <v>496</v>
      </c>
      <c r="B318" s="20">
        <f>'Raw Data'!C318</f>
        <v>10.541281569103226</v>
      </c>
      <c r="C318" s="20">
        <f>'Raw Data'!F318</f>
        <v>40.224491119384766</v>
      </c>
      <c r="D318" s="20">
        <f>'Raw Data'!G318</f>
        <v>-37.115581512451172</v>
      </c>
      <c r="E318" s="20">
        <f>'Raw Data'!H318</f>
        <v>7.5391457644770172</v>
      </c>
      <c r="F318" s="20">
        <f>Comparison!$B$10+(C318-Comparison!$B$10)*Comparison!$B$7</f>
        <v>41.402330549276002</v>
      </c>
      <c r="G318" s="20">
        <f>Comparison!$B$11+(D318-Comparison!$B$11)*Comparison!$B$7</f>
        <v>-36.931078782553946</v>
      </c>
    </row>
    <row r="319" spans="1:7">
      <c r="A319" s="18">
        <f>'Raw Data'!A319</f>
        <v>497</v>
      </c>
      <c r="B319" s="20">
        <f>'Raw Data'!C319</f>
        <v>10.574630927105449</v>
      </c>
      <c r="C319" s="20">
        <f>'Raw Data'!F319</f>
        <v>39.423534393310547</v>
      </c>
      <c r="D319" s="20">
        <f>'Raw Data'!G319</f>
        <v>-37.164440155029297</v>
      </c>
      <c r="E319" s="20">
        <f>'Raw Data'!H319</f>
        <v>7.5693408983986119</v>
      </c>
      <c r="F319" s="20">
        <f>Comparison!$B$10+(C319-Comparison!$B$10)*Comparison!$B$7</f>
        <v>40.554661275638516</v>
      </c>
      <c r="G319" s="20">
        <f>Comparison!$B$11+(D319-Comparison!$B$11)*Comparison!$B$7</f>
        <v>-36.982786906996708</v>
      </c>
    </row>
    <row r="320" spans="1:7">
      <c r="A320" s="18">
        <f>'Raw Data'!A320</f>
        <v>498</v>
      </c>
      <c r="B320" s="20">
        <f>'Raw Data'!C320</f>
        <v>10.607980285107676</v>
      </c>
      <c r="C320" s="20">
        <f>'Raw Data'!F320</f>
        <v>38.906768798828125</v>
      </c>
      <c r="D320" s="20">
        <f>'Raw Data'!G320</f>
        <v>-37.34100341796875</v>
      </c>
      <c r="E320" s="20">
        <f>'Raw Data'!H320</f>
        <v>7.5240027557785139</v>
      </c>
      <c r="F320" s="20">
        <f>Comparison!$B$10+(C320-Comparison!$B$10)*Comparison!$B$7</f>
        <v>40.007757426958975</v>
      </c>
      <c r="G320" s="20">
        <f>Comparison!$B$11+(D320-Comparison!$B$11)*Comparison!$B$7</f>
        <v>-37.169647505047394</v>
      </c>
    </row>
    <row r="321" spans="1:7">
      <c r="A321" s="18">
        <f>'Raw Data'!A321</f>
        <v>499</v>
      </c>
      <c r="B321" s="20">
        <f>'Raw Data'!C321</f>
        <v>10.641329643109898</v>
      </c>
      <c r="C321" s="20">
        <f>'Raw Data'!F321</f>
        <v>37.934944152832031</v>
      </c>
      <c r="D321" s="20">
        <f>'Raw Data'!G321</f>
        <v>-37.389236450195313</v>
      </c>
      <c r="E321" s="20">
        <f>'Raw Data'!H321</f>
        <v>7.5624889544774243</v>
      </c>
      <c r="F321" s="20">
        <f>Comparison!$B$10+(C321-Comparison!$B$10)*Comparison!$B$7</f>
        <v>38.979255056035406</v>
      </c>
      <c r="G321" s="20">
        <f>Comparison!$B$11+(D321-Comparison!$B$11)*Comparison!$B$7</f>
        <v>-37.220693532956069</v>
      </c>
    </row>
    <row r="322" spans="1:7">
      <c r="A322" s="18">
        <f>'Raw Data'!A322</f>
        <v>500</v>
      </c>
      <c r="B322" s="20">
        <f>'Raw Data'!C322</f>
        <v>10.674679001112121</v>
      </c>
      <c r="C322" s="20">
        <f>'Raw Data'!F322</f>
        <v>36.672355651855469</v>
      </c>
      <c r="D322" s="20">
        <f>'Raw Data'!G322</f>
        <v>-37.302623748779297</v>
      </c>
      <c r="E322" s="20">
        <f>'Raw Data'!H322</f>
        <v>7.5556307967645031</v>
      </c>
      <c r="F322" s="20">
        <f>Comparison!$B$10+(C322-Comparison!$B$10)*Comparison!$B$7</f>
        <v>37.643031209371976</v>
      </c>
      <c r="G322" s="20">
        <f>Comparison!$B$11+(D322-Comparison!$B$11)*Comparison!$B$7</f>
        <v>-37.129029497550626</v>
      </c>
    </row>
    <row r="323" spans="1:7">
      <c r="A323" s="18">
        <f>'Raw Data'!A323</f>
        <v>501</v>
      </c>
      <c r="B323" s="20">
        <f>'Raw Data'!C323</f>
        <v>10.708028359114348</v>
      </c>
      <c r="C323" s="20">
        <f>'Raw Data'!F323</f>
        <v>36.032581329345703</v>
      </c>
      <c r="D323" s="20">
        <f>'Raw Data'!G323</f>
        <v>-37.445087432861328</v>
      </c>
      <c r="E323" s="20">
        <f>'Raw Data'!H323</f>
        <v>7.5115903149549048</v>
      </c>
      <c r="F323" s="20">
        <f>Comparison!$B$10+(C323-Comparison!$B$10)*Comparison!$B$7</f>
        <v>36.965944648264163</v>
      </c>
      <c r="G323" s="20">
        <f>Comparison!$B$11+(D323-Comparison!$B$11)*Comparison!$B$7</f>
        <v>-37.279801797319472</v>
      </c>
    </row>
    <row r="324" spans="1:7">
      <c r="A324" s="18">
        <f>'Raw Data'!A324</f>
        <v>502</v>
      </c>
      <c r="B324" s="20">
        <f>'Raw Data'!C324</f>
        <v>10.741377717116571</v>
      </c>
      <c r="C324" s="20">
        <f>'Raw Data'!F324</f>
        <v>35.255481719970703</v>
      </c>
      <c r="D324" s="20">
        <f>'Raw Data'!G324</f>
        <v>-37.532402038574219</v>
      </c>
      <c r="E324" s="20">
        <f>'Raw Data'!H324</f>
        <v>7.517109485659085</v>
      </c>
      <c r="F324" s="20">
        <f>Comparison!$B$10+(C324-Comparison!$B$10)*Comparison!$B$7</f>
        <v>36.143523860749809</v>
      </c>
      <c r="G324" s="20">
        <f>Comparison!$B$11+(D324-Comparison!$B$11)*Comparison!$B$7</f>
        <v>-37.372208672738772</v>
      </c>
    </row>
    <row r="325" spans="1:7">
      <c r="A325" s="18">
        <f>'Raw Data'!A325</f>
        <v>503</v>
      </c>
      <c r="B325" s="20">
        <f>'Raw Data'!C325</f>
        <v>10.774727075118797</v>
      </c>
      <c r="C325" s="20">
        <f>'Raw Data'!F325</f>
        <v>33.962997436523438</v>
      </c>
      <c r="D325" s="20">
        <f>'Raw Data'!G325</f>
        <v>-37.468841552734375</v>
      </c>
      <c r="E325" s="20">
        <f>'Raw Data'!H325</f>
        <v>7.4853186806796854</v>
      </c>
      <c r="F325" s="20">
        <f>Comparison!$B$10+(C325-Comparison!$B$10)*Comparison!$B$7</f>
        <v>34.775660681539698</v>
      </c>
      <c r="G325" s="20">
        <f>Comparison!$B$11+(D325-Comparison!$B$11)*Comparison!$B$7</f>
        <v>-37.304941279744916</v>
      </c>
    </row>
    <row r="326" spans="1:7">
      <c r="A326" s="18">
        <f>'Raw Data'!A326</f>
        <v>504</v>
      </c>
      <c r="B326" s="20">
        <f>'Raw Data'!C326</f>
        <v>10.80807643312102</v>
      </c>
      <c r="C326" s="20">
        <f>'Raw Data'!F326</f>
        <v>33.196697235107422</v>
      </c>
      <c r="D326" s="20">
        <f>'Raw Data'!G326</f>
        <v>-37.550640106201172</v>
      </c>
      <c r="E326" s="20">
        <f>'Raw Data'!H326</f>
        <v>7.5391457644770172</v>
      </c>
      <c r="F326" s="20">
        <f>Comparison!$B$10+(C326-Comparison!$B$10)*Comparison!$B$7</f>
        <v>33.964669133586355</v>
      </c>
      <c r="G326" s="20">
        <f>Comparison!$B$11+(D326-Comparison!$B$11)*Comparison!$B$7</f>
        <v>-37.391510401577058</v>
      </c>
    </row>
    <row r="327" spans="1:7">
      <c r="A327" s="18">
        <f>'Raw Data'!A327</f>
        <v>505</v>
      </c>
      <c r="B327" s="20">
        <f>'Raw Data'!C327</f>
        <v>10.841425791123243</v>
      </c>
      <c r="C327" s="20">
        <f>'Raw Data'!F327</f>
        <v>32.381675720214844</v>
      </c>
      <c r="D327" s="20">
        <f>'Raw Data'!G327</f>
        <v>-37.72222900390625</v>
      </c>
      <c r="E327" s="20">
        <f>'Raw Data'!H327</f>
        <v>7.5060670860353254</v>
      </c>
      <c r="F327" s="20">
        <f>Comparison!$B$10+(C327-Comparison!$B$10)*Comparison!$B$7</f>
        <v>33.10211479945383</v>
      </c>
      <c r="G327" s="20">
        <f>Comparison!$B$11+(D327-Comparison!$B$11)*Comparison!$B$7</f>
        <v>-37.57310652474694</v>
      </c>
    </row>
    <row r="328" spans="1:7">
      <c r="A328" s="18">
        <f>'Raw Data'!A328</f>
        <v>506</v>
      </c>
      <c r="B328" s="20">
        <f>'Raw Data'!C328</f>
        <v>10.874775149125469</v>
      </c>
      <c r="C328" s="20">
        <f>'Raw Data'!F328</f>
        <v>31.292770385742188</v>
      </c>
      <c r="D328" s="20">
        <f>'Raw Data'!G328</f>
        <v>-37.594127655029297</v>
      </c>
      <c r="E328" s="20">
        <f>'Raw Data'!H328</f>
        <v>7.5528857900265809</v>
      </c>
      <c r="F328" s="20">
        <f>Comparison!$B$10+(C328-Comparison!$B$10)*Comparison!$B$7</f>
        <v>31.94970348447989</v>
      </c>
      <c r="G328" s="20">
        <f>Comparison!$B$11+(D328-Comparison!$B$11)*Comparison!$B$7</f>
        <v>-37.437534185044228</v>
      </c>
    </row>
    <row r="329" spans="1:7">
      <c r="A329" s="18">
        <f>'Raw Data'!A329</f>
        <v>507</v>
      </c>
      <c r="B329" s="20">
        <f>'Raw Data'!C329</f>
        <v>10.908124507127692</v>
      </c>
      <c r="C329" s="20">
        <f>'Raw Data'!F329</f>
        <v>30.978887557983398</v>
      </c>
      <c r="D329" s="20">
        <f>'Raw Data'!G329</f>
        <v>-37.699699401855469</v>
      </c>
      <c r="E329" s="20">
        <f>'Raw Data'!H329</f>
        <v>7.5184886452864435</v>
      </c>
      <c r="F329" s="20">
        <f>Comparison!$B$10+(C329-Comparison!$B$10)*Comparison!$B$7</f>
        <v>31.617514715783642</v>
      </c>
      <c r="G329" s="20">
        <f>Comparison!$B$11+(D329-Comparison!$B$11)*Comparison!$B$7</f>
        <v>-37.549262975171757</v>
      </c>
    </row>
    <row r="330" spans="1:7">
      <c r="A330" s="18">
        <f>'Raw Data'!A330</f>
        <v>508</v>
      </c>
      <c r="B330" s="20">
        <f>'Raw Data'!C330</f>
        <v>10.941473865129918</v>
      </c>
      <c r="C330" s="20">
        <f>'Raw Data'!F330</f>
        <v>29.766166687011719</v>
      </c>
      <c r="D330" s="20">
        <f>'Raw Data'!G330</f>
        <v>-37.769359588623047</v>
      </c>
      <c r="E330" s="20">
        <f>'Raw Data'!H330</f>
        <v>7.5432704000173461</v>
      </c>
      <c r="F330" s="20">
        <f>Comparison!$B$10+(C330-Comparison!$B$10)*Comparison!$B$7</f>
        <v>30.334066826082889</v>
      </c>
      <c r="G330" s="20">
        <f>Comparison!$B$11+(D330-Comparison!$B$11)*Comparison!$B$7</f>
        <v>-37.622985809372985</v>
      </c>
    </row>
    <row r="331" spans="1:7">
      <c r="A331" s="18">
        <f>'Raw Data'!A331</f>
        <v>509</v>
      </c>
      <c r="B331" s="20">
        <f>'Raw Data'!C331</f>
        <v>10.974823223132141</v>
      </c>
      <c r="C331" s="20">
        <f>'Raw Data'!F331</f>
        <v>29.149240493774414</v>
      </c>
      <c r="D331" s="20">
        <f>'Raw Data'!G331</f>
        <v>-37.854301452636719</v>
      </c>
      <c r="E331" s="20">
        <f>'Raw Data'!H331</f>
        <v>7.4991573293594787</v>
      </c>
      <c r="F331" s="20">
        <f>Comparison!$B$10+(C331-Comparison!$B$10)*Comparison!$B$7</f>
        <v>29.681160918578289</v>
      </c>
      <c r="G331" s="20">
        <f>Comparison!$B$11+(D331-Comparison!$B$11)*Comparison!$B$7</f>
        <v>-37.712881562571532</v>
      </c>
    </row>
    <row r="332" spans="1:7">
      <c r="A332" s="18">
        <f>'Raw Data'!A332</f>
        <v>510</v>
      </c>
      <c r="B332" s="20">
        <f>'Raw Data'!C332</f>
        <v>11.008172581134364</v>
      </c>
      <c r="C332" s="20">
        <f>'Raw Data'!F332</f>
        <v>28.318811416625977</v>
      </c>
      <c r="D332" s="20">
        <f>'Raw Data'!G332</f>
        <v>-37.861492156982422</v>
      </c>
      <c r="E332" s="20">
        <f>'Raw Data'!H332</f>
        <v>7.5994160574552083</v>
      </c>
      <c r="F332" s="20">
        <f>Comparison!$B$10+(C332-Comparison!$B$10)*Comparison!$B$7</f>
        <v>28.80230043870683</v>
      </c>
      <c r="G332" s="20">
        <f>Comparison!$B$11+(D332-Comparison!$B$11)*Comparison!$B$7</f>
        <v>-37.720491635539567</v>
      </c>
    </row>
    <row r="333" spans="1:7">
      <c r="A333" s="18">
        <f>'Raw Data'!A333</f>
        <v>511</v>
      </c>
      <c r="B333" s="20">
        <f>'Raw Data'!C333</f>
        <v>11.04152193913659</v>
      </c>
      <c r="C333" s="20">
        <f>'Raw Data'!F333</f>
        <v>27.077863693237305</v>
      </c>
      <c r="D333" s="20">
        <f>'Raw Data'!G333</f>
        <v>-37.8604736328125</v>
      </c>
      <c r="E333" s="20">
        <f>'Raw Data'!H333</f>
        <v>7.4783897532661019</v>
      </c>
      <c r="F333" s="20">
        <f>Comparison!$B$10+(C333-Comparison!$B$10)*Comparison!$B$7</f>
        <v>27.488979480079298</v>
      </c>
      <c r="G333" s="20">
        <f>Comparison!$B$11+(D333-Comparison!$B$11)*Comparison!$B$7</f>
        <v>-37.719413710084673</v>
      </c>
    </row>
    <row r="334" spans="1:7">
      <c r="A334" s="18">
        <f>'Raw Data'!A334</f>
        <v>512</v>
      </c>
      <c r="B334" s="20">
        <f>'Raw Data'!C334</f>
        <v>11.074871297138813</v>
      </c>
      <c r="C334" s="20">
        <f>'Raw Data'!F334</f>
        <v>25.891489028930664</v>
      </c>
      <c r="D334" s="20">
        <f>'Raw Data'!G334</f>
        <v>-37.800098419189453</v>
      </c>
      <c r="E334" s="20">
        <f>'Raw Data'!H334</f>
        <v>7.4963916433611733</v>
      </c>
      <c r="F334" s="20">
        <f>Comparison!$B$10+(C334-Comparison!$B$10)*Comparison!$B$7</f>
        <v>26.233414332529073</v>
      </c>
      <c r="G334" s="20">
        <f>Comparison!$B$11+(D334-Comparison!$B$11)*Comparison!$B$7</f>
        <v>-37.655517357371089</v>
      </c>
    </row>
    <row r="335" spans="1:7">
      <c r="A335" s="18">
        <f>'Raw Data'!A335</f>
        <v>513</v>
      </c>
      <c r="B335" s="20">
        <f>'Raw Data'!C335</f>
        <v>11.108220655141036</v>
      </c>
      <c r="C335" s="20">
        <f>'Raw Data'!F335</f>
        <v>24.90650749206543</v>
      </c>
      <c r="D335" s="20">
        <f>'Raw Data'!G335</f>
        <v>-37.752849578857422</v>
      </c>
      <c r="E335" s="20">
        <f>'Raw Data'!H335</f>
        <v>7.5405208936748602</v>
      </c>
      <c r="F335" s="20">
        <f>Comparison!$B$10+(C335-Comparison!$B$10)*Comparison!$B$7</f>
        <v>25.190987748519692</v>
      </c>
      <c r="G335" s="20">
        <f>Comparison!$B$11+(D335-Comparison!$B$11)*Comparison!$B$7</f>
        <v>-37.605512920351416</v>
      </c>
    </row>
    <row r="336" spans="1:7">
      <c r="A336" s="18">
        <f>'Raw Data'!A336</f>
        <v>514</v>
      </c>
      <c r="B336" s="20">
        <f>'Raw Data'!C336</f>
        <v>11.141570013143262</v>
      </c>
      <c r="C336" s="20">
        <f>'Raw Data'!F336</f>
        <v>23.483959197998047</v>
      </c>
      <c r="D336" s="20">
        <f>'Raw Data'!G336</f>
        <v>-37.71551513671875</v>
      </c>
      <c r="E336" s="20">
        <f>'Raw Data'!H336</f>
        <v>7.5583748065868592</v>
      </c>
      <c r="F336" s="20">
        <f>Comparison!$B$10+(C336-Comparison!$B$10)*Comparison!$B$7</f>
        <v>23.685475103589859</v>
      </c>
      <c r="G336" s="20">
        <f>Comparison!$B$11+(D336-Comparison!$B$11)*Comparison!$B$7</f>
        <v>-37.566001098527451</v>
      </c>
    </row>
    <row r="337" spans="1:7">
      <c r="A337" s="18">
        <f>'Raw Data'!A337</f>
        <v>515</v>
      </c>
      <c r="B337" s="20">
        <f>'Raw Data'!C337</f>
        <v>11.174919371145485</v>
      </c>
      <c r="C337" s="20">
        <f>'Raw Data'!F337</f>
        <v>22.540464401245117</v>
      </c>
      <c r="D337" s="20">
        <f>'Raw Data'!G337</f>
        <v>-37.732475280761719</v>
      </c>
      <c r="E337" s="20">
        <f>'Raw Data'!H337</f>
        <v>7.5115903149549048</v>
      </c>
      <c r="F337" s="20">
        <f>Comparison!$B$10+(C337-Comparison!$B$10)*Comparison!$B$7</f>
        <v>22.686954805290757</v>
      </c>
      <c r="G337" s="20">
        <f>Comparison!$B$11+(D337-Comparison!$B$11)*Comparison!$B$7</f>
        <v>-37.583950374079649</v>
      </c>
    </row>
    <row r="338" spans="1:7">
      <c r="A338" s="18">
        <f>'Raw Data'!A338</f>
        <v>516</v>
      </c>
      <c r="B338" s="20">
        <f>'Raw Data'!C338</f>
        <v>11.208268729147711</v>
      </c>
      <c r="C338" s="20">
        <f>'Raw Data'!F338</f>
        <v>22.027406692504883</v>
      </c>
      <c r="D338" s="20">
        <f>'Raw Data'!G338</f>
        <v>-37.891422271728516</v>
      </c>
      <c r="E338" s="20">
        <f>'Raw Data'!H338</f>
        <v>7.5556307967645031</v>
      </c>
      <c r="F338" s="20">
        <f>Comparison!$B$10+(C338-Comparison!$B$10)*Comparison!$B$7</f>
        <v>22.143975089727888</v>
      </c>
      <c r="G338" s="20">
        <f>Comparison!$B$11+(D338-Comparison!$B$11)*Comparison!$B$7</f>
        <v>-37.75216730265214</v>
      </c>
    </row>
    <row r="339" spans="1:7">
      <c r="A339" s="18">
        <f>'Raw Data'!A339</f>
        <v>517</v>
      </c>
      <c r="B339" s="20">
        <f>'Raw Data'!C339</f>
        <v>11.241618087149934</v>
      </c>
      <c r="C339" s="20">
        <f>'Raw Data'!F339</f>
        <v>21.246002197265625</v>
      </c>
      <c r="D339" s="20">
        <f>'Raw Data'!G339</f>
        <v>-37.953144073486328</v>
      </c>
      <c r="E339" s="20">
        <f>'Raw Data'!H339</f>
        <v>7.5556307967645031</v>
      </c>
      <c r="F339" s="20">
        <f>Comparison!$B$10+(C339-Comparison!$B$10)*Comparison!$B$7</f>
        <v>21.316998351367683</v>
      </c>
      <c r="G339" s="20">
        <f>Comparison!$B$11+(D339-Comparison!$B$11)*Comparison!$B$7</f>
        <v>-37.817488777783616</v>
      </c>
    </row>
    <row r="340" spans="1:7">
      <c r="A340" s="18">
        <f>'Raw Data'!A340</f>
        <v>518</v>
      </c>
      <c r="B340" s="20">
        <f>'Raw Data'!C340</f>
        <v>11.274967445152157</v>
      </c>
      <c r="C340" s="20">
        <f>'Raw Data'!F340</f>
        <v>20.371250152587891</v>
      </c>
      <c r="D340" s="20">
        <f>'Raw Data'!G340</f>
        <v>-37.977481842041016</v>
      </c>
      <c r="E340" s="20">
        <f>'Raw Data'!H340</f>
        <v>7.5446447774360612</v>
      </c>
      <c r="F340" s="20">
        <f>Comparison!$B$10+(C340-Comparison!$B$10)*Comparison!$B$7</f>
        <v>20.391229946925609</v>
      </c>
      <c r="G340" s="20">
        <f>Comparison!$B$11+(D340-Comparison!$B$11)*Comparison!$B$7</f>
        <v>-37.843245947829274</v>
      </c>
    </row>
    <row r="341" spans="1:7">
      <c r="A341" s="18">
        <f>'Raw Data'!A341</f>
        <v>519</v>
      </c>
      <c r="B341" s="20">
        <f>'Raw Data'!C341</f>
        <v>11.308316803154383</v>
      </c>
      <c r="C341" s="20">
        <f>'Raw Data'!F341</f>
        <v>18.787454605102539</v>
      </c>
      <c r="D341" s="20">
        <f>'Raw Data'!G341</f>
        <v>-37.951171875</v>
      </c>
      <c r="E341" s="20">
        <f>'Raw Data'!H341</f>
        <v>7.5597464379939563</v>
      </c>
      <c r="F341" s="20">
        <f>Comparison!$B$10+(C341-Comparison!$B$10)*Comparison!$B$7</f>
        <v>18.715065957508305</v>
      </c>
      <c r="G341" s="20">
        <f>Comparison!$B$11+(D341-Comparison!$B$11)*Comparison!$B$7</f>
        <v>-37.815401558831638</v>
      </c>
    </row>
    <row r="342" spans="1:7">
      <c r="A342" s="18">
        <f>'Raw Data'!A342</f>
        <v>520</v>
      </c>
      <c r="B342" s="20">
        <f>'Raw Data'!C342</f>
        <v>11.341666161156606</v>
      </c>
      <c r="C342" s="20">
        <f>'Raw Data'!F342</f>
        <v>18.223684310913086</v>
      </c>
      <c r="D342" s="20">
        <f>'Raw Data'!G342</f>
        <v>-37.957439422607422</v>
      </c>
      <c r="E342" s="20">
        <f>'Raw Data'!H342</f>
        <v>7.501921995749937</v>
      </c>
      <c r="F342" s="20">
        <f>Comparison!$B$10+(C342-Comparison!$B$10)*Comparison!$B$7</f>
        <v>18.118416050944337</v>
      </c>
      <c r="G342" s="20">
        <f>Comparison!$B$11+(D342-Comparison!$B$11)*Comparison!$B$7</f>
        <v>-37.822034635694493</v>
      </c>
    </row>
    <row r="343" spans="1:7">
      <c r="A343" s="18">
        <f>'Raw Data'!A343</f>
        <v>521</v>
      </c>
      <c r="B343" s="20">
        <f>'Raw Data'!C343</f>
        <v>11.375015519158833</v>
      </c>
      <c r="C343" s="20">
        <f>'Raw Data'!F343</f>
        <v>18.217403411865234</v>
      </c>
      <c r="D343" s="20">
        <f>'Raw Data'!G343</f>
        <v>-37.958244323730469</v>
      </c>
      <c r="E343" s="20">
        <f>'Raw Data'!H343</f>
        <v>7.5033039469444454</v>
      </c>
      <c r="F343" s="20">
        <f>Comparison!$B$10+(C343-Comparison!$B$10)*Comparison!$B$7</f>
        <v>18.111768843972524</v>
      </c>
      <c r="G343" s="20">
        <f>Comparison!$B$11+(D343-Comparison!$B$11)*Comparison!$B$7</f>
        <v>-37.822886479406037</v>
      </c>
    </row>
    <row r="344" spans="1:7">
      <c r="A344" s="18">
        <f>'Raw Data'!A344</f>
        <v>522</v>
      </c>
      <c r="B344" s="20">
        <f>'Raw Data'!C344</f>
        <v>11.408364877161056</v>
      </c>
      <c r="C344" s="20">
        <f>'Raw Data'!F344</f>
        <v>16.912450790405273</v>
      </c>
      <c r="D344" s="20">
        <f>'Raw Data'!G344</f>
        <v>-37.967700958251953</v>
      </c>
      <c r="E344" s="20">
        <f>'Raw Data'!H344</f>
        <v>7.5405208936748602</v>
      </c>
      <c r="F344" s="20">
        <f>Comparison!$B$10+(C344-Comparison!$B$10)*Comparison!$B$7</f>
        <v>16.730710161581491</v>
      </c>
      <c r="G344" s="20">
        <f>Comparison!$B$11+(D344-Comparison!$B$11)*Comparison!$B$7</f>
        <v>-37.83289463372315</v>
      </c>
    </row>
    <row r="345" spans="1:7">
      <c r="A345" s="18">
        <f>'Raw Data'!A345</f>
        <v>523</v>
      </c>
      <c r="B345" s="20">
        <f>'Raw Data'!C345</f>
        <v>11.441714235163278</v>
      </c>
      <c r="C345" s="20">
        <f>'Raw Data'!F345</f>
        <v>15.590780258178711</v>
      </c>
      <c r="D345" s="20">
        <f>'Raw Data'!G345</f>
        <v>-38.018444061279297</v>
      </c>
      <c r="E345" s="20">
        <f>'Raw Data'!H345</f>
        <v>7.5143504070248861</v>
      </c>
      <c r="F345" s="20">
        <f>Comparison!$B$10+(C345-Comparison!$B$10)*Comparison!$B$7</f>
        <v>15.331958564186527</v>
      </c>
      <c r="G345" s="20">
        <f>Comparison!$B$11+(D345-Comparison!$B$11)*Comparison!$B$7</f>
        <v>-37.886597122116157</v>
      </c>
    </row>
    <row r="346" spans="1:7">
      <c r="A346" s="18">
        <f>'Raw Data'!A346</f>
        <v>524</v>
      </c>
      <c r="B346" s="20">
        <f>'Raw Data'!C346</f>
        <v>11.475063593165505</v>
      </c>
      <c r="C346" s="20">
        <f>'Raw Data'!F346</f>
        <v>14.816001892089844</v>
      </c>
      <c r="D346" s="20">
        <f>'Raw Data'!G346</f>
        <v>-38.059238433837891</v>
      </c>
      <c r="E346" s="20">
        <f>'Raw Data'!H346</f>
        <v>7.5405208936748602</v>
      </c>
      <c r="F346" s="20">
        <f>Comparison!$B$10+(C346-Comparison!$B$10)*Comparison!$B$7</f>
        <v>14.511994397044084</v>
      </c>
      <c r="G346" s="20">
        <f>Comparison!$B$11+(D346-Comparison!$B$11)*Comparison!$B$7</f>
        <v>-37.92977066074755</v>
      </c>
    </row>
    <row r="347" spans="1:7">
      <c r="A347" s="18">
        <f>'Raw Data'!A347</f>
        <v>525</v>
      </c>
      <c r="B347" s="20">
        <f>'Raw Data'!C347</f>
        <v>11.508412951167728</v>
      </c>
      <c r="C347" s="20">
        <f>'Raw Data'!F347</f>
        <v>14.585517883300781</v>
      </c>
      <c r="D347" s="20">
        <f>'Raw Data'!G347</f>
        <v>-38.090217590332031</v>
      </c>
      <c r="E347" s="20">
        <f>'Raw Data'!H347</f>
        <v>7.5583748065868592</v>
      </c>
      <c r="F347" s="20">
        <f>Comparison!$B$10+(C347-Comparison!$B$10)*Comparison!$B$7</f>
        <v>14.268068344668094</v>
      </c>
      <c r="G347" s="20">
        <f>Comparison!$B$11+(D347-Comparison!$B$11)*Comparison!$B$7</f>
        <v>-37.962556550706921</v>
      </c>
    </row>
    <row r="348" spans="1:7">
      <c r="A348" s="18">
        <f>'Raw Data'!A348</f>
        <v>526</v>
      </c>
      <c r="B348" s="20">
        <f>'Raw Data'!C348</f>
        <v>11.541762309169954</v>
      </c>
      <c r="C348" s="20">
        <f>'Raw Data'!F348</f>
        <v>13.331327438354492</v>
      </c>
      <c r="D348" s="20">
        <f>'Raw Data'!G348</f>
        <v>-38.180686950683594</v>
      </c>
      <c r="E348" s="20">
        <f>'Raw Data'!H348</f>
        <v>7.5157300729516914</v>
      </c>
      <c r="F348" s="20">
        <f>Comparison!$B$10+(C348-Comparison!$B$10)*Comparison!$B$7</f>
        <v>12.940732336540012</v>
      </c>
      <c r="G348" s="20">
        <f>Comparison!$B$11+(D348-Comparison!$B$11)*Comparison!$B$7</f>
        <v>-38.058302169014588</v>
      </c>
    </row>
    <row r="349" spans="1:7">
      <c r="A349" s="18">
        <f>'Raw Data'!A349</f>
        <v>527</v>
      </c>
      <c r="B349" s="20">
        <f>'Raw Data'!C349</f>
        <v>11.575111667172177</v>
      </c>
      <c r="C349" s="20">
        <f>'Raw Data'!F349</f>
        <v>12.499037742614746</v>
      </c>
      <c r="D349" s="20">
        <f>'Raw Data'!G349</f>
        <v>-38.250190734863281</v>
      </c>
      <c r="E349" s="20">
        <f>'Raw Data'!H349</f>
        <v>7.5322663527290965</v>
      </c>
      <c r="F349" s="20">
        <f>Comparison!$B$10+(C349-Comparison!$B$10)*Comparison!$B$7</f>
        <v>12.059902725055737</v>
      </c>
      <c r="G349" s="20">
        <f>Comparison!$B$11+(D349-Comparison!$B$11)*Comparison!$B$7</f>
        <v>-38.131859479082287</v>
      </c>
    </row>
    <row r="350" spans="1:7">
      <c r="A350" s="18">
        <f>'Raw Data'!A350</f>
        <v>528</v>
      </c>
      <c r="B350" s="20">
        <f>'Raw Data'!C350</f>
        <v>11.6084610251744</v>
      </c>
      <c r="C350" s="20">
        <f>'Raw Data'!F350</f>
        <v>12.104293823242188</v>
      </c>
      <c r="D350" s="20">
        <f>'Raw Data'!G350</f>
        <v>-38.237258911132813</v>
      </c>
      <c r="E350" s="20">
        <f>'Raw Data'!H350</f>
        <v>7.5953219118456046</v>
      </c>
      <c r="F350" s="20">
        <f>Comparison!$B$10+(C350-Comparison!$B$10)*Comparison!$B$7</f>
        <v>11.642136970034981</v>
      </c>
      <c r="G350" s="20">
        <f>Comparison!$B$11+(D350-Comparison!$B$11)*Comparison!$B$7</f>
        <v>-38.11817345926179</v>
      </c>
    </row>
    <row r="351" spans="1:7">
      <c r="A351" s="18">
        <f>'Raw Data'!A351</f>
        <v>529</v>
      </c>
      <c r="B351" s="20">
        <f>'Raw Data'!C351</f>
        <v>11.641810383176626</v>
      </c>
      <c r="C351" s="20">
        <f>'Raw Data'!F351</f>
        <v>11.150373458862305</v>
      </c>
      <c r="D351" s="20">
        <f>'Raw Data'!G351</f>
        <v>-38.316642761230469</v>
      </c>
      <c r="E351" s="20">
        <f>'Raw Data'!H351</f>
        <v>7.5583748065868592</v>
      </c>
      <c r="F351" s="20">
        <f>Comparison!$B$10+(C351-Comparison!$B$10)*Comparison!$B$7</f>
        <v>10.632583075225725</v>
      </c>
      <c r="G351" s="20">
        <f>Comparison!$B$11+(D351-Comparison!$B$11)*Comparison!$B$7</f>
        <v>-38.202187049959306</v>
      </c>
    </row>
    <row r="352" spans="1:7">
      <c r="A352" s="18">
        <f>'Raw Data'!A352</f>
        <v>530</v>
      </c>
      <c r="B352" s="20">
        <f>'Raw Data'!C352</f>
        <v>11.675159741178849</v>
      </c>
      <c r="C352" s="20">
        <f>'Raw Data'!F352</f>
        <v>10.078472137451172</v>
      </c>
      <c r="D352" s="20">
        <f>'Raw Data'!G352</f>
        <v>-38.170719146728516</v>
      </c>
      <c r="E352" s="20">
        <f>'Raw Data'!H352</f>
        <v>7.5226246070801173</v>
      </c>
      <c r="F352" s="20">
        <f>Comparison!$B$10+(C352-Comparison!$B$10)*Comparison!$B$7</f>
        <v>9.4981674633048403</v>
      </c>
      <c r="G352" s="20">
        <f>Comparison!$B$11+(D352-Comparison!$B$11)*Comparison!$B$7</f>
        <v>-38.047753033383032</v>
      </c>
    </row>
    <row r="353" spans="1:7">
      <c r="A353" s="18">
        <f>'Raw Data'!A353</f>
        <v>531</v>
      </c>
      <c r="B353" s="20">
        <f>'Raw Data'!C353</f>
        <v>11.708509099181075</v>
      </c>
      <c r="C353" s="20">
        <f>'Raw Data'!F353</f>
        <v>9.6707353591918945</v>
      </c>
      <c r="D353" s="20">
        <f>'Raw Data'!G353</f>
        <v>-38.066261291503906</v>
      </c>
      <c r="E353" s="20">
        <f>'Raw Data'!H353</f>
        <v>7.4672900963088642</v>
      </c>
      <c r="F353" s="20">
        <f>Comparison!$B$10+(C353-Comparison!$B$10)*Comparison!$B$7</f>
        <v>9.06665109367977</v>
      </c>
      <c r="G353" s="20">
        <f>Comparison!$B$11+(D353-Comparison!$B$11)*Comparison!$B$7</f>
        <v>-37.937203098060095</v>
      </c>
    </row>
    <row r="354" spans="1:7">
      <c r="A354" s="18">
        <f>'Raw Data'!A354</f>
        <v>532</v>
      </c>
      <c r="B354" s="20">
        <f>'Raw Data'!C354</f>
        <v>11.741858457183298</v>
      </c>
      <c r="C354" s="20">
        <f>'Raw Data'!F354</f>
        <v>7.8694620132446289</v>
      </c>
      <c r="D354" s="20">
        <f>'Raw Data'!G354</f>
        <v>-38.269111633300781</v>
      </c>
      <c r="E354" s="20">
        <f>'Raw Data'!H354</f>
        <v>7.6144090908866424</v>
      </c>
      <c r="F354" s="20">
        <f>Comparison!$B$10+(C354-Comparison!$B$10)*Comparison!$B$7</f>
        <v>7.16032579659975</v>
      </c>
      <c r="G354" s="20">
        <f>Comparison!$B$11+(D354-Comparison!$B$11)*Comparison!$B$7</f>
        <v>-38.151883862064494</v>
      </c>
    </row>
    <row r="355" spans="1:7">
      <c r="A355" s="18">
        <f>'Raw Data'!A355</f>
        <v>533</v>
      </c>
      <c r="B355" s="20">
        <f>'Raw Data'!C355</f>
        <v>11.775207815185521</v>
      </c>
      <c r="C355" s="20">
        <f>'Raw Data'!F355</f>
        <v>6.1033468246459961</v>
      </c>
      <c r="D355" s="20">
        <f>'Raw Data'!G355</f>
        <v>-38.437736511230469</v>
      </c>
      <c r="E355" s="20">
        <f>'Raw Data'!H355</f>
        <v>7.5308897162645749</v>
      </c>
      <c r="F355" s="20">
        <f>Comparison!$B$10+(C355-Comparison!$B$10)*Comparison!$B$7</f>
        <v>5.2912091135833386</v>
      </c>
      <c r="G355" s="20">
        <f>Comparison!$B$11+(D355-Comparison!$B$11)*Comparison!$B$7</f>
        <v>-38.330343101045429</v>
      </c>
    </row>
    <row r="356" spans="1:7">
      <c r="A356" s="18">
        <f>'Raw Data'!A356</f>
        <v>534</v>
      </c>
      <c r="B356" s="20">
        <f>'Raw Data'!C356</f>
        <v>11.808557173187747</v>
      </c>
      <c r="C356" s="20">
        <f>'Raw Data'!F356</f>
        <v>5.321314811706543</v>
      </c>
      <c r="D356" s="20">
        <f>'Raw Data'!G356</f>
        <v>-38.247520446777344</v>
      </c>
      <c r="E356" s="20">
        <f>'Raw Data'!H356</f>
        <v>7.5570029262222453</v>
      </c>
      <c r="F356" s="20">
        <f>Comparison!$B$10+(C356-Comparison!$B$10)*Comparison!$B$7</f>
        <v>4.4635682601020505</v>
      </c>
      <c r="G356" s="20">
        <f>Comparison!$B$11+(D356-Comparison!$B$11)*Comparison!$B$7</f>
        <v>-38.129033457290447</v>
      </c>
    </row>
    <row r="357" spans="1:7">
      <c r="A357" s="18">
        <f>'Raw Data'!A357</f>
        <v>535</v>
      </c>
      <c r="B357" s="20">
        <f>'Raw Data'!C357</f>
        <v>11.84190653118997</v>
      </c>
      <c r="C357" s="20">
        <f>'Raw Data'!F357</f>
        <v>4.8578896522521973</v>
      </c>
      <c r="D357" s="20">
        <f>'Raw Data'!G357</f>
        <v>-38.099037170410156</v>
      </c>
      <c r="E357" s="20">
        <f>'Raw Data'!H357</f>
        <v>7.4853186806796854</v>
      </c>
      <c r="F357" s="20">
        <f>Comparison!$B$10+(C357-Comparison!$B$10)*Comparison!$B$7</f>
        <v>3.9731157106548309</v>
      </c>
      <c r="G357" s="20">
        <f>Comparison!$B$11+(D357-Comparison!$B$11)*Comparison!$B$7</f>
        <v>-37.971890496967987</v>
      </c>
    </row>
    <row r="358" spans="1:7">
      <c r="A358" s="18">
        <f>'Raw Data'!A358</f>
        <v>536</v>
      </c>
      <c r="B358" s="20">
        <f>'Raw Data'!C358</f>
        <v>11.875255889192196</v>
      </c>
      <c r="C358" s="20">
        <f>'Raw Data'!F358</f>
        <v>4.3108325004577637</v>
      </c>
      <c r="D358" s="20">
        <f>'Raw Data'!G358</f>
        <v>-37.982723236083984</v>
      </c>
      <c r="E358" s="20">
        <f>'Raw Data'!H358</f>
        <v>7.5679710059073653</v>
      </c>
      <c r="F358" s="20">
        <f>Comparison!$B$10+(C358-Comparison!$B$10)*Comparison!$B$7</f>
        <v>3.3941536726273149</v>
      </c>
      <c r="G358" s="20">
        <f>Comparison!$B$11+(D358-Comparison!$B$11)*Comparison!$B$7</f>
        <v>-37.848793024889268</v>
      </c>
    </row>
    <row r="359" spans="1:7">
      <c r="A359" s="18">
        <f>'Raw Data'!A359</f>
        <v>537</v>
      </c>
      <c r="B359" s="20">
        <f>'Raw Data'!C359</f>
        <v>11.908605247194419</v>
      </c>
      <c r="C359" s="20">
        <f>'Raw Data'!F359</f>
        <v>3.6278460025787354</v>
      </c>
      <c r="D359" s="20">
        <f>'Raw Data'!G359</f>
        <v>-37.811897277832031</v>
      </c>
      <c r="E359" s="20">
        <f>'Raw Data'!H359</f>
        <v>7.5666008654044363</v>
      </c>
      <c r="F359" s="20">
        <f>Comparison!$B$10+(C359-Comparison!$B$10)*Comparison!$B$7</f>
        <v>2.6713347615496161</v>
      </c>
      <c r="G359" s="20">
        <f>Comparison!$B$11+(D359-Comparison!$B$11)*Comparison!$B$7</f>
        <v>-37.66800433651705</v>
      </c>
    </row>
    <row r="360" spans="1:7">
      <c r="A360" s="18">
        <f>'Raw Data'!A360</f>
        <v>538</v>
      </c>
      <c r="B360" s="20">
        <f>'Raw Data'!C360</f>
        <v>11.941954605196642</v>
      </c>
      <c r="C360" s="20">
        <f>'Raw Data'!F360</f>
        <v>3.085289478302002</v>
      </c>
      <c r="D360" s="20">
        <f>'Raw Data'!G360</f>
        <v>-37.719898223876953</v>
      </c>
      <c r="E360" s="20">
        <f>'Raw Data'!H360</f>
        <v>7.5102098885323407</v>
      </c>
      <c r="F360" s="20">
        <f>Comparison!$B$10+(C360-Comparison!$B$10)*Comparison!$B$7</f>
        <v>2.0971358318582283</v>
      </c>
      <c r="G360" s="20">
        <f>Comparison!$B$11+(D360-Comparison!$B$11)*Comparison!$B$7</f>
        <v>-37.57063981144006</v>
      </c>
    </row>
    <row r="361" spans="1:7">
      <c r="A361" s="18">
        <f>'Raw Data'!A361</f>
        <v>539</v>
      </c>
      <c r="B361" s="20">
        <f>'Raw Data'!C361</f>
        <v>11.975303963198868</v>
      </c>
      <c r="C361" s="20">
        <f>'Raw Data'!F361</f>
        <v>2.5917706489562988</v>
      </c>
      <c r="D361" s="20">
        <f>'Raw Data'!G361</f>
        <v>-37.551544189453125</v>
      </c>
      <c r="E361" s="20">
        <f>'Raw Data'!H361</f>
        <v>7.4770031972602533</v>
      </c>
      <c r="F361" s="20">
        <f>Comparison!$B$10+(C361-Comparison!$B$10)*Comparison!$B$7</f>
        <v>1.5748345214636785</v>
      </c>
      <c r="G361" s="20">
        <f>Comparison!$B$11+(D361-Comparison!$B$11)*Comparison!$B$7</f>
        <v>-37.392467211812303</v>
      </c>
    </row>
    <row r="362" spans="1:7">
      <c r="A362" s="18">
        <f>'Raw Data'!A362</f>
        <v>540</v>
      </c>
      <c r="B362" s="20">
        <f>'Raw Data'!C362</f>
        <v>12.008653321201091</v>
      </c>
      <c r="C362" s="20">
        <f>'Raw Data'!F362</f>
        <v>-0.31680154800415039</v>
      </c>
      <c r="D362" s="20">
        <f>'Raw Data'!G362</f>
        <v>-37.969974517822266</v>
      </c>
      <c r="E362" s="20">
        <f>'Raw Data'!H362</f>
        <v>7.7024085614745372</v>
      </c>
      <c r="F362" s="20">
        <f>Comparison!$B$10+(C362-Comparison!$B$10)*Comparison!$B$7</f>
        <v>-1.5033683342686039</v>
      </c>
      <c r="G362" s="20">
        <f>Comparison!$B$11+(D362-Comparison!$B$11)*Comparison!$B$7</f>
        <v>-37.835300789420209</v>
      </c>
    </row>
    <row r="363" spans="1:7">
      <c r="A363" s="18">
        <f>'Raw Data'!A363</f>
        <v>541</v>
      </c>
      <c r="B363" s="20">
        <f>'Raw Data'!C363</f>
        <v>12.042002679203318</v>
      </c>
      <c r="C363" s="20">
        <f>'Raw Data'!F363</f>
        <v>-1.4206362962722778</v>
      </c>
      <c r="D363" s="20">
        <f>'Raw Data'!G363</f>
        <v>-38.105430603027344</v>
      </c>
      <c r="E363" s="20">
        <f>'Raw Data'!H363</f>
        <v>7.5350188711300268</v>
      </c>
      <c r="F363" s="20">
        <f>Comparison!$B$10+(C363-Comparison!$B$10)*Comparison!$B$7</f>
        <v>-2.6715797604543852</v>
      </c>
      <c r="G363" s="20">
        <f>Comparison!$B$11+(D363-Comparison!$B$11)*Comparison!$B$7</f>
        <v>-37.978656800572459</v>
      </c>
    </row>
    <row r="364" spans="1:7">
      <c r="A364" s="18">
        <f>'Raw Data'!A364</f>
        <v>542</v>
      </c>
      <c r="B364" s="20">
        <f>'Raw Data'!C364</f>
        <v>12.075352037205541</v>
      </c>
      <c r="C364" s="20">
        <f>'Raw Data'!F364</f>
        <v>-2.1783170700073242</v>
      </c>
      <c r="D364" s="20">
        <f>'Raw Data'!G364</f>
        <v>-37.970848083496094</v>
      </c>
      <c r="E364" s="20">
        <f>'Raw Data'!H364</f>
        <v>7.5363947533420124</v>
      </c>
      <c r="F364" s="20">
        <f>Comparison!$B$10+(C364-Comparison!$B$10)*Comparison!$B$7</f>
        <v>-3.4734491876193658</v>
      </c>
      <c r="G364" s="20">
        <f>Comparison!$B$11+(D364-Comparison!$B$11)*Comparison!$B$7</f>
        <v>-37.836225302263536</v>
      </c>
    </row>
    <row r="365" spans="1:7">
      <c r="A365" s="18">
        <f>'Raw Data'!A365</f>
        <v>543</v>
      </c>
      <c r="B365" s="20">
        <f>'Raw Data'!C365</f>
        <v>12.108701395207763</v>
      </c>
      <c r="C365" s="20">
        <f>'Raw Data'!F365</f>
        <v>-3.1565511226654053</v>
      </c>
      <c r="D365" s="20">
        <f>'Raw Data'!G365</f>
        <v>-37.905017852783203</v>
      </c>
      <c r="E365" s="20">
        <f>'Raw Data'!H365</f>
        <v>7.4963916433611733</v>
      </c>
      <c r="F365" s="20">
        <f>Comparison!$B$10+(C365-Comparison!$B$10)*Comparison!$B$7</f>
        <v>-4.5087347678134826</v>
      </c>
      <c r="G365" s="20">
        <f>Comparison!$B$11+(D365-Comparison!$B$11)*Comparison!$B$7</f>
        <v>-37.766555790746615</v>
      </c>
    </row>
    <row r="366" spans="1:7">
      <c r="A366" s="18">
        <f>'Raw Data'!A366</f>
        <v>544</v>
      </c>
      <c r="B366" s="20">
        <f>'Raw Data'!C366</f>
        <v>12.14205075320999</v>
      </c>
      <c r="C366" s="20">
        <f>'Raw Data'!F366</f>
        <v>-3.8383209705352783</v>
      </c>
      <c r="D366" s="20">
        <f>'Raw Data'!G366</f>
        <v>-37.835990905761719</v>
      </c>
      <c r="E366" s="20">
        <f>'Raw Data'!H366</f>
        <v>7.5446447774360612</v>
      </c>
      <c r="F366" s="20">
        <f>Comparison!$B$10+(C366-Comparison!$B$10)*Comparison!$B$7</f>
        <v>-5.2302660727122685</v>
      </c>
      <c r="G366" s="20">
        <f>Comparison!$B$11+(D366-Comparison!$B$11)*Comparison!$B$7</f>
        <v>-37.693503127427455</v>
      </c>
    </row>
    <row r="367" spans="1:7">
      <c r="A367" s="18">
        <f>'Raw Data'!A367</f>
        <v>545</v>
      </c>
      <c r="B367" s="20">
        <f>'Raw Data'!C367</f>
        <v>12.175400111212213</v>
      </c>
      <c r="C367" s="20">
        <f>'Raw Data'!F367</f>
        <v>-4.6018218994140625</v>
      </c>
      <c r="D367" s="20">
        <f>'Raw Data'!G367</f>
        <v>-37.783580780029297</v>
      </c>
      <c r="E367" s="20">
        <f>'Raw Data'!H367</f>
        <v>7.5295128281067525</v>
      </c>
      <c r="F367" s="20">
        <f>Comparison!$B$10+(C367-Comparison!$B$10)*Comparison!$B$7</f>
        <v>-6.0382950919282834</v>
      </c>
      <c r="G367" s="20">
        <f>Comparison!$B$11+(D367-Comparison!$B$11)*Comparison!$B$7</f>
        <v>-37.638036394001546</v>
      </c>
    </row>
    <row r="368" spans="1:7">
      <c r="A368" s="18">
        <f>'Raw Data'!A368</f>
        <v>546</v>
      </c>
      <c r="B368" s="20">
        <f>'Raw Data'!C368</f>
        <v>12.208749469214439</v>
      </c>
      <c r="C368" s="20">
        <f>'Raw Data'!F368</f>
        <v>-5.3072638511657715</v>
      </c>
      <c r="D368" s="20">
        <f>'Raw Data'!G368</f>
        <v>-37.6744384765625</v>
      </c>
      <c r="E368" s="20">
        <f>'Raw Data'!H368</f>
        <v>7.4825478796664937</v>
      </c>
      <c r="F368" s="20">
        <f>Comparison!$B$10+(C368-Comparison!$B$10)*Comparison!$B$7</f>
        <v>-6.7848790800117662</v>
      </c>
      <c r="G368" s="20">
        <f>Comparison!$B$11+(D368-Comparison!$B$11)*Comparison!$B$7</f>
        <v>-37.522528809020919</v>
      </c>
    </row>
    <row r="369" spans="1:7">
      <c r="A369" s="18">
        <f>'Raw Data'!A369</f>
        <v>547</v>
      </c>
      <c r="B369" s="20">
        <f>'Raw Data'!C369</f>
        <v>12.242098827216662</v>
      </c>
      <c r="C369" s="20">
        <f>'Raw Data'!F369</f>
        <v>-6.1579494476318359</v>
      </c>
      <c r="D369" s="20">
        <f>'Raw Data'!G369</f>
        <v>-37.633289337158203</v>
      </c>
      <c r="E369" s="20">
        <f>'Raw Data'!H369</f>
        <v>7.5226246070801173</v>
      </c>
      <c r="F369" s="20">
        <f>Comparison!$B$10+(C369-Comparison!$B$10)*Comparison!$B$7</f>
        <v>-7.6851774584081021</v>
      </c>
      <c r="G369" s="20">
        <f>Comparison!$B$11+(D369-Comparison!$B$11)*Comparison!$B$7</f>
        <v>-37.47897981320861</v>
      </c>
    </row>
    <row r="370" spans="1:7">
      <c r="A370" s="18">
        <f>'Raw Data'!A370</f>
        <v>548</v>
      </c>
      <c r="B370" s="20">
        <f>'Raw Data'!C370</f>
        <v>12.275448185218885</v>
      </c>
      <c r="C370" s="20">
        <f>'Raw Data'!F370</f>
        <v>-7.1471948623657227</v>
      </c>
      <c r="D370" s="20">
        <f>'Raw Data'!G370</f>
        <v>-37.605228424072266</v>
      </c>
      <c r="E370" s="20">
        <f>'Raw Data'!H370</f>
        <v>7.4783897532661019</v>
      </c>
      <c r="F370" s="20">
        <f>Comparison!$B$10+(C370-Comparison!$B$10)*Comparison!$B$7</f>
        <v>-8.7321165936429566</v>
      </c>
      <c r="G370" s="20">
        <f>Comparison!$B$11+(D370-Comparison!$B$11)*Comparison!$B$7</f>
        <v>-37.449282361350321</v>
      </c>
    </row>
    <row r="371" spans="1:7">
      <c r="A371" s="18">
        <f>'Raw Data'!A371</f>
        <v>549</v>
      </c>
      <c r="B371" s="20">
        <f>'Raw Data'!C371</f>
        <v>12.308797543221111</v>
      </c>
      <c r="C371" s="20">
        <f>'Raw Data'!F371</f>
        <v>-8.1294422149658203</v>
      </c>
      <c r="D371" s="20">
        <f>'Raw Data'!G371</f>
        <v>-37.587074279785156</v>
      </c>
      <c r="E371" s="20">
        <f>'Raw Data'!H371</f>
        <v>7.5336427376382975</v>
      </c>
      <c r="F371" s="20">
        <f>Comparison!$B$10+(C371-Comparison!$B$10)*Comparison!$B$7</f>
        <v>-9.7716495331961895</v>
      </c>
      <c r="G371" s="20">
        <f>Comparison!$B$11+(D371-Comparison!$B$11)*Comparison!$B$7</f>
        <v>-37.430069450339772</v>
      </c>
    </row>
    <row r="372" spans="1:7">
      <c r="A372" s="18">
        <f>'Raw Data'!A372</f>
        <v>550</v>
      </c>
      <c r="B372" s="20">
        <f>'Raw Data'!C372</f>
        <v>12.342146901223334</v>
      </c>
      <c r="C372" s="20">
        <f>'Raw Data'!F372</f>
        <v>-9.1785459518432617</v>
      </c>
      <c r="D372" s="20">
        <f>'Raw Data'!G372</f>
        <v>-37.569004058837891</v>
      </c>
      <c r="E372" s="20">
        <f>'Raw Data'!H372</f>
        <v>7.501921995749937</v>
      </c>
      <c r="F372" s="20">
        <f>Comparison!$B$10+(C372-Comparison!$B$10)*Comparison!$B$7</f>
        <v>-10.881937984069207</v>
      </c>
      <c r="G372" s="20">
        <f>Comparison!$B$11+(D372-Comparison!$B$11)*Comparison!$B$7</f>
        <v>-37.410945357156969</v>
      </c>
    </row>
    <row r="373" spans="1:7">
      <c r="A373" s="18">
        <f>'Raw Data'!A373</f>
        <v>551</v>
      </c>
      <c r="B373" s="20">
        <f>'Raw Data'!C373</f>
        <v>12.37549625922556</v>
      </c>
      <c r="C373" s="20">
        <f>'Raw Data'!F373</f>
        <v>-10.380486488342285</v>
      </c>
      <c r="D373" s="20">
        <f>'Raw Data'!G373</f>
        <v>-37.619972229003906</v>
      </c>
      <c r="E373" s="20">
        <f>'Raw Data'!H373</f>
        <v>7.4867036966376359</v>
      </c>
      <c r="F373" s="20">
        <f>Comparison!$B$10+(C373-Comparison!$B$10)*Comparison!$B$7</f>
        <v>-12.153976820078888</v>
      </c>
      <c r="G373" s="20">
        <f>Comparison!$B$11+(D373-Comparison!$B$11)*Comparison!$B$7</f>
        <v>-37.464886038815287</v>
      </c>
    </row>
    <row r="374" spans="1:7">
      <c r="A374" s="18">
        <f>'Raw Data'!A374</f>
        <v>552</v>
      </c>
      <c r="B374" s="20">
        <f>'Raw Data'!C374</f>
        <v>12.408845617227783</v>
      </c>
      <c r="C374" s="20">
        <f>'Raw Data'!F374</f>
        <v>-11.436962127685547</v>
      </c>
      <c r="D374" s="20">
        <f>'Raw Data'!G374</f>
        <v>-37.689998626708984</v>
      </c>
      <c r="E374" s="20">
        <f>'Raw Data'!H374</f>
        <v>7.6212143555311451</v>
      </c>
      <c r="F374" s="20">
        <f>Comparison!$B$10+(C374-Comparison!$B$10)*Comparison!$B$7</f>
        <v>-13.272067109684386</v>
      </c>
      <c r="G374" s="20">
        <f>Comparison!$B$11+(D374-Comparison!$B$11)*Comparison!$B$7</f>
        <v>-37.538996441719391</v>
      </c>
    </row>
    <row r="375" spans="1:7">
      <c r="A375" s="18">
        <f>'Raw Data'!A375</f>
        <v>553</v>
      </c>
      <c r="B375" s="20">
        <f>'Raw Data'!C375</f>
        <v>12.442194975230006</v>
      </c>
      <c r="C375" s="20">
        <f>'Raw Data'!F375</f>
        <v>-12.164111137390137</v>
      </c>
      <c r="D375" s="20">
        <f>'Raw Data'!G375</f>
        <v>-37.776840209960938</v>
      </c>
      <c r="E375" s="20">
        <f>'Raw Data'!H375</f>
        <v>7.5102098885323407</v>
      </c>
      <c r="F375" s="20">
        <f>Comparison!$B$10+(C375-Comparison!$B$10)*Comparison!$B$7</f>
        <v>-14.041624131701816</v>
      </c>
      <c r="G375" s="20">
        <f>Comparison!$B$11+(D375-Comparison!$B$11)*Comparison!$B$7</f>
        <v>-37.630902707564132</v>
      </c>
    </row>
    <row r="376" spans="1:7">
      <c r="A376" s="18">
        <f>'Raw Data'!A376</f>
        <v>554</v>
      </c>
      <c r="B376" s="20">
        <f>'Raw Data'!C376</f>
        <v>12.475544333232232</v>
      </c>
      <c r="C376" s="20">
        <f>'Raw Data'!F376</f>
        <v>-12.20438289642334</v>
      </c>
      <c r="D376" s="20">
        <f>'Raw Data'!G376</f>
        <v>-37.792758941650391</v>
      </c>
      <c r="E376" s="20">
        <f>'Raw Data'!H376</f>
        <v>7.5501397852857473</v>
      </c>
      <c r="F376" s="20">
        <f>Comparison!$B$10+(C376-Comparison!$B$10)*Comparison!$B$7</f>
        <v>-14.084244577496804</v>
      </c>
      <c r="G376" s="20">
        <f>Comparison!$B$11+(D376-Comparison!$B$11)*Comparison!$B$7</f>
        <v>-37.647749834617507</v>
      </c>
    </row>
    <row r="377" spans="1:7">
      <c r="A377" s="18">
        <f>'Raw Data'!A377</f>
        <v>555</v>
      </c>
      <c r="B377" s="20">
        <f>'Raw Data'!C377</f>
        <v>12.508893691234455</v>
      </c>
      <c r="C377" s="20">
        <f>'Raw Data'!F377</f>
        <v>-15.419131278991699</v>
      </c>
      <c r="D377" s="20">
        <f>'Raw Data'!G377</f>
        <v>-39.224571228027344</v>
      </c>
      <c r="E377" s="20">
        <f>'Raw Data'!H377</f>
        <v>7.8305683497273595</v>
      </c>
      <c r="F377" s="20">
        <f>Comparison!$B$10+(C377-Comparison!$B$10)*Comparison!$B$7</f>
        <v>-17.486480101175374</v>
      </c>
      <c r="G377" s="20">
        <f>Comparison!$B$11+(D377-Comparison!$B$11)*Comparison!$B$7</f>
        <v>-39.163066756578047</v>
      </c>
    </row>
    <row r="378" spans="1:7">
      <c r="A378" s="18">
        <f>'Raw Data'!A378</f>
        <v>556</v>
      </c>
      <c r="B378" s="20">
        <f>'Raw Data'!C378</f>
        <v>12.542243049236681</v>
      </c>
      <c r="C378" s="20">
        <f>'Raw Data'!F378</f>
        <v>-14.830472946166992</v>
      </c>
      <c r="D378" s="20">
        <f>'Raw Data'!G378</f>
        <v>-39.538669586181641</v>
      </c>
      <c r="E378" s="20">
        <f>'Raw Data'!H378</f>
        <v>7.4825478796664937</v>
      </c>
      <c r="F378" s="20">
        <f>Comparison!$B$10+(C378-Comparison!$B$10)*Comparison!$B$7</f>
        <v>-16.863490662217927</v>
      </c>
      <c r="G378" s="20">
        <f>Comparison!$B$11+(D378-Comparison!$B$11)*Comparison!$B$7</f>
        <v>-39.495483625604635</v>
      </c>
    </row>
    <row r="379" spans="1:7">
      <c r="A379" s="18">
        <f>'Raw Data'!A379</f>
        <v>557</v>
      </c>
      <c r="B379" s="20">
        <f>'Raw Data'!C379</f>
        <v>12.575592407238904</v>
      </c>
      <c r="C379" s="20">
        <f>'Raw Data'!F379</f>
        <v>-15.139249801635742</v>
      </c>
      <c r="D379" s="20">
        <f>'Raw Data'!G379</f>
        <v>-40.426990509033203</v>
      </c>
      <c r="E379" s="20">
        <f>'Raw Data'!H379</f>
        <v>7.6727371172051821</v>
      </c>
      <c r="F379" s="20">
        <f>Comparison!$B$10+(C379-Comparison!$B$10)*Comparison!$B$7</f>
        <v>-17.19027567353077</v>
      </c>
      <c r="G379" s="20">
        <f>Comparison!$B$11+(D379-Comparison!$B$11)*Comparison!$B$7</f>
        <v>-40.435612257923268</v>
      </c>
    </row>
    <row r="380" spans="1:7">
      <c r="A380" s="18">
        <f>'Raw Data'!A380</f>
        <v>558</v>
      </c>
      <c r="B380" s="20">
        <f>'Raw Data'!C380</f>
        <v>12.608941765241127</v>
      </c>
      <c r="C380" s="20">
        <f>'Raw Data'!F380</f>
        <v>-14.948417663574219</v>
      </c>
      <c r="D380" s="20">
        <f>'Raw Data'!G380</f>
        <v>-41.091938018798828</v>
      </c>
      <c r="E380" s="20">
        <f>'Raw Data'!H380</f>
        <v>7.8106820016578133</v>
      </c>
      <c r="F380" s="20">
        <f>Comparison!$B$10+(C380-Comparison!$B$10)*Comparison!$B$7</f>
        <v>-16.988314026176667</v>
      </c>
      <c r="G380" s="20">
        <f>Comparison!$B$11+(D380-Comparison!$B$11)*Comparison!$B$7</f>
        <v>-41.139340130180187</v>
      </c>
    </row>
    <row r="381" spans="1:7">
      <c r="A381" s="18">
        <f>'Raw Data'!A381</f>
        <v>559</v>
      </c>
      <c r="B381" s="20">
        <f>'Raw Data'!C381</f>
        <v>12.642291123243353</v>
      </c>
      <c r="C381" s="20">
        <f>'Raw Data'!F381</f>
        <v>-14.286595344543457</v>
      </c>
      <c r="D381" s="20">
        <f>'Raw Data'!G381</f>
        <v>-41.852420806884766</v>
      </c>
      <c r="E381" s="20">
        <f>'Raw Data'!H381</f>
        <v>7.6456631544576092</v>
      </c>
      <c r="F381" s="20">
        <f>Comparison!$B$10+(C381-Comparison!$B$10)*Comparison!$B$7</f>
        <v>-16.287893608709702</v>
      </c>
      <c r="G381" s="20">
        <f>Comparison!$B$11+(D381-Comparison!$B$11)*Comparison!$B$7</f>
        <v>-41.944174987801297</v>
      </c>
    </row>
    <row r="382" spans="1:7">
      <c r="A382" s="18">
        <f>'Raw Data'!A382</f>
        <v>560</v>
      </c>
      <c r="B382" s="20">
        <f>'Raw Data'!C382</f>
        <v>12.675640481245576</v>
      </c>
      <c r="C382" s="20">
        <f>'Raw Data'!F382</f>
        <v>-13.832221031188965</v>
      </c>
      <c r="D382" s="20">
        <f>'Raw Data'!G382</f>
        <v>-42.444564819335938</v>
      </c>
      <c r="E382" s="20">
        <f>'Raw Data'!H382</f>
        <v>7.6713856883761702</v>
      </c>
      <c r="F382" s="20">
        <f>Comparison!$B$10+(C382-Comparison!$B$10)*Comparison!$B$7</f>
        <v>-15.807019759196585</v>
      </c>
      <c r="G382" s="20">
        <f>Comparison!$B$11+(D382-Comparison!$B$11)*Comparison!$B$7</f>
        <v>-42.570853394490598</v>
      </c>
    </row>
    <row r="383" spans="1:7">
      <c r="A383" s="18">
        <f>'Raw Data'!A383</f>
        <v>561</v>
      </c>
      <c r="B383" s="20">
        <f>'Raw Data'!C383</f>
        <v>12.708989839247803</v>
      </c>
      <c r="C383" s="20">
        <f>'Raw Data'!F383</f>
        <v>-12.609808921813965</v>
      </c>
      <c r="D383" s="20">
        <f>'Raw Data'!G383</f>
        <v>-42.503292083740234</v>
      </c>
      <c r="E383" s="20">
        <f>'Raw Data'!H383</f>
        <v>7.6320901575044937</v>
      </c>
      <c r="F383" s="20">
        <f>Comparison!$B$10+(C383-Comparison!$B$10)*Comparison!$B$7</f>
        <v>-14.513315428978437</v>
      </c>
      <c r="G383" s="20">
        <f>Comparison!$B$11+(D383-Comparison!$B$11)*Comparison!$B$7</f>
        <v>-42.633005688041216</v>
      </c>
    </row>
    <row r="384" spans="1:7">
      <c r="A384" s="18">
        <f>'Raw Data'!A384</f>
        <v>562</v>
      </c>
      <c r="B384" s="20">
        <f>'Raw Data'!C384</f>
        <v>12.742339197250026</v>
      </c>
      <c r="C384" s="20">
        <f>'Raw Data'!F384</f>
        <v>-11.528179168701172</v>
      </c>
      <c r="D384" s="20">
        <f>'Raw Data'!G384</f>
        <v>-42.623374938964844</v>
      </c>
      <c r="E384" s="20">
        <f>'Raw Data'!H384</f>
        <v>7.6089604969217488</v>
      </c>
      <c r="F384" s="20">
        <f>Comparison!$B$10+(C384-Comparison!$B$10)*Comparison!$B$7</f>
        <v>-13.368604014093769</v>
      </c>
      <c r="G384" s="20">
        <f>Comparison!$B$11+(D384-Comparison!$B$11)*Comparison!$B$7</f>
        <v>-42.760091888020419</v>
      </c>
    </row>
    <row r="385" spans="1:7">
      <c r="A385" s="18">
        <f>'Raw Data'!A385</f>
        <v>563</v>
      </c>
      <c r="B385" s="20">
        <f>'Raw Data'!C385</f>
        <v>12.775688555252248</v>
      </c>
      <c r="C385" s="20">
        <f>'Raw Data'!F385</f>
        <v>-10.610739707946777</v>
      </c>
      <c r="D385" s="20">
        <f>'Raw Data'!G385</f>
        <v>-42.740226745605469</v>
      </c>
      <c r="E385" s="20">
        <f>'Raw Data'!H385</f>
        <v>7.5624889544774243</v>
      </c>
      <c r="F385" s="20">
        <f>Comparison!$B$10+(C385-Comparison!$B$10)*Comparison!$B$7</f>
        <v>-12.397658623428583</v>
      </c>
      <c r="G385" s="20">
        <f>Comparison!$B$11+(D385-Comparison!$B$11)*Comparison!$B$7</f>
        <v>-42.883758601631499</v>
      </c>
    </row>
    <row r="386" spans="1:7">
      <c r="A386" s="18">
        <f>'Raw Data'!A386</f>
        <v>564</v>
      </c>
      <c r="B386" s="20">
        <f>'Raw Data'!C386</f>
        <v>12.809037913254475</v>
      </c>
      <c r="C386" s="20">
        <f>'Raw Data'!F386</f>
        <v>-9.4637632369995117</v>
      </c>
      <c r="D386" s="20">
        <f>'Raw Data'!G386</f>
        <v>-42.811691284179688</v>
      </c>
      <c r="E386" s="20">
        <f>'Raw Data'!H386</f>
        <v>7.5802911260381594</v>
      </c>
      <c r="F386" s="20">
        <f>Comparison!$B$10+(C386-Comparison!$B$10)*Comparison!$B$7</f>
        <v>-11.183789408830012</v>
      </c>
      <c r="G386" s="20">
        <f>Comparison!$B$11+(D386-Comparison!$B$11)*Comparison!$B$7</f>
        <v>-42.959391019129207</v>
      </c>
    </row>
    <row r="387" spans="1:7">
      <c r="A387" s="18">
        <f>'Raw Data'!A387</f>
        <v>565</v>
      </c>
      <c r="B387" s="20">
        <f>'Raw Data'!C387</f>
        <v>12.842387271256698</v>
      </c>
      <c r="C387" s="20">
        <f>'Raw Data'!F387</f>
        <v>-8.8252973556518555</v>
      </c>
      <c r="D387" s="20">
        <f>'Raw Data'!G387</f>
        <v>-42.848365783691406</v>
      </c>
      <c r="E387" s="20">
        <f>'Raw Data'!H387</f>
        <v>7.4783897532661019</v>
      </c>
      <c r="F387" s="20">
        <f>Comparison!$B$10+(C387-Comparison!$B$10)*Comparison!$B$7</f>
        <v>-10.508087598400202</v>
      </c>
      <c r="G387" s="20">
        <f>Comparison!$B$11+(D387-Comparison!$B$11)*Comparison!$B$7</f>
        <v>-42.998204409853187</v>
      </c>
    </row>
    <row r="388" spans="1:7">
      <c r="A388" s="18">
        <f>'Raw Data'!A388</f>
        <v>566</v>
      </c>
      <c r="B388" s="20">
        <f>'Raw Data'!C388</f>
        <v>12.875736629258924</v>
      </c>
      <c r="C388" s="20">
        <f>'Raw Data'!F388</f>
        <v>-8.0590677261352539</v>
      </c>
      <c r="D388" s="20">
        <f>'Raw Data'!G388</f>
        <v>-43.012771606445313</v>
      </c>
      <c r="E388" s="20">
        <f>'Raw Data'!H388</f>
        <v>7.4714544000601757</v>
      </c>
      <c r="F388" s="20">
        <f>Comparison!$B$10+(C388-Comparison!$B$10)*Comparison!$B$7</f>
        <v>-9.6971707381656458</v>
      </c>
      <c r="G388" s="20">
        <f>Comparison!$B$11+(D388-Comparison!$B$11)*Comparison!$B$7</f>
        <v>-43.172198534403009</v>
      </c>
    </row>
    <row r="389" spans="1:7">
      <c r="A389" s="18">
        <f>'Raw Data'!A389</f>
        <v>567</v>
      </c>
      <c r="B389" s="20">
        <f>'Raw Data'!C389</f>
        <v>12.909085987261147</v>
      </c>
      <c r="C389" s="20">
        <f>'Raw Data'!F389</f>
        <v>-7.3106026649475098</v>
      </c>
      <c r="D389" s="20">
        <f>'Raw Data'!G389</f>
        <v>-43.125949859619141</v>
      </c>
      <c r="E389" s="20">
        <f>'Raw Data'!H389</f>
        <v>7.4700665567492237</v>
      </c>
      <c r="F389" s="20">
        <f>Comparison!$B$10+(C389-Comparison!$B$10)*Comparison!$B$7</f>
        <v>-8.9050544925480786</v>
      </c>
      <c r="G389" s="20">
        <f>Comparison!$B$11+(D389-Comparison!$B$11)*Comparison!$B$7</f>
        <v>-43.29197744946331</v>
      </c>
    </row>
    <row r="390" spans="1:7">
      <c r="A390" s="18">
        <f>'Raw Data'!A390</f>
        <v>568</v>
      </c>
      <c r="B390" s="20">
        <f>'Raw Data'!C390</f>
        <v>12.94243534526337</v>
      </c>
      <c r="C390" s="20">
        <f>'Raw Data'!F390</f>
        <v>-6.6054196357727051</v>
      </c>
      <c r="D390" s="20">
        <f>'Raw Data'!G390</f>
        <v>-43.197505950927734</v>
      </c>
      <c r="E390" s="20">
        <f>'Raw Data'!H390</f>
        <v>7.5129704877391674</v>
      </c>
      <c r="F390" s="20">
        <f>Comparison!$B$10+(C390-Comparison!$B$10)*Comparison!$B$7</f>
        <v>-8.1587445276490556</v>
      </c>
      <c r="G390" s="20">
        <f>Comparison!$B$11+(D390-Comparison!$B$11)*Comparison!$B$7</f>
        <v>-43.367706759136738</v>
      </c>
    </row>
    <row r="391" spans="1:7">
      <c r="A391" s="18">
        <f>'Raw Data'!A391</f>
        <v>569</v>
      </c>
      <c r="B391" s="20">
        <f>'Raw Data'!C391</f>
        <v>12.975784703265596</v>
      </c>
      <c r="C391" s="20">
        <f>'Raw Data'!F391</f>
        <v>-5.8346419334411621</v>
      </c>
      <c r="D391" s="20">
        <f>'Raw Data'!G391</f>
        <v>-43.240646362304688</v>
      </c>
      <c r="E391" s="20">
        <f>'Raw Data'!H391</f>
        <v>7.5460189045355959</v>
      </c>
      <c r="F391" s="20">
        <f>Comparison!$B$10+(C391-Comparison!$B$10)*Comparison!$B$7</f>
        <v>-7.3430143467268927</v>
      </c>
      <c r="G391" s="20">
        <f>Comparison!$B$11+(D391-Comparison!$B$11)*Comparison!$B$7</f>
        <v>-43.413363159770967</v>
      </c>
    </row>
    <row r="392" spans="1:7">
      <c r="A392" s="18">
        <f>'Raw Data'!A392</f>
        <v>570</v>
      </c>
      <c r="B392" s="20">
        <f>'Raw Data'!C392</f>
        <v>13.009134061267819</v>
      </c>
      <c r="C392" s="20">
        <f>'Raw Data'!F392</f>
        <v>-5.2715816497802734</v>
      </c>
      <c r="D392" s="20">
        <f>'Raw Data'!G392</f>
        <v>-43.400520324707031</v>
      </c>
      <c r="E392" s="20">
        <f>'Raw Data'!H392</f>
        <v>7.403144118975761</v>
      </c>
      <c r="F392" s="20">
        <f>Comparison!$B$10+(C392-Comparison!$B$10)*Comparison!$B$7</f>
        <v>-6.7471158591715081</v>
      </c>
      <c r="G392" s="20">
        <f>Comparison!$B$11+(D392-Comparison!$B$11)*Comparison!$B$7</f>
        <v>-43.582561121622632</v>
      </c>
    </row>
    <row r="393" spans="1:7">
      <c r="A393" s="18">
        <f>'Raw Data'!A393</f>
        <v>571</v>
      </c>
      <c r="B393" s="20">
        <f>'Raw Data'!C393</f>
        <v>13.042483419270045</v>
      </c>
      <c r="C393" s="20">
        <f>'Raw Data'!F393</f>
        <v>-3.9509596824645996</v>
      </c>
      <c r="D393" s="20">
        <f>'Raw Data'!G393</f>
        <v>-43.379859924316406</v>
      </c>
      <c r="E393" s="20">
        <f>'Raw Data'!H393</f>
        <v>7.5652304767550733</v>
      </c>
      <c r="F393" s="20">
        <f>Comparison!$B$10+(C393-Comparison!$B$10)*Comparison!$B$7</f>
        <v>-5.3494739799765902</v>
      </c>
      <c r="G393" s="20">
        <f>Comparison!$B$11+(D393-Comparison!$B$11)*Comparison!$B$7</f>
        <v>-43.560695787301739</v>
      </c>
    </row>
    <row r="394" spans="1:7">
      <c r="A394" s="18">
        <f>'Raw Data'!A394</f>
        <v>572</v>
      </c>
      <c r="B394" s="20">
        <f>'Raw Data'!C394</f>
        <v>13.075832777272268</v>
      </c>
      <c r="C394" s="20">
        <f>'Raw Data'!F394</f>
        <v>-2.5764880180358887</v>
      </c>
      <c r="D394" s="20">
        <f>'Raw Data'!G394</f>
        <v>-43.298294067382813</v>
      </c>
      <c r="E394" s="20">
        <f>'Raw Data'!H394</f>
        <v>7.5570029262222453</v>
      </c>
      <c r="F394" s="20">
        <f>Comparison!$B$10+(C394-Comparison!$B$10)*Comparison!$B$7</f>
        <v>-3.8948418388219039</v>
      </c>
      <c r="G394" s="20">
        <f>Comparison!$B$11+(D394-Comparison!$B$11)*Comparison!$B$7</f>
        <v>-43.474372933082883</v>
      </c>
    </row>
    <row r="395" spans="1:7">
      <c r="A395" s="18">
        <f>'Raw Data'!A395</f>
        <v>573</v>
      </c>
      <c r="B395" s="20">
        <f>'Raw Data'!C395</f>
        <v>13.109182135274491</v>
      </c>
      <c r="C395" s="20">
        <f>'Raw Data'!F395</f>
        <v>-1.1103310585021973</v>
      </c>
      <c r="D395" s="20">
        <f>'Raw Data'!G395</f>
        <v>-43.249992370605469</v>
      </c>
      <c r="E395" s="20">
        <f>'Raw Data'!H395</f>
        <v>7.5033039469444454</v>
      </c>
      <c r="F395" s="20">
        <f>Comparison!$B$10+(C395-Comparison!$B$10)*Comparison!$B$7</f>
        <v>-2.3431772301507721</v>
      </c>
      <c r="G395" s="20">
        <f>Comparison!$B$11+(D395-Comparison!$B$11)*Comparison!$B$7</f>
        <v>-43.423254236042425</v>
      </c>
    </row>
    <row r="396" spans="1:7">
      <c r="A396" s="18">
        <f>'Raw Data'!A396</f>
        <v>574</v>
      </c>
      <c r="B396" s="20">
        <f>'Raw Data'!C396</f>
        <v>13.142531493276717</v>
      </c>
      <c r="C396" s="20">
        <f>'Raw Data'!F396</f>
        <v>0.25626394152641296</v>
      </c>
      <c r="D396" s="20">
        <f>'Raw Data'!G396</f>
        <v>-43.053215026855469</v>
      </c>
      <c r="E396" s="20">
        <f>'Raw Data'!H396</f>
        <v>7.5336427376382975</v>
      </c>
      <c r="F396" s="20">
        <f>Comparison!$B$10+(C396-Comparison!$B$10)*Comparison!$B$7</f>
        <v>-0.89688112785232832</v>
      </c>
      <c r="G396" s="20">
        <f>Comparison!$B$11+(D396-Comparison!$B$11)*Comparison!$B$7</f>
        <v>-43.215000653027474</v>
      </c>
    </row>
    <row r="397" spans="1:7">
      <c r="A397" s="18">
        <f>'Raw Data'!A397</f>
        <v>575</v>
      </c>
      <c r="B397" s="20">
        <f>'Raw Data'!C397</f>
        <v>13.17588085127894</v>
      </c>
      <c r="C397" s="20">
        <f>'Raw Data'!F397</f>
        <v>1.6865311861038208</v>
      </c>
      <c r="D397" s="20">
        <f>'Raw Data'!G397</f>
        <v>-42.934295654296875</v>
      </c>
      <c r="E397" s="20">
        <f>'Raw Data'!H397</f>
        <v>7.5830262122271224</v>
      </c>
      <c r="F397" s="20">
        <f>Comparison!$B$10+(C397-Comparison!$B$10)*Comparison!$B$7</f>
        <v>0.61680064402166579</v>
      </c>
      <c r="G397" s="20">
        <f>Comparison!$B$11+(D397-Comparison!$B$11)*Comparison!$B$7</f>
        <v>-43.089145791114717</v>
      </c>
    </row>
    <row r="398" spans="1:7">
      <c r="A398" s="18">
        <f>'Raw Data'!A398</f>
        <v>576</v>
      </c>
      <c r="B398" s="20">
        <f>'Raw Data'!C398</f>
        <v>13.209230209281166</v>
      </c>
      <c r="C398" s="20">
        <f>'Raw Data'!F398</f>
        <v>2.5911438465118408</v>
      </c>
      <c r="D398" s="20">
        <f>'Raw Data'!G398</f>
        <v>-42.923892974853516</v>
      </c>
      <c r="E398" s="20">
        <f>'Raw Data'!H398</f>
        <v>7.6007802825909545</v>
      </c>
      <c r="F398" s="20">
        <f>Comparison!$B$10+(C398-Comparison!$B$10)*Comparison!$B$7</f>
        <v>1.574171163312716</v>
      </c>
      <c r="G398" s="20">
        <f>Comparison!$B$11+(D398-Comparison!$B$11)*Comparison!$B$7</f>
        <v>-43.078136417648494</v>
      </c>
    </row>
    <row r="399" spans="1:7">
      <c r="A399" s="18">
        <f>'Raw Data'!A399</f>
        <v>577</v>
      </c>
      <c r="B399" s="20">
        <f>'Raw Data'!C399</f>
        <v>13.242579567283389</v>
      </c>
      <c r="C399" s="20">
        <f>'Raw Data'!F399</f>
        <v>3.973637580871582</v>
      </c>
      <c r="D399" s="20">
        <f>'Raw Data'!G399</f>
        <v>-42.904232025146484</v>
      </c>
      <c r="E399" s="20">
        <f>'Raw Data'!H399</f>
        <v>7.6048714896419876</v>
      </c>
      <c r="F399" s="20">
        <f>Comparison!$B$10+(C399-Comparison!$B$10)*Comparison!$B$7</f>
        <v>3.0372932290415235</v>
      </c>
      <c r="G399" s="20">
        <f>Comparison!$B$11+(D399-Comparison!$B$11)*Comparison!$B$7</f>
        <v>-43.057328822912545</v>
      </c>
    </row>
    <row r="400" spans="1:7">
      <c r="A400" s="18">
        <f>'Raw Data'!A400</f>
        <v>578</v>
      </c>
      <c r="B400" s="20">
        <f>'Raw Data'!C400</f>
        <v>13.275928925285612</v>
      </c>
      <c r="C400" s="20">
        <f>'Raw Data'!F400</f>
        <v>4.5981807708740234</v>
      </c>
      <c r="D400" s="20">
        <f>'Raw Data'!G400</f>
        <v>-43.001205444335938</v>
      </c>
      <c r="E400" s="20">
        <f>'Raw Data'!H400</f>
        <v>7.6415937867492385</v>
      </c>
      <c r="F400" s="20">
        <f>Comparison!$B$10+(C400-Comparison!$B$10)*Comparison!$B$7</f>
        <v>3.6982603637073588</v>
      </c>
      <c r="G400" s="20">
        <f>Comparison!$B$11+(D400-Comparison!$B$11)*Comparison!$B$7</f>
        <v>-43.159957822870339</v>
      </c>
    </row>
    <row r="401" spans="1:7">
      <c r="A401" s="18">
        <f>'Raw Data'!A401</f>
        <v>579</v>
      </c>
      <c r="B401" s="20">
        <f>'Raw Data'!C401</f>
        <v>13.309278283287838</v>
      </c>
      <c r="C401" s="20">
        <f>'Raw Data'!F401</f>
        <v>5.1112313270568848</v>
      </c>
      <c r="D401" s="20">
        <f>'Raw Data'!G401</f>
        <v>-43.073947906494141</v>
      </c>
      <c r="E401" s="20">
        <f>'Raw Data'!H401</f>
        <v>7.5912255581569861</v>
      </c>
      <c r="F401" s="20">
        <f>Comparison!$B$10+(C401-Comparison!$B$10)*Comparison!$B$7</f>
        <v>4.2412325095690004</v>
      </c>
      <c r="G401" s="20">
        <f>Comparison!$B$11+(D401-Comparison!$B$11)*Comparison!$B$7</f>
        <v>-43.23694269365415</v>
      </c>
    </row>
    <row r="402" spans="1:7">
      <c r="A402" s="18">
        <f>'Raw Data'!A402</f>
        <v>580</v>
      </c>
      <c r="B402" s="20">
        <f>'Raw Data'!C402</f>
        <v>13.342627641290061</v>
      </c>
      <c r="C402" s="20">
        <f>'Raw Data'!F402</f>
        <v>6.6363296508789063</v>
      </c>
      <c r="D402" s="20">
        <f>'Raw Data'!G402</f>
        <v>-43.078083038330078</v>
      </c>
      <c r="E402" s="20">
        <f>'Raw Data'!H402</f>
        <v>7.5925912549492098</v>
      </c>
      <c r="F402" s="20">
        <f>Comparison!$B$10+(C402-Comparison!$B$10)*Comparison!$B$7</f>
        <v>5.8552759981808453</v>
      </c>
      <c r="G402" s="20">
        <f>Comparison!$B$11+(D402-Comparison!$B$11)*Comparison!$B$7</f>
        <v>-43.241318990257518</v>
      </c>
    </row>
    <row r="403" spans="1:7">
      <c r="A403" s="18">
        <f>'Raw Data'!A403</f>
        <v>581</v>
      </c>
      <c r="B403" s="20">
        <f>'Raw Data'!C403</f>
        <v>13.375976999292288</v>
      </c>
      <c r="C403" s="20">
        <f>'Raw Data'!F403</f>
        <v>7.6131701469421387</v>
      </c>
      <c r="D403" s="20">
        <f>'Raw Data'!G403</f>
        <v>-43.00677490234375</v>
      </c>
      <c r="E403" s="20">
        <f>'Raw Data'!H403</f>
        <v>7.563859839824401</v>
      </c>
      <c r="F403" s="20">
        <f>Comparison!$B$10+(C403-Comparison!$B$10)*Comparison!$B$7</f>
        <v>6.8890867482523426</v>
      </c>
      <c r="G403" s="20">
        <f>Comparison!$B$11+(D403-Comparison!$B$11)*Comparison!$B$7</f>
        <v>-43.165852096893332</v>
      </c>
    </row>
    <row r="404" spans="1:7">
      <c r="A404" s="18">
        <f>'Raw Data'!A404</f>
        <v>582</v>
      </c>
      <c r="B404" s="20">
        <f>'Raw Data'!C404</f>
        <v>13.409326357294511</v>
      </c>
      <c r="C404" s="20">
        <f>'Raw Data'!F404</f>
        <v>8.6813421249389648</v>
      </c>
      <c r="D404" s="20">
        <f>'Raw Data'!G404</f>
        <v>-42.904224395751953</v>
      </c>
      <c r="E404" s="20">
        <f>'Raw Data'!H404</f>
        <v>7.5418957721426034</v>
      </c>
      <c r="F404" s="20">
        <f>Comparison!$B$10+(C404-Comparison!$B$10)*Comparison!$B$7</f>
        <v>8.0195555179528668</v>
      </c>
      <c r="G404" s="20">
        <f>Comparison!$B$11+(D404-Comparison!$B$11)*Comparison!$B$7</f>
        <v>-43.057320748564571</v>
      </c>
    </row>
    <row r="405" spans="1:7">
      <c r="A405" s="18">
        <f>'Raw Data'!A405</f>
        <v>583</v>
      </c>
      <c r="B405" s="20">
        <f>'Raw Data'!C405</f>
        <v>13.442675715296733</v>
      </c>
      <c r="C405" s="20">
        <f>'Raw Data'!F405</f>
        <v>9.8830680847167969</v>
      </c>
      <c r="D405" s="20">
        <f>'Raw Data'!G405</f>
        <v>-42.984718322753906</v>
      </c>
      <c r="E405" s="20">
        <f>'Raw Data'!H405</f>
        <v>7.5460189045355959</v>
      </c>
      <c r="F405" s="20">
        <f>Comparison!$B$10+(C405-Comparison!$B$10)*Comparison!$B$7</f>
        <v>9.2913672629257018</v>
      </c>
      <c r="G405" s="20">
        <f>Comparison!$B$11+(D405-Comparison!$B$11)*Comparison!$B$7</f>
        <v>-43.1425091568927</v>
      </c>
    </row>
    <row r="406" spans="1:7">
      <c r="A406" s="18">
        <f>'Raw Data'!A406</f>
        <v>584</v>
      </c>
      <c r="B406" s="20">
        <f>'Raw Data'!C406</f>
        <v>13.47602507329896</v>
      </c>
      <c r="C406" s="20">
        <f>'Raw Data'!F406</f>
        <v>10.534754753112793</v>
      </c>
      <c r="D406" s="20">
        <f>'Raw Data'!G406</f>
        <v>-43.058692932128906</v>
      </c>
      <c r="E406" s="20">
        <f>'Raw Data'!H406</f>
        <v>7.5761866453874251</v>
      </c>
      <c r="F406" s="20">
        <f>Comparison!$B$10+(C406-Comparison!$B$10)*Comparison!$B$7</f>
        <v>9.9810609091056293</v>
      </c>
      <c r="G406" s="20">
        <f>Comparison!$B$11+(D406-Comparison!$B$11)*Comparison!$B$7</f>
        <v>-43.220798034874747</v>
      </c>
    </row>
    <row r="407" spans="1:7">
      <c r="A407" s="18">
        <f>'Raw Data'!A407</f>
        <v>585</v>
      </c>
      <c r="B407" s="20">
        <f>'Raw Data'!C407</f>
        <v>13.509374431301183</v>
      </c>
      <c r="C407" s="20">
        <f>'Raw Data'!F407</f>
        <v>11.382349014282227</v>
      </c>
      <c r="D407" s="20">
        <f>'Raw Data'!G407</f>
        <v>-43.075767517089844</v>
      </c>
      <c r="E407" s="20">
        <f>'Raw Data'!H407</f>
        <v>7.5528857900265809</v>
      </c>
      <c r="F407" s="20">
        <f>Comparison!$B$10+(C407-Comparison!$B$10)*Comparison!$B$7</f>
        <v>10.878087662631156</v>
      </c>
      <c r="G407" s="20">
        <f>Comparison!$B$11+(D407-Comparison!$B$11)*Comparison!$B$7</f>
        <v>-43.238868425646594</v>
      </c>
    </row>
    <row r="408" spans="1:7">
      <c r="A408" s="18">
        <f>'Raw Data'!A408</f>
        <v>586</v>
      </c>
      <c r="B408" s="20">
        <f>'Raw Data'!C408</f>
        <v>13.542723789303409</v>
      </c>
      <c r="C408" s="20">
        <f>'Raw Data'!F408</f>
        <v>12.161801338195801</v>
      </c>
      <c r="D408" s="20">
        <f>'Raw Data'!G408</f>
        <v>-43.078807830810547</v>
      </c>
      <c r="E408" s="20">
        <f>'Raw Data'!H408</f>
        <v>7.53777038441185</v>
      </c>
      <c r="F408" s="20">
        <f>Comparison!$B$10+(C408-Comparison!$B$10)*Comparison!$B$7</f>
        <v>11.702998377202825</v>
      </c>
      <c r="G408" s="20">
        <f>Comparison!$B$11+(D408-Comparison!$B$11)*Comparison!$B$7</f>
        <v>-43.242086053315305</v>
      </c>
    </row>
    <row r="409" spans="1:7">
      <c r="A409" s="18">
        <f>'Raw Data'!A409</f>
        <v>587</v>
      </c>
      <c r="B409" s="20">
        <f>'Raw Data'!C409</f>
        <v>13.576073147305632</v>
      </c>
      <c r="C409" s="20">
        <f>'Raw Data'!F409</f>
        <v>13.236937522888184</v>
      </c>
      <c r="D409" s="20">
        <f>'Raw Data'!G409</f>
        <v>-43.046058654785156</v>
      </c>
      <c r="E409" s="20">
        <f>'Raw Data'!H409</f>
        <v>7.5994160574552083</v>
      </c>
      <c r="F409" s="20">
        <f>Comparison!$B$10+(C409-Comparison!$B$10)*Comparison!$B$7</f>
        <v>12.840837512665827</v>
      </c>
      <c r="G409" s="20">
        <f>Comparison!$B$11+(D409-Comparison!$B$11)*Comparison!$B$7</f>
        <v>-43.207426914625337</v>
      </c>
    </row>
    <row r="410" spans="1:7">
      <c r="A410" s="18">
        <f>'Raw Data'!A410</f>
        <v>588</v>
      </c>
      <c r="B410" s="20">
        <f>'Raw Data'!C410</f>
        <v>13.609422505307855</v>
      </c>
      <c r="C410" s="20">
        <f>'Raw Data'!F410</f>
        <v>14.383016586303711</v>
      </c>
      <c r="D410" s="20">
        <f>'Raw Data'!G410</f>
        <v>-43.167369842529297</v>
      </c>
      <c r="E410" s="20">
        <f>'Raw Data'!H410</f>
        <v>7.5830262122271224</v>
      </c>
      <c r="F410" s="20">
        <f>Comparison!$B$10+(C410-Comparison!$B$10)*Comparison!$B$7</f>
        <v>14.053756982083634</v>
      </c>
      <c r="G410" s="20">
        <f>Comparison!$B$11+(D410-Comparison!$B$11)*Comparison!$B$7</f>
        <v>-43.335813084628789</v>
      </c>
    </row>
    <row r="411" spans="1:7">
      <c r="A411" s="18">
        <f>'Raw Data'!A411</f>
        <v>589</v>
      </c>
      <c r="B411" s="20">
        <f>'Raw Data'!C411</f>
        <v>13.642771863310081</v>
      </c>
      <c r="C411" s="20">
        <f>'Raw Data'!F411</f>
        <v>15.398575782775879</v>
      </c>
      <c r="D411" s="20">
        <f>'Raw Data'!G411</f>
        <v>-43.018630981445313</v>
      </c>
      <c r="E411" s="20">
        <f>'Raw Data'!H411</f>
        <v>7.6524406251213435</v>
      </c>
      <c r="F411" s="20">
        <f>Comparison!$B$10+(C411-Comparison!$B$10)*Comparison!$B$7</f>
        <v>15.128544543490115</v>
      </c>
      <c r="G411" s="20">
        <f>Comparison!$B$11+(D411-Comparison!$B$11)*Comparison!$B$7</f>
        <v>-43.178399633649114</v>
      </c>
    </row>
    <row r="412" spans="1:7">
      <c r="A412" s="18">
        <f>'Raw Data'!A412</f>
        <v>590</v>
      </c>
      <c r="B412" s="20">
        <f>'Raw Data'!C412</f>
        <v>13.676121221312304</v>
      </c>
      <c r="C412" s="20">
        <f>'Raw Data'!F412</f>
        <v>16.477487564086914</v>
      </c>
      <c r="D412" s="20">
        <f>'Raw Data'!G412</f>
        <v>-42.960929870605469</v>
      </c>
      <c r="E412" s="20">
        <f>'Raw Data'!H412</f>
        <v>7.6048714896419876</v>
      </c>
      <c r="F412" s="20">
        <f>Comparison!$B$10+(C412-Comparison!$B$10)*Comparison!$B$7</f>
        <v>16.270379471908086</v>
      </c>
      <c r="G412" s="20">
        <f>Comparison!$B$11+(D412-Comparison!$B$11)*Comparison!$B$7</f>
        <v>-43.117333339901364</v>
      </c>
    </row>
    <row r="413" spans="1:7">
      <c r="A413" s="18">
        <f>'Raw Data'!A413</f>
        <v>591</v>
      </c>
      <c r="B413" s="20">
        <f>'Raw Data'!C413</f>
        <v>13.70947057931453</v>
      </c>
      <c r="C413" s="20">
        <f>'Raw Data'!F413</f>
        <v>17.691154479980469</v>
      </c>
      <c r="D413" s="20">
        <f>'Raw Data'!G413</f>
        <v>-42.994659423828125</v>
      </c>
      <c r="E413" s="20">
        <f>'Raw Data'!H413</f>
        <v>7.5350188711300268</v>
      </c>
      <c r="F413" s="20">
        <f>Comparison!$B$10+(C413-Comparison!$B$10)*Comparison!$B$7</f>
        <v>17.554828580757945</v>
      </c>
      <c r="G413" s="20">
        <f>Comparison!$B$11+(D413-Comparison!$B$11)*Comparison!$B$7</f>
        <v>-43.153030032306333</v>
      </c>
    </row>
    <row r="414" spans="1:7">
      <c r="A414" s="18">
        <f>'Raw Data'!A414</f>
        <v>592</v>
      </c>
      <c r="B414" s="20">
        <f>'Raw Data'!C414</f>
        <v>13.742819937316753</v>
      </c>
      <c r="C414" s="20">
        <f>'Raw Data'!F414</f>
        <v>18.774051666259766</v>
      </c>
      <c r="D414" s="20">
        <f>'Raw Data'!G414</f>
        <v>-43.024845123291016</v>
      </c>
      <c r="E414" s="20">
        <f>'Raw Data'!H414</f>
        <v>7.5184886452864435</v>
      </c>
      <c r="F414" s="20">
        <f>Comparison!$B$10+(C414-Comparison!$B$10)*Comparison!$B$7</f>
        <v>18.700881346700243</v>
      </c>
      <c r="G414" s="20">
        <f>Comparison!$B$11+(D414-Comparison!$B$11)*Comparison!$B$7</f>
        <v>-43.184976190076135</v>
      </c>
    </row>
    <row r="415" spans="1:7">
      <c r="A415" s="18">
        <f>'Raw Data'!A415</f>
        <v>593</v>
      </c>
      <c r="B415" s="20">
        <f>'Raw Data'!C415</f>
        <v>13.776169295318976</v>
      </c>
      <c r="C415" s="20">
        <f>'Raw Data'!F415</f>
        <v>19.451574325561523</v>
      </c>
      <c r="D415" s="20">
        <f>'Raw Data'!G415</f>
        <v>-43.211132049560547</v>
      </c>
      <c r="E415" s="20">
        <f>'Raw Data'!H415</f>
        <v>7.6266541951641864</v>
      </c>
      <c r="F415" s="20">
        <f>Comparison!$B$10+(C415-Comparison!$B$10)*Comparison!$B$7</f>
        <v>19.417917763009754</v>
      </c>
      <c r="G415" s="20">
        <f>Comparison!$B$11+(D415-Comparison!$B$11)*Comparison!$B$7</f>
        <v>-43.382127544623117</v>
      </c>
    </row>
    <row r="416" spans="1:7">
      <c r="A416" s="18">
        <f>'Raw Data'!A416</f>
        <v>594</v>
      </c>
      <c r="B416" s="20">
        <f>'Raw Data'!C416</f>
        <v>13.809518653321202</v>
      </c>
      <c r="C416" s="20">
        <f>'Raw Data'!F416</f>
        <v>20.332082748413086</v>
      </c>
      <c r="D416" s="20">
        <f>'Raw Data'!G416</f>
        <v>-43.204212188720703</v>
      </c>
      <c r="E416" s="20">
        <f>'Raw Data'!H416</f>
        <v>7.6144090908866424</v>
      </c>
      <c r="F416" s="20">
        <f>Comparison!$B$10+(C416-Comparison!$B$10)*Comparison!$B$7</f>
        <v>20.349778263000246</v>
      </c>
      <c r="G416" s="20">
        <f>Comparison!$B$11+(D416-Comparison!$B$11)*Comparison!$B$7</f>
        <v>-43.37480411100826</v>
      </c>
    </row>
    <row r="417" spans="1:7">
      <c r="A417" s="18">
        <f>'Raw Data'!A417</f>
        <v>595</v>
      </c>
      <c r="B417" s="20">
        <f>'Raw Data'!C417</f>
        <v>13.842868011323425</v>
      </c>
      <c r="C417" s="20">
        <f>'Raw Data'!F417</f>
        <v>21.115438461303711</v>
      </c>
      <c r="D417" s="20">
        <f>'Raw Data'!G417</f>
        <v>-43.217555999755859</v>
      </c>
      <c r="E417" s="20">
        <f>'Raw Data'!H417</f>
        <v>7.5115903149549048</v>
      </c>
      <c r="F417" s="20">
        <f>Comparison!$B$10+(C417-Comparison!$B$10)*Comparison!$B$7</f>
        <v>21.178820015855489</v>
      </c>
      <c r="G417" s="20">
        <f>Comparison!$B$11+(D417-Comparison!$B$11)*Comparison!$B$7</f>
        <v>-43.3889261456195</v>
      </c>
    </row>
    <row r="418" spans="1:7">
      <c r="A418" s="18">
        <f>'Raw Data'!A418</f>
        <v>596</v>
      </c>
      <c r="B418" s="20">
        <f>'Raw Data'!C418</f>
        <v>13.876217369325651</v>
      </c>
      <c r="C418" s="20">
        <f>'Raw Data'!F418</f>
        <v>22.008449554443359</v>
      </c>
      <c r="D418" s="20">
        <f>'Raw Data'!G418</f>
        <v>-43.161151885986328</v>
      </c>
      <c r="E418" s="20">
        <f>'Raw Data'!H418</f>
        <v>7.664624969967277</v>
      </c>
      <c r="F418" s="20">
        <f>Comparison!$B$10+(C418-Comparison!$B$10)*Comparison!$B$7</f>
        <v>22.123912353592793</v>
      </c>
      <c r="G418" s="20">
        <f>Comparison!$B$11+(D418-Comparison!$B$11)*Comparison!$B$7</f>
        <v>-43.329232491027781</v>
      </c>
    </row>
    <row r="419" spans="1:7">
      <c r="A419" s="18">
        <f>'Raw Data'!A419</f>
        <v>597</v>
      </c>
      <c r="B419" s="20">
        <f>'Raw Data'!C419</f>
        <v>13.909566727327874</v>
      </c>
      <c r="C419" s="20">
        <f>'Raw Data'!F419</f>
        <v>23.241912841796875</v>
      </c>
      <c r="D419" s="20">
        <f>'Raw Data'!G419</f>
        <v>-43.214260101318359</v>
      </c>
      <c r="E419" s="20">
        <f>'Raw Data'!H419</f>
        <v>7.679490694005362</v>
      </c>
      <c r="F419" s="20">
        <f>Comparison!$B$10+(C419-Comparison!$B$10)*Comparison!$B$7</f>
        <v>23.429312376855187</v>
      </c>
      <c r="G419" s="20">
        <f>Comparison!$B$11+(D419-Comparison!$B$11)*Comparison!$B$7</f>
        <v>-43.385438027293567</v>
      </c>
    </row>
    <row r="420" spans="1:7">
      <c r="A420" s="18">
        <f>'Raw Data'!A420</f>
        <v>598</v>
      </c>
      <c r="B420" s="20">
        <f>'Raw Data'!C420</f>
        <v>13.942916085330097</v>
      </c>
      <c r="C420" s="20">
        <f>'Raw Data'!F420</f>
        <v>24.134559631347656</v>
      </c>
      <c r="D420" s="20">
        <f>'Raw Data'!G420</f>
        <v>-43.281116485595703</v>
      </c>
      <c r="E420" s="20">
        <f>'Raw Data'!H420</f>
        <v>7.598051587373746</v>
      </c>
      <c r="F420" s="20">
        <f>Comparison!$B$10+(C420-Comparison!$B$10)*Comparison!$B$7</f>
        <v>24.374019164476604</v>
      </c>
      <c r="G420" s="20">
        <f>Comparison!$B$11+(D420-Comparison!$B$11)*Comparison!$B$7</f>
        <v>-43.456193538613356</v>
      </c>
    </row>
    <row r="421" spans="1:7">
      <c r="A421" s="18">
        <f>'Raw Data'!A421</f>
        <v>599</v>
      </c>
      <c r="B421" s="20">
        <f>'Raw Data'!C421</f>
        <v>13.976265443332323</v>
      </c>
      <c r="C421" s="20">
        <f>'Raw Data'!F421</f>
        <v>25.315725326538086</v>
      </c>
      <c r="D421" s="20">
        <f>'Raw Data'!G421</f>
        <v>-43.332500457763672</v>
      </c>
      <c r="E421" s="20">
        <f>'Raw Data'!H421</f>
        <v>7.528135688117529</v>
      </c>
      <c r="F421" s="20">
        <f>Comparison!$B$10+(C421-Comparison!$B$10)*Comparison!$B$7</f>
        <v>25.62407155094574</v>
      </c>
      <c r="G421" s="20">
        <f>Comparison!$B$11+(D421-Comparison!$B$11)*Comparison!$B$7</f>
        <v>-43.510574272236404</v>
      </c>
    </row>
    <row r="422" spans="1:7">
      <c r="A422" s="18">
        <f>'Raw Data'!A422</f>
        <v>600</v>
      </c>
      <c r="B422" s="20">
        <f>'Raw Data'!C422</f>
        <v>14.009614801334546</v>
      </c>
      <c r="C422" s="20">
        <f>'Raw Data'!F422</f>
        <v>26.138275146484375</v>
      </c>
      <c r="D422" s="20">
        <f>'Raw Data'!G422</f>
        <v>-43.330360412597656</v>
      </c>
      <c r="E422" s="20">
        <f>'Raw Data'!H422</f>
        <v>7.6997158822936775</v>
      </c>
      <c r="F422" s="20">
        <f>Comparison!$B$10+(C422-Comparison!$B$10)*Comparison!$B$7</f>
        <v>26.494593247944266</v>
      </c>
      <c r="G422" s="20">
        <f>Comparison!$B$11+(D422-Comparison!$B$11)*Comparison!$B$7</f>
        <v>-43.508309417628936</v>
      </c>
    </row>
    <row r="423" spans="1:7">
      <c r="A423" s="18">
        <f>'Raw Data'!A423</f>
        <v>601</v>
      </c>
      <c r="B423" s="20">
        <f>'Raw Data'!C423</f>
        <v>14.042964159336773</v>
      </c>
      <c r="C423" s="20">
        <f>'Raw Data'!F423</f>
        <v>27.138107299804688</v>
      </c>
      <c r="D423" s="20">
        <f>'Raw Data'!G423</f>
        <v>-43.503124237060547</v>
      </c>
      <c r="E423" s="20">
        <f>'Raw Data'!H423</f>
        <v>7.5487664083239023</v>
      </c>
      <c r="F423" s="20">
        <f>Comparison!$B$10+(C423-Comparison!$B$10)*Comparison!$B$7</f>
        <v>27.552736550290284</v>
      </c>
      <c r="G423" s="20">
        <f>Comparison!$B$11+(D423-Comparison!$B$11)*Comparison!$B$7</f>
        <v>-43.691148990387234</v>
      </c>
    </row>
    <row r="424" spans="1:7">
      <c r="A424" s="18">
        <f>'Raw Data'!A424</f>
        <v>602</v>
      </c>
      <c r="B424" s="20">
        <f>'Raw Data'!C424</f>
        <v>14.076313517338995</v>
      </c>
      <c r="C424" s="20">
        <f>'Raw Data'!F424</f>
        <v>28.025733947753906</v>
      </c>
      <c r="D424" s="20">
        <f>'Raw Data'!G424</f>
        <v>-43.574836730957031</v>
      </c>
      <c r="E424" s="20">
        <f>'Raw Data'!H424</f>
        <v>7.5583748065868592</v>
      </c>
      <c r="F424" s="20">
        <f>Comparison!$B$10+(C424-Comparison!$B$10)*Comparison!$B$7</f>
        <v>28.492130416943034</v>
      </c>
      <c r="G424" s="20">
        <f>Comparison!$B$11+(D424-Comparison!$B$11)*Comparison!$B$7</f>
        <v>-43.767043824194189</v>
      </c>
    </row>
    <row r="425" spans="1:7">
      <c r="A425" s="18">
        <f>'Raw Data'!A425</f>
        <v>603</v>
      </c>
      <c r="B425" s="20">
        <f>'Raw Data'!C425</f>
        <v>14.109662875341218</v>
      </c>
      <c r="C425" s="20">
        <f>'Raw Data'!F425</f>
        <v>29.378225326538086</v>
      </c>
      <c r="D425" s="20">
        <f>'Raw Data'!G425</f>
        <v>-43.704166412353516</v>
      </c>
      <c r="E425" s="20">
        <f>'Raw Data'!H425</f>
        <v>7.5460189045355959</v>
      </c>
      <c r="F425" s="20">
        <f>Comparison!$B$10+(C425-Comparison!$B$10)*Comparison!$B$7</f>
        <v>29.923500361576856</v>
      </c>
      <c r="G425" s="20">
        <f>Comparison!$B$11+(D425-Comparison!$B$11)*Comparison!$B$7</f>
        <v>-43.90391613392115</v>
      </c>
    </row>
    <row r="426" spans="1:7">
      <c r="A426" s="18">
        <f>'Raw Data'!A426</f>
        <v>604</v>
      </c>
      <c r="B426" s="20">
        <f>'Raw Data'!C426</f>
        <v>14.143012233343445</v>
      </c>
      <c r="C426" s="20">
        <f>'Raw Data'!F426</f>
        <v>29.951742172241211</v>
      </c>
      <c r="D426" s="20">
        <f>'Raw Data'!G426</f>
        <v>-43.768814086914063</v>
      </c>
      <c r="E426" s="20">
        <f>'Raw Data'!H426</f>
        <v>7.528135688117529</v>
      </c>
      <c r="F426" s="20">
        <f>Comparison!$B$10+(C426-Comparison!$B$10)*Comparison!$B$7</f>
        <v>30.53046524768105</v>
      </c>
      <c r="G426" s="20">
        <f>Comparison!$B$11+(D426-Comparison!$B$11)*Comparison!$B$7</f>
        <v>-43.972334121501682</v>
      </c>
    </row>
    <row r="427" spans="1:7">
      <c r="A427" s="18">
        <f>'Raw Data'!A427</f>
        <v>605</v>
      </c>
      <c r="B427" s="20">
        <f>'Raw Data'!C427</f>
        <v>14.176361591345668</v>
      </c>
      <c r="C427" s="20">
        <f>'Raw Data'!F427</f>
        <v>31.327722549438477</v>
      </c>
      <c r="D427" s="20">
        <f>'Raw Data'!G427</f>
        <v>-43.660842895507813</v>
      </c>
      <c r="E427" s="20">
        <f>'Raw Data'!H427</f>
        <v>7.5843933854487648</v>
      </c>
      <c r="F427" s="20">
        <f>Comparison!$B$10+(C427-Comparison!$B$10)*Comparison!$B$7</f>
        <v>31.986694091148127</v>
      </c>
      <c r="G427" s="20">
        <f>Comparison!$B$11+(D427-Comparison!$B$11)*Comparison!$B$7</f>
        <v>-43.858065948935483</v>
      </c>
    </row>
    <row r="428" spans="1:7">
      <c r="A428" s="18">
        <f>'Raw Data'!A428</f>
        <v>606</v>
      </c>
      <c r="B428" s="20">
        <f>'Raw Data'!C428</f>
        <v>14.209710949347894</v>
      </c>
      <c r="C428" s="20">
        <f>'Raw Data'!F428</f>
        <v>32.041278839111328</v>
      </c>
      <c r="D428" s="20">
        <f>'Raw Data'!G428</f>
        <v>-43.632652282714844</v>
      </c>
      <c r="E428" s="20">
        <f>'Raw Data'!H428</f>
        <v>7.5871269928128733</v>
      </c>
      <c r="F428" s="20">
        <f>Comparison!$B$10+(C428-Comparison!$B$10)*Comparison!$B$7</f>
        <v>32.741865652951574</v>
      </c>
      <c r="G428" s="20">
        <f>Comparison!$B$11+(D428-Comparison!$B$11)*Comparison!$B$7</f>
        <v>-43.828231233161588</v>
      </c>
    </row>
    <row r="429" spans="1:7">
      <c r="A429" s="18">
        <f>'Raw Data'!A429</f>
        <v>607</v>
      </c>
      <c r="B429" s="20">
        <f>'Raw Data'!C429</f>
        <v>14.243060307350117</v>
      </c>
      <c r="C429" s="20">
        <f>'Raw Data'!F429</f>
        <v>33.005146026611328</v>
      </c>
      <c r="D429" s="20">
        <f>'Raw Data'!G429</f>
        <v>-43.601768493652344</v>
      </c>
      <c r="E429" s="20">
        <f>'Raw Data'!H429</f>
        <v>7.5679710059073653</v>
      </c>
      <c r="F429" s="20">
        <f>Comparison!$B$10+(C429-Comparison!$B$10)*Comparison!$B$7</f>
        <v>33.76194647893545</v>
      </c>
      <c r="G429" s="20">
        <f>Comparison!$B$11+(D429-Comparison!$B$11)*Comparison!$B$7</f>
        <v>-43.795546272551924</v>
      </c>
    </row>
    <row r="430" spans="1:7">
      <c r="A430" s="18">
        <f>'Raw Data'!A430</f>
        <v>608</v>
      </c>
      <c r="B430" s="20">
        <f>'Raw Data'!C430</f>
        <v>14.27640966535234</v>
      </c>
      <c r="C430" s="20">
        <f>'Raw Data'!F430</f>
        <v>34.041549682617188</v>
      </c>
      <c r="D430" s="20">
        <f>'Raw Data'!G430</f>
        <v>-43.724788665771484</v>
      </c>
      <c r="E430" s="20">
        <f>'Raw Data'!H430</f>
        <v>7.6048714896419876</v>
      </c>
      <c r="F430" s="20">
        <f>Comparison!$B$10+(C430-Comparison!$B$10)*Comparison!$B$7</f>
        <v>34.85879416830776</v>
      </c>
      <c r="G430" s="20">
        <f>Comparison!$B$11+(D430-Comparison!$B$11)*Comparison!$B$7</f>
        <v>-43.925741096502158</v>
      </c>
    </row>
    <row r="431" spans="1:7">
      <c r="A431" s="18">
        <f>'Raw Data'!A431</f>
        <v>609</v>
      </c>
      <c r="B431" s="20">
        <f>'Raw Data'!C431</f>
        <v>14.309759023354566</v>
      </c>
      <c r="C431" s="20">
        <f>'Raw Data'!F431</f>
        <v>35.224647521972656</v>
      </c>
      <c r="D431" s="20">
        <f>'Raw Data'!G431</f>
        <v>-43.677616119384766</v>
      </c>
      <c r="E431" s="20">
        <f>'Raw Data'!H431</f>
        <v>7.625294599076164</v>
      </c>
      <c r="F431" s="20">
        <f>Comparison!$B$10+(C431-Comparison!$B$10)*Comparison!$B$7</f>
        <v>36.110891383401992</v>
      </c>
      <c r="G431" s="20">
        <f>Comparison!$B$11+(D431-Comparison!$B$11)*Comparison!$B$7</f>
        <v>-43.875817402962248</v>
      </c>
    </row>
    <row r="432" spans="1:7">
      <c r="A432" s="18">
        <f>'Raw Data'!A432</f>
        <v>610</v>
      </c>
      <c r="B432" s="20">
        <f>'Raw Data'!C432</f>
        <v>14.343108381356789</v>
      </c>
      <c r="C432" s="20">
        <f>'Raw Data'!F432</f>
        <v>35.93963623046875</v>
      </c>
      <c r="D432" s="20">
        <f>'Raw Data'!G432</f>
        <v>-43.616081237792969</v>
      </c>
      <c r="E432" s="20">
        <f>'Raw Data'!H432</f>
        <v>7.5432704000173461</v>
      </c>
      <c r="F432" s="20">
        <f>Comparison!$B$10+(C432-Comparison!$B$10)*Comparison!$B$7</f>
        <v>36.867578904038062</v>
      </c>
      <c r="G432" s="20">
        <f>Comparison!$B$11+(D432-Comparison!$B$11)*Comparison!$B$7</f>
        <v>-43.810693749356204</v>
      </c>
    </row>
    <row r="433" spans="1:7">
      <c r="A433" s="18">
        <f>'Raw Data'!A433</f>
        <v>611</v>
      </c>
      <c r="B433" s="20">
        <f>'Raw Data'!C433</f>
        <v>14.376457739359015</v>
      </c>
      <c r="C433" s="20">
        <f>'Raw Data'!F433</f>
        <v>36.653705596923828</v>
      </c>
      <c r="D433" s="20">
        <f>'Raw Data'!G433</f>
        <v>-43.564277648925781</v>
      </c>
      <c r="E433" s="20">
        <f>'Raw Data'!H433</f>
        <v>7.6157706302968791</v>
      </c>
      <c r="F433" s="20">
        <f>Comparison!$B$10+(C433-Comparison!$B$10)*Comparison!$B$7</f>
        <v>37.623293465742947</v>
      </c>
      <c r="G433" s="20">
        <f>Comparison!$B$11+(D433-Comparison!$B$11)*Comparison!$B$7</f>
        <v>-43.755868926594438</v>
      </c>
    </row>
    <row r="434" spans="1:7">
      <c r="A434" s="18">
        <f>'Raw Data'!A434</f>
        <v>612</v>
      </c>
      <c r="B434" s="20">
        <f>'Raw Data'!C434</f>
        <v>14.409807097361238</v>
      </c>
      <c r="C434" s="20">
        <f>'Raw Data'!F434</f>
        <v>37.641620635986328</v>
      </c>
      <c r="D434" s="20">
        <f>'Raw Data'!G434</f>
        <v>-43.612606048583984</v>
      </c>
      <c r="E434" s="20">
        <f>'Raw Data'!H434</f>
        <v>7.6171319263360466</v>
      </c>
      <c r="F434" s="20">
        <f>Comparison!$B$10+(C434-Comparison!$B$10)*Comparison!$B$7</f>
        <v>38.66882463654936</v>
      </c>
      <c r="G434" s="20">
        <f>Comparison!$B$11+(D434-Comparison!$B$11)*Comparison!$B$7</f>
        <v>-43.80701588385282</v>
      </c>
    </row>
    <row r="435" spans="1:7">
      <c r="A435" s="18">
        <f>'Raw Data'!A435</f>
        <v>613</v>
      </c>
      <c r="B435" s="20">
        <f>'Raw Data'!C435</f>
        <v>14.443156455363461</v>
      </c>
      <c r="C435" s="20">
        <f>'Raw Data'!F435</f>
        <v>38.565658569335938</v>
      </c>
      <c r="D435" s="20">
        <f>'Raw Data'!G435</f>
        <v>-43.468673706054688</v>
      </c>
      <c r="E435" s="20">
        <f>'Raw Data'!H435</f>
        <v>7.6307315299623522</v>
      </c>
      <c r="F435" s="20">
        <f>Comparison!$B$10+(C435-Comparison!$B$10)*Comparison!$B$7</f>
        <v>39.646753328920894</v>
      </c>
      <c r="G435" s="20">
        <f>Comparison!$B$11+(D435-Comparison!$B$11)*Comparison!$B$7</f>
        <v>-43.654689272098459</v>
      </c>
    </row>
    <row r="436" spans="1:7">
      <c r="A436" s="18">
        <f>'Raw Data'!A436</f>
        <v>614</v>
      </c>
      <c r="B436" s="20">
        <f>'Raw Data'!C436</f>
        <v>14.476505813365687</v>
      </c>
      <c r="C436" s="20">
        <f>'Raw Data'!F436</f>
        <v>39.503746032714844</v>
      </c>
      <c r="D436" s="20">
        <f>'Raw Data'!G436</f>
        <v>-43.3416748046875</v>
      </c>
      <c r="E436" s="20">
        <f>'Raw Data'!H436</f>
        <v>7.6048714896419876</v>
      </c>
      <c r="F436" s="20">
        <f>Comparison!$B$10+(C436-Comparison!$B$10)*Comparison!$B$7</f>
        <v>40.639550933091513</v>
      </c>
      <c r="G436" s="20">
        <f>Comparison!$B$11+(D436-Comparison!$B$11)*Comparison!$B$7</f>
        <v>-43.520283675678378</v>
      </c>
    </row>
    <row r="437" spans="1:7">
      <c r="A437" s="18">
        <f>'Raw Data'!A437</f>
        <v>615</v>
      </c>
      <c r="B437" s="20">
        <f>'Raw Data'!C437</f>
        <v>14.50985517136791</v>
      </c>
      <c r="C437" s="20">
        <f>'Raw Data'!F437</f>
        <v>40.044803619384766</v>
      </c>
      <c r="D437" s="20">
        <f>'Raw Data'!G437</f>
        <v>-43.264499664306641</v>
      </c>
      <c r="E437" s="20">
        <f>'Raw Data'!H437</f>
        <v>7.5115903149549048</v>
      </c>
      <c r="F437" s="20">
        <f>Comparison!$B$10+(C437-Comparison!$B$10)*Comparison!$B$7</f>
        <v>41.212163505728853</v>
      </c>
      <c r="G437" s="20">
        <f>Comparison!$B$11+(D437-Comparison!$B$11)*Comparison!$B$7</f>
        <v>-43.438607608720112</v>
      </c>
    </row>
    <row r="438" spans="1:7">
      <c r="A438" s="18">
        <f>'Raw Data'!A438</f>
        <v>616</v>
      </c>
      <c r="B438" s="20">
        <f>'Raw Data'!C438</f>
        <v>14.543204529370136</v>
      </c>
      <c r="C438" s="20">
        <f>'Raw Data'!F438</f>
        <v>41.117950439453125</v>
      </c>
      <c r="D438" s="20">
        <f>'Raw Data'!G438</f>
        <v>-43.262264251708984</v>
      </c>
      <c r="E438" s="20">
        <f>'Raw Data'!H438</f>
        <v>7.5129704877391674</v>
      </c>
      <c r="F438" s="20">
        <f>Comparison!$B$10+(C438-Comparison!$B$10)*Comparison!$B$7</f>
        <v>42.347897254956933</v>
      </c>
      <c r="G438" s="20">
        <f>Comparison!$B$11+(D438-Comparison!$B$11)*Comparison!$B$7</f>
        <v>-43.436241824762938</v>
      </c>
    </row>
    <row r="439" spans="1:7">
      <c r="A439" s="18">
        <f>'Raw Data'!A439</f>
        <v>617</v>
      </c>
      <c r="B439" s="20">
        <f>'Raw Data'!C439</f>
        <v>14.576553887372359</v>
      </c>
      <c r="C439" s="20">
        <f>'Raw Data'!F439</f>
        <v>42.385883331298828</v>
      </c>
      <c r="D439" s="20">
        <f>'Raw Data'!G439</f>
        <v>-43.302394866943359</v>
      </c>
      <c r="E439" s="20">
        <f>'Raw Data'!H439</f>
        <v>7.4659014788916878</v>
      </c>
      <c r="F439" s="20">
        <f>Comparison!$B$10+(C439-Comparison!$B$10)*Comparison!$B$7</f>
        <v>43.689777182378037</v>
      </c>
      <c r="G439" s="20">
        <f>Comparison!$B$11+(D439-Comparison!$B$11)*Comparison!$B$7</f>
        <v>-43.47871289512036</v>
      </c>
    </row>
    <row r="440" spans="1:7">
      <c r="A440" s="18">
        <f>'Raw Data'!A440</f>
        <v>618</v>
      </c>
      <c r="B440" s="20">
        <f>'Raw Data'!C440</f>
        <v>14.609903245374582</v>
      </c>
      <c r="C440" s="20">
        <f>'Raw Data'!F440</f>
        <v>43.232704162597656</v>
      </c>
      <c r="D440" s="20">
        <f>'Raw Data'!G440</f>
        <v>-43.133777618408203</v>
      </c>
      <c r="E440" s="20">
        <f>'Raw Data'!H440</f>
        <v>7.5843933854487648</v>
      </c>
      <c r="F440" s="20">
        <f>Comparison!$B$10+(C440-Comparison!$B$10)*Comparison!$B$7</f>
        <v>44.585985398877426</v>
      </c>
      <c r="G440" s="20">
        <f>Comparison!$B$11+(D440-Comparison!$B$11)*Comparison!$B$7</f>
        <v>-43.300261730487399</v>
      </c>
    </row>
    <row r="441" spans="1:7">
      <c r="A441" s="18">
        <f>'Raw Data'!A441</f>
        <v>619</v>
      </c>
      <c r="B441" s="20">
        <f>'Raw Data'!C441</f>
        <v>14.643252603376808</v>
      </c>
      <c r="C441" s="20">
        <f>'Raw Data'!F441</f>
        <v>44.419761657714844</v>
      </c>
      <c r="D441" s="20">
        <f>'Raw Data'!G441</f>
        <v>-43.208343505859375</v>
      </c>
      <c r="E441" s="20">
        <f>'Raw Data'!H441</f>
        <v>7.6225746793894631</v>
      </c>
      <c r="F441" s="20">
        <f>Comparison!$B$10+(C441-Comparison!$B$10)*Comparison!$B$7</f>
        <v>45.842273200571569</v>
      </c>
      <c r="G441" s="20">
        <f>Comparison!$B$11+(D441-Comparison!$B$11)*Comparison!$B$7</f>
        <v>-43.379176370437641</v>
      </c>
    </row>
    <row r="442" spans="1:7">
      <c r="A442" s="18">
        <f>'Raw Data'!A442</f>
        <v>620</v>
      </c>
      <c r="B442" s="20">
        <f>'Raw Data'!C442</f>
        <v>14.676601961379031</v>
      </c>
      <c r="C442" s="20">
        <f>'Raw Data'!F442</f>
        <v>45.333114624023438</v>
      </c>
      <c r="D442" s="20">
        <f>'Raw Data'!G442</f>
        <v>-43.218746185302734</v>
      </c>
      <c r="E442" s="20">
        <f>'Raw Data'!H442</f>
        <v>7.6035079985526526</v>
      </c>
      <c r="F442" s="20">
        <f>Comparison!$B$10+(C442-Comparison!$B$10)*Comparison!$B$7</f>
        <v>46.808893768601735</v>
      </c>
      <c r="G442" s="20">
        <f>Comparison!$B$11+(D442-Comparison!$B$11)*Comparison!$B$7</f>
        <v>-43.390185743903864</v>
      </c>
    </row>
    <row r="443" spans="1:7">
      <c r="A443" s="18">
        <f>'Raw Data'!A443</f>
        <v>621</v>
      </c>
      <c r="B443" s="20">
        <f>'Raw Data'!C443</f>
        <v>14.709951319381258</v>
      </c>
      <c r="C443" s="20">
        <f>'Raw Data'!F443</f>
        <v>45.847652435302734</v>
      </c>
      <c r="D443" s="20">
        <f>'Raw Data'!G443</f>
        <v>-42.784263610839844</v>
      </c>
      <c r="E443" s="20">
        <f>'Raw Data'!H443</f>
        <v>7.5046856436593981</v>
      </c>
      <c r="F443" s="20">
        <f>Comparison!$B$10+(C443-Comparison!$B$10)*Comparison!$B$7</f>
        <v>47.353439907672083</v>
      </c>
      <c r="G443" s="20">
        <f>Comparison!$B$11+(D443-Comparison!$B$11)*Comparison!$B$7</f>
        <v>-42.930363738152991</v>
      </c>
    </row>
    <row r="444" spans="1:7">
      <c r="A444" s="18">
        <f>'Raw Data'!A444</f>
        <v>622</v>
      </c>
      <c r="B444" s="20">
        <f>'Raw Data'!C444</f>
        <v>14.74330067738348</v>
      </c>
      <c r="C444" s="20">
        <f>'Raw Data'!F444</f>
        <v>46.603168487548828</v>
      </c>
      <c r="D444" s="20">
        <f>'Raw Data'!G444</f>
        <v>-42.607318878173828</v>
      </c>
      <c r="E444" s="20">
        <f>'Raw Data'!H444</f>
        <v>7.5322663527290965</v>
      </c>
      <c r="F444" s="20">
        <f>Comparison!$B$10+(C444-Comparison!$B$10)*Comparison!$B$7</f>
        <v>48.153018364760364</v>
      </c>
      <c r="G444" s="20">
        <f>Comparison!$B$11+(D444-Comparison!$B$11)*Comparison!$B$7</f>
        <v>-42.743099422703466</v>
      </c>
    </row>
    <row r="445" spans="1:7">
      <c r="A445" s="18">
        <f>'Raw Data'!A445</f>
        <v>623</v>
      </c>
      <c r="B445" s="20">
        <f>'Raw Data'!C445</f>
        <v>14.776650035385703</v>
      </c>
      <c r="C445" s="20">
        <f>'Raw Data'!F445</f>
        <v>47.218330383300781</v>
      </c>
      <c r="D445" s="20">
        <f>'Raw Data'!G445</f>
        <v>-42.495170593261719</v>
      </c>
      <c r="E445" s="20">
        <f>'Raw Data'!H445</f>
        <v>7.625294599076164</v>
      </c>
      <c r="F445" s="20">
        <f>Comparison!$B$10+(C445-Comparison!$B$10)*Comparison!$B$7</f>
        <v>48.804057079295362</v>
      </c>
      <c r="G445" s="20">
        <f>Comparison!$B$11+(D445-Comparison!$B$11)*Comparison!$B$7</f>
        <v>-42.624410544620019</v>
      </c>
    </row>
    <row r="446" spans="1:7">
      <c r="A446" s="18">
        <f>'Raw Data'!A446</f>
        <v>624</v>
      </c>
      <c r="B446" s="20">
        <f>'Raw Data'!C446</f>
        <v>14.80999939338793</v>
      </c>
      <c r="C446" s="20">
        <f>'Raw Data'!F446</f>
        <v>47.835567474365234</v>
      </c>
      <c r="D446" s="20">
        <f>'Raw Data'!G446</f>
        <v>-42.251972198486328</v>
      </c>
      <c r="E446" s="20">
        <f>'Raw Data'!H446</f>
        <v>7.5570029262222453</v>
      </c>
      <c r="F446" s="20">
        <f>Comparison!$B$10+(C446-Comparison!$B$10)*Comparison!$B$7</f>
        <v>49.457292016480011</v>
      </c>
      <c r="G446" s="20">
        <f>Comparison!$B$11+(D446-Comparison!$B$11)*Comparison!$B$7</f>
        <v>-42.367028591340869</v>
      </c>
    </row>
    <row r="447" spans="1:7">
      <c r="A447" s="18">
        <f>'Raw Data'!A447</f>
        <v>625</v>
      </c>
      <c r="B447" s="20">
        <f>'Raw Data'!C447</f>
        <v>14.843348751390153</v>
      </c>
      <c r="C447" s="20">
        <f>'Raw Data'!F447</f>
        <v>48.351058959960938</v>
      </c>
      <c r="D447" s="20">
        <f>'Raw Data'!G447</f>
        <v>-42.021492004394531</v>
      </c>
      <c r="E447" s="20">
        <f>'Raw Data'!H447</f>
        <v>7.5884934272215778</v>
      </c>
      <c r="F447" s="20">
        <f>Comparison!$B$10+(C447-Comparison!$B$10)*Comparison!$B$7</f>
        <v>50.002847449047444</v>
      </c>
      <c r="G447" s="20">
        <f>Comparison!$B$11+(D447-Comparison!$B$11)*Comparison!$B$7</f>
        <v>-42.123106576138866</v>
      </c>
    </row>
    <row r="448" spans="1:7">
      <c r="A448" s="18">
        <f>'Raw Data'!A448</f>
        <v>626</v>
      </c>
      <c r="B448" s="20">
        <f>'Raw Data'!C448</f>
        <v>14.876698109392379</v>
      </c>
      <c r="C448" s="20">
        <f>'Raw Data'!F448</f>
        <v>49.828071594238281</v>
      </c>
      <c r="D448" s="20">
        <f>'Raw Data'!G448</f>
        <v>-42.085014343261719</v>
      </c>
      <c r="E448" s="20">
        <f>'Raw Data'!H448</f>
        <v>7.6848892821547166</v>
      </c>
      <c r="F448" s="20">
        <f>Comparison!$B$10+(C448-Comparison!$B$10)*Comparison!$B$7</f>
        <v>51.566000845595916</v>
      </c>
      <c r="G448" s="20">
        <f>Comparison!$B$11+(D448-Comparison!$B$11)*Comparison!$B$7</f>
        <v>-42.190333597392844</v>
      </c>
    </row>
    <row r="449" spans="1:7">
      <c r="A449" s="18">
        <f>'Raw Data'!A449</f>
        <v>627</v>
      </c>
      <c r="B449" s="20">
        <f>'Raw Data'!C449</f>
        <v>14.910047467394602</v>
      </c>
      <c r="C449" s="20">
        <f>'Raw Data'!F449</f>
        <v>51.203842163085938</v>
      </c>
      <c r="D449" s="20">
        <f>'Raw Data'!G449</f>
        <v>-42.082023620605469</v>
      </c>
      <c r="E449" s="20">
        <f>'Raw Data'!H449</f>
        <v>7.705100299652627</v>
      </c>
      <c r="F449" s="20">
        <f>Comparison!$B$10+(C449-Comparison!$B$10)*Comparison!$B$7</f>
        <v>53.022007644493634</v>
      </c>
      <c r="G449" s="20">
        <f>Comparison!$B$11+(D449-Comparison!$B$11)*Comparison!$B$7</f>
        <v>-42.187168452985972</v>
      </c>
    </row>
    <row r="450" spans="1:7">
      <c r="A450" s="18">
        <f>'Raw Data'!A450</f>
        <v>628</v>
      </c>
      <c r="B450" s="20">
        <f>'Raw Data'!C450</f>
        <v>14.943396825396825</v>
      </c>
      <c r="C450" s="20">
        <f>'Raw Data'!F450</f>
        <v>51.260154724121094</v>
      </c>
      <c r="D450" s="20">
        <f>'Raw Data'!G450</f>
        <v>-41.57220458984375</v>
      </c>
      <c r="E450" s="20">
        <f>'Raw Data'!H450</f>
        <v>7.6212143555311451</v>
      </c>
      <c r="F450" s="20">
        <f>Comparison!$B$10+(C450-Comparison!$B$10)*Comparison!$B$7</f>
        <v>53.081604406909626</v>
      </c>
      <c r="G450" s="20">
        <f>Comparison!$B$11+(D450-Comparison!$B$11)*Comparison!$B$7</f>
        <v>-41.647616298139212</v>
      </c>
    </row>
    <row r="451" spans="1:7">
      <c r="A451" s="18">
        <f>'Raw Data'!A451</f>
        <v>629</v>
      </c>
      <c r="B451" s="20">
        <f>'Raw Data'!C451</f>
        <v>14.976746183399051</v>
      </c>
      <c r="C451" s="20">
        <f>'Raw Data'!F451</f>
        <v>52.202186584472656</v>
      </c>
      <c r="D451" s="20">
        <f>'Raw Data'!G451</f>
        <v>-41.211776733398438</v>
      </c>
      <c r="E451" s="20">
        <f>'Raw Data'!H451</f>
        <v>7.5336427376382975</v>
      </c>
      <c r="F451" s="20">
        <f>Comparison!$B$10+(C451-Comparison!$B$10)*Comparison!$B$7</f>
        <v>54.078576448984194</v>
      </c>
      <c r="G451" s="20">
        <f>Comparison!$B$11+(D451-Comparison!$B$11)*Comparison!$B$7</f>
        <v>-41.266167951024137</v>
      </c>
    </row>
    <row r="452" spans="1:7">
      <c r="A452" s="18">
        <f>'Raw Data'!A452</f>
        <v>630</v>
      </c>
      <c r="B452" s="20">
        <f>'Raw Data'!C452</f>
        <v>15.010095541401274</v>
      </c>
      <c r="C452" s="20">
        <f>'Raw Data'!F452</f>
        <v>52.808494567871094</v>
      </c>
      <c r="D452" s="20">
        <f>'Raw Data'!G452</f>
        <v>-40.408794403076172</v>
      </c>
      <c r="E452" s="20">
        <f>'Raw Data'!H452</f>
        <v>7.5350188711300268</v>
      </c>
      <c r="F452" s="20">
        <f>Comparison!$B$10+(C452-Comparison!$B$10)*Comparison!$B$7</f>
        <v>54.720244882692235</v>
      </c>
      <c r="G452" s="20">
        <f>Comparison!$B$11+(D452-Comparison!$B$11)*Comparison!$B$7</f>
        <v>-40.416354937998847</v>
      </c>
    </row>
    <row r="453" spans="1:7">
      <c r="A453" s="18">
        <f>'Raw Data'!A453</f>
        <v>631</v>
      </c>
      <c r="B453" s="20">
        <f>'Raw Data'!C453</f>
        <v>15.0434448994035</v>
      </c>
      <c r="C453" s="20">
        <f>'Raw Data'!F453</f>
        <v>53.174961090087891</v>
      </c>
      <c r="D453" s="20">
        <f>'Raw Data'!G453</f>
        <v>-39.612449645996094</v>
      </c>
      <c r="E453" s="20">
        <f>'Raw Data'!H453</f>
        <v>7.5405208936748602</v>
      </c>
      <c r="F453" s="20">
        <f>Comparison!$B$10+(C453-Comparison!$B$10)*Comparison!$B$7</f>
        <v>55.10808407623086</v>
      </c>
      <c r="G453" s="20">
        <f>Comparison!$B$11+(D453-Comparison!$B$11)*Comparison!$B$7</f>
        <v>-39.573566607713275</v>
      </c>
    </row>
    <row r="454" spans="1:7">
      <c r="A454" s="18">
        <f>'Raw Data'!A454</f>
        <v>632</v>
      </c>
      <c r="B454" s="20">
        <f>'Raw Data'!C454</f>
        <v>15.076794257405723</v>
      </c>
      <c r="C454" s="20">
        <f>'Raw Data'!F454</f>
        <v>53.195064544677734</v>
      </c>
      <c r="D454" s="20">
        <f>'Raw Data'!G454</f>
        <v>-38.802234649658203</v>
      </c>
      <c r="E454" s="20">
        <f>'Raw Data'!H454</f>
        <v>7.5515129124745641</v>
      </c>
      <c r="F454" s="20">
        <f>Comparison!$B$10+(C454-Comparison!$B$10)*Comparison!$B$7</f>
        <v>55.129359983149456</v>
      </c>
      <c r="G454" s="20">
        <f>Comparison!$B$11+(D454-Comparison!$B$11)*Comparison!$B$7</f>
        <v>-38.71609911280607</v>
      </c>
    </row>
    <row r="455" spans="1:7">
      <c r="A455" s="18">
        <f>'Raw Data'!A455</f>
        <v>633</v>
      </c>
      <c r="B455" s="20">
        <f>'Raw Data'!C455</f>
        <v>15.110143615407946</v>
      </c>
      <c r="C455" s="20">
        <f>'Raw Data'!F455</f>
        <v>52.500331878662109</v>
      </c>
      <c r="D455" s="20">
        <f>'Raw Data'!G455</f>
        <v>-37.9747314453125</v>
      </c>
      <c r="E455" s="20">
        <f>'Raw Data'!H455</f>
        <v>7.5350188711300268</v>
      </c>
      <c r="F455" s="20">
        <f>Comparison!$B$10+(C455-Comparison!$B$10)*Comparison!$B$7</f>
        <v>54.394109856391516</v>
      </c>
      <c r="G455" s="20">
        <f>Comparison!$B$11+(D455-Comparison!$B$11)*Comparison!$B$7</f>
        <v>-37.840335145383676</v>
      </c>
    </row>
    <row r="456" spans="1:7">
      <c r="A456" s="18">
        <f>'Raw Data'!A456</f>
        <v>634</v>
      </c>
      <c r="B456" s="20">
        <f>'Raw Data'!C456</f>
        <v>15.143492973410172</v>
      </c>
      <c r="C456" s="20">
        <f>'Raw Data'!F456</f>
        <v>51.534938812255859</v>
      </c>
      <c r="D456" s="20">
        <f>'Raw Data'!G456</f>
        <v>-37.291313171386719</v>
      </c>
      <c r="E456" s="20">
        <f>'Raw Data'!H456</f>
        <v>7.495008417656372</v>
      </c>
      <c r="F456" s="20">
        <f>Comparison!$B$10+(C456-Comparison!$B$10)*Comparison!$B$7</f>
        <v>53.372414160812298</v>
      </c>
      <c r="G456" s="20">
        <f>Comparison!$B$11+(D456-Comparison!$B$11)*Comparison!$B$7</f>
        <v>-37.117059276675171</v>
      </c>
    </row>
    <row r="457" spans="1:7">
      <c r="A457" s="18">
        <f>'Raw Data'!A457</f>
        <v>635</v>
      </c>
      <c r="B457" s="20">
        <f>'Raw Data'!C457</f>
        <v>15.176842331412395</v>
      </c>
      <c r="C457" s="20">
        <f>'Raw Data'!F457</f>
        <v>51.442348480224609</v>
      </c>
      <c r="D457" s="20">
        <f>'Raw Data'!G457</f>
        <v>-37.148403167724609</v>
      </c>
      <c r="E457" s="20">
        <f>'Raw Data'!H457</f>
        <v>7.419931315403792</v>
      </c>
      <c r="F457" s="20">
        <f>Comparison!$B$10+(C457-Comparison!$B$10)*Comparison!$B$7</f>
        <v>53.27442387376712</v>
      </c>
      <c r="G457" s="20">
        <f>Comparison!$B$11+(D457-Comparison!$B$11)*Comparison!$B$7</f>
        <v>-36.96581462754969</v>
      </c>
    </row>
    <row r="458" spans="1:7">
      <c r="A458" s="18">
        <f>'Raw Data'!A458</f>
        <v>636</v>
      </c>
      <c r="B458" s="20">
        <f>'Raw Data'!C458</f>
        <v>15.210191689414621</v>
      </c>
      <c r="C458" s="20">
        <f>'Raw Data'!F458</f>
        <v>51.461544036865234</v>
      </c>
      <c r="D458" s="20">
        <f>'Raw Data'!G458</f>
        <v>-37.222373962402344</v>
      </c>
      <c r="E458" s="20">
        <f>'Raw Data'!H458</f>
        <v>7.4922412001289125</v>
      </c>
      <c r="F458" s="20">
        <f>Comparison!$B$10+(C458-Comparison!$B$10)*Comparison!$B$7</f>
        <v>53.294738933276484</v>
      </c>
      <c r="G458" s="20">
        <f>Comparison!$B$11+(D458-Comparison!$B$11)*Comparison!$B$7</f>
        <v>-37.04409946835775</v>
      </c>
    </row>
    <row r="459" spans="1:7">
      <c r="A459" s="18">
        <f>'Raw Data'!A459</f>
        <v>637</v>
      </c>
      <c r="B459" s="20">
        <f>'Raw Data'!C459</f>
        <v>15.243541047416844</v>
      </c>
      <c r="C459" s="20">
        <f>'Raw Data'!F459</f>
        <v>49.313362121582031</v>
      </c>
      <c r="D459" s="20">
        <f>'Raw Data'!G459</f>
        <v>-36.763671875</v>
      </c>
      <c r="E459" s="20">
        <f>'Raw Data'!H459</f>
        <v>7.5570029262222453</v>
      </c>
      <c r="F459" s="20">
        <f>Comparison!$B$10+(C459-Comparison!$B$10)*Comparison!$B$7</f>
        <v>51.02127303369609</v>
      </c>
      <c r="G459" s="20">
        <f>Comparison!$B$11+(D459-Comparison!$B$11)*Comparison!$B$7</f>
        <v>-36.558645444954848</v>
      </c>
    </row>
    <row r="460" spans="1:7">
      <c r="A460" s="18">
        <f>'Raw Data'!A460</f>
        <v>638</v>
      </c>
      <c r="B460" s="20">
        <f>'Raw Data'!C460</f>
        <v>15.276890405419067</v>
      </c>
      <c r="C460" s="20">
        <f>'Raw Data'!F460</f>
        <v>48.248950958251953</v>
      </c>
      <c r="D460" s="20">
        <f>'Raw Data'!G460</f>
        <v>-36.861839294433594</v>
      </c>
      <c r="E460" s="20">
        <f>'Raw Data'!H460</f>
        <v>7.5912255581569861</v>
      </c>
      <c r="F460" s="20">
        <f>Comparison!$B$10+(C460-Comparison!$B$10)*Comparison!$B$7</f>
        <v>49.89478441290133</v>
      </c>
      <c r="G460" s="20">
        <f>Comparison!$B$11+(D460-Comparison!$B$11)*Comparison!$B$7</f>
        <v>-36.662538080371</v>
      </c>
    </row>
    <row r="461" spans="1:7">
      <c r="A461" s="18">
        <f>'Raw Data'!A461</f>
        <v>639</v>
      </c>
      <c r="B461" s="20">
        <f>'Raw Data'!C461</f>
        <v>15.310239763421293</v>
      </c>
      <c r="C461" s="20">
        <f>'Raw Data'!F461</f>
        <v>47.006546020507813</v>
      </c>
      <c r="D461" s="20">
        <f>'Raw Data'!G461</f>
        <v>-36.680171966552734</v>
      </c>
      <c r="E461" s="20">
        <f>'Raw Data'!H461</f>
        <v>7.4645126031511078</v>
      </c>
      <c r="F461" s="20">
        <f>Comparison!$B$10+(C461-Comparison!$B$10)*Comparison!$B$7</f>
        <v>48.579921253810255</v>
      </c>
      <c r="G461" s="20">
        <f>Comparison!$B$11+(D461-Comparison!$B$11)*Comparison!$B$7</f>
        <v>-36.470275743523899</v>
      </c>
    </row>
    <row r="462" spans="1:7">
      <c r="A462" s="18">
        <f>'Raw Data'!A462</f>
        <v>640</v>
      </c>
      <c r="B462" s="20">
        <f>'Raw Data'!C462</f>
        <v>15.343589121423516</v>
      </c>
      <c r="C462" s="20">
        <f>'Raw Data'!F462</f>
        <v>45.672763824462891</v>
      </c>
      <c r="D462" s="20">
        <f>'Raw Data'!G462</f>
        <v>-36.625923156738281</v>
      </c>
      <c r="E462" s="20">
        <f>'Raw Data'!H462</f>
        <v>7.5033039469444454</v>
      </c>
      <c r="F462" s="20">
        <f>Comparison!$B$10+(C462-Comparison!$B$10)*Comparison!$B$7</f>
        <v>47.168351629002281</v>
      </c>
      <c r="G462" s="20">
        <f>Comparison!$B$11+(D462-Comparison!$B$11)*Comparison!$B$7</f>
        <v>-36.412863092235604</v>
      </c>
    </row>
    <row r="463" spans="1:7">
      <c r="A463" s="18">
        <f>'Raw Data'!A463</f>
        <v>641</v>
      </c>
      <c r="B463" s="20">
        <f>'Raw Data'!C463</f>
        <v>15.376938479425743</v>
      </c>
      <c r="C463" s="20">
        <f>'Raw Data'!F463</f>
        <v>45.22637939453125</v>
      </c>
      <c r="D463" s="20">
        <f>'Raw Data'!G463</f>
        <v>-36.814121246337891</v>
      </c>
      <c r="E463" s="20">
        <f>'Raw Data'!H463</f>
        <v>7.4867036966376359</v>
      </c>
      <c r="F463" s="20">
        <f>Comparison!$B$10+(C463-Comparison!$B$10)*Comparison!$B$7</f>
        <v>46.695933640407759</v>
      </c>
      <c r="G463" s="20">
        <f>Comparison!$B$11+(D463-Comparison!$B$11)*Comparison!$B$7</f>
        <v>-36.612037070950755</v>
      </c>
    </row>
    <row r="464" spans="1:7">
      <c r="A464" s="18">
        <f>'Raw Data'!A464</f>
        <v>642</v>
      </c>
      <c r="B464" s="20">
        <f>'Raw Data'!C464</f>
        <v>15.410287837427965</v>
      </c>
      <c r="C464" s="20">
        <f>'Raw Data'!F464</f>
        <v>44.390888214111328</v>
      </c>
      <c r="D464" s="20">
        <f>'Raw Data'!G464</f>
        <v>-36.863201141357422</v>
      </c>
      <c r="E464" s="20">
        <f>'Raw Data'!H464</f>
        <v>7.5074482742126314</v>
      </c>
      <c r="F464" s="20">
        <f>Comparison!$B$10+(C464-Comparison!$B$10)*Comparison!$B$7</f>
        <v>45.811715830653768</v>
      </c>
      <c r="G464" s="20">
        <f>Comparison!$B$11+(D464-Comparison!$B$11)*Comparison!$B$7</f>
        <v>-36.663979351484841</v>
      </c>
    </row>
    <row r="465" spans="1:7">
      <c r="A465" s="18">
        <f>'Raw Data'!A465</f>
        <v>643</v>
      </c>
      <c r="B465" s="20">
        <f>'Raw Data'!C465</f>
        <v>15.443637195430188</v>
      </c>
      <c r="C465" s="20">
        <f>'Raw Data'!F465</f>
        <v>43.668361663818359</v>
      </c>
      <c r="D465" s="20">
        <f>'Raw Data'!G465</f>
        <v>-37.027374267578125</v>
      </c>
      <c r="E465" s="20">
        <f>'Raw Data'!H465</f>
        <v>7.4853186806796854</v>
      </c>
      <c r="F465" s="20">
        <f>Comparison!$B$10+(C465-Comparison!$B$10)*Comparison!$B$7</f>
        <v>45.047050854216721</v>
      </c>
      <c r="G465" s="20">
        <f>Comparison!$B$11+(D465-Comparison!$B$11)*Comparison!$B$7</f>
        <v>-36.83772720842137</v>
      </c>
    </row>
    <row r="466" spans="1:7">
      <c r="A466" s="18">
        <f>'Raw Data'!A466</f>
        <v>644</v>
      </c>
      <c r="B466" s="20">
        <f>'Raw Data'!C466</f>
        <v>15.476986553432415</v>
      </c>
      <c r="C466" s="20">
        <f>'Raw Data'!F466</f>
        <v>43.031696319580078</v>
      </c>
      <c r="D466" s="20">
        <f>'Raw Data'!G466</f>
        <v>-37.1285400390625</v>
      </c>
      <c r="E466" s="20">
        <f>'Raw Data'!H466</f>
        <v>7.5240027557785139</v>
      </c>
      <c r="F466" s="20">
        <f>Comparison!$B$10+(C466-Comparison!$B$10)*Comparison!$B$7</f>
        <v>44.373254589909408</v>
      </c>
      <c r="G466" s="20">
        <f>Comparison!$B$11+(D466-Comparison!$B$11)*Comparison!$B$7</f>
        <v>-36.94479306259236</v>
      </c>
    </row>
    <row r="467" spans="1:7">
      <c r="A467" s="18">
        <f>'Raw Data'!A467</f>
        <v>645</v>
      </c>
      <c r="B467" s="20">
        <f>'Raw Data'!C467</f>
        <v>15.510335911434638</v>
      </c>
      <c r="C467" s="20">
        <f>'Raw Data'!F467</f>
        <v>42.140861511230469</v>
      </c>
      <c r="D467" s="20">
        <f>'Raw Data'!G467</f>
        <v>-37.189182281494141</v>
      </c>
      <c r="E467" s="20">
        <f>'Raw Data'!H467</f>
        <v>7.5966868722145788</v>
      </c>
      <c r="F467" s="20">
        <f>Comparison!$B$10+(C467-Comparison!$B$10)*Comparison!$B$7</f>
        <v>43.430465459932456</v>
      </c>
      <c r="G467" s="20">
        <f>Comparison!$B$11+(D467-Comparison!$B$11)*Comparison!$B$7</f>
        <v>-37.008972017485135</v>
      </c>
    </row>
    <row r="468" spans="1:7">
      <c r="A468" s="18">
        <f>'Raw Data'!A468</f>
        <v>646</v>
      </c>
      <c r="B468" s="20">
        <f>'Raw Data'!C468</f>
        <v>15.543685269436864</v>
      </c>
      <c r="C468" s="20">
        <f>'Raw Data'!F468</f>
        <v>40.41015625</v>
      </c>
      <c r="D468" s="20">
        <f>'Raw Data'!G468</f>
        <v>-37.036811828613281</v>
      </c>
      <c r="E468" s="20">
        <f>'Raw Data'!H468</f>
        <v>7.5046856436593981</v>
      </c>
      <c r="F468" s="20">
        <f>Comparison!$B$10+(C468-Comparison!$B$10)*Comparison!$B$7</f>
        <v>41.598823844462885</v>
      </c>
      <c r="G468" s="20">
        <f>Comparison!$B$11+(D468-Comparison!$B$11)*Comparison!$B$7</f>
        <v>-36.847715176868547</v>
      </c>
    </row>
    <row r="469" spans="1:7">
      <c r="A469" s="18">
        <f>'Raw Data'!A469</f>
        <v>647</v>
      </c>
      <c r="B469" s="20">
        <f>'Raw Data'!C469</f>
        <v>15.577034627439087</v>
      </c>
      <c r="C469" s="20">
        <f>'Raw Data'!F469</f>
        <v>39.75250244140625</v>
      </c>
      <c r="D469" s="20">
        <f>'Raw Data'!G469</f>
        <v>-37.096244812011719</v>
      </c>
      <c r="E469" s="20">
        <f>'Raw Data'!H469</f>
        <v>7.5253806520918287</v>
      </c>
      <c r="F469" s="20">
        <f>Comparison!$B$10+(C469-Comparison!$B$10)*Comparison!$B$7</f>
        <v>40.902815048871688</v>
      </c>
      <c r="G469" s="20">
        <f>Comparison!$B$11+(D469-Comparison!$B$11)*Comparison!$B$7</f>
        <v>-36.910614347607009</v>
      </c>
    </row>
    <row r="470" spans="1:7">
      <c r="A470" s="18">
        <f>'Raw Data'!A470</f>
        <v>648</v>
      </c>
      <c r="B470" s="20">
        <f>'Raw Data'!C470</f>
        <v>15.61038398544131</v>
      </c>
      <c r="C470" s="20">
        <f>'Raw Data'!F470</f>
        <v>39.028705596923828</v>
      </c>
      <c r="D470" s="20">
        <f>'Raw Data'!G470</f>
        <v>-37.259452819824219</v>
      </c>
      <c r="E470" s="20">
        <f>'Raw Data'!H470</f>
        <v>7.5363947533420124</v>
      </c>
      <c r="F470" s="20">
        <f>Comparison!$B$10+(C470-Comparison!$B$10)*Comparison!$B$7</f>
        <v>40.13680569349652</v>
      </c>
      <c r="G470" s="20">
        <f>Comparison!$B$11+(D470-Comparison!$B$11)*Comparison!$B$7</f>
        <v>-37.083340799524493</v>
      </c>
    </row>
    <row r="471" spans="1:7">
      <c r="A471" s="18">
        <f>'Raw Data'!A471</f>
        <v>649</v>
      </c>
      <c r="B471" s="20">
        <f>'Raw Data'!C471</f>
        <v>15.643733343443536</v>
      </c>
      <c r="C471" s="20">
        <f>'Raw Data'!F471</f>
        <v>38.121253967285156</v>
      </c>
      <c r="D471" s="20">
        <f>'Raw Data'!G471</f>
        <v>-37.294624328613281</v>
      </c>
      <c r="E471" s="20">
        <f>'Raw Data'!H471</f>
        <v>7.5322663527290965</v>
      </c>
      <c r="F471" s="20">
        <f>Comparison!$B$10+(C471-Comparison!$B$10)*Comparison!$B$7</f>
        <v>39.176430633626325</v>
      </c>
      <c r="G471" s="20">
        <f>Comparison!$B$11+(D471-Comparison!$B$11)*Comparison!$B$7</f>
        <v>-37.12056354369706</v>
      </c>
    </row>
    <row r="472" spans="1:7">
      <c r="A472" s="18">
        <f>'Raw Data'!A472</f>
        <v>650</v>
      </c>
      <c r="B472" s="20">
        <f>'Raw Data'!C472</f>
        <v>15.677082701445759</v>
      </c>
      <c r="C472" s="20">
        <f>'Raw Data'!F472</f>
        <v>36.771949768066406</v>
      </c>
      <c r="D472" s="20">
        <f>'Raw Data'!G472</f>
        <v>-37.269374847412109</v>
      </c>
      <c r="E472" s="20">
        <f>'Raw Data'!H472</f>
        <v>7.5473927814526762</v>
      </c>
      <c r="F472" s="20">
        <f>Comparison!$B$10+(C472-Comparison!$B$10)*Comparison!$B$7</f>
        <v>37.748433747859764</v>
      </c>
      <c r="G472" s="20">
        <f>Comparison!$B$11+(D472-Comparison!$B$11)*Comparison!$B$7</f>
        <v>-37.093841489068183</v>
      </c>
    </row>
    <row r="473" spans="1:7">
      <c r="A473" s="18">
        <f>'Raw Data'!A473</f>
        <v>651</v>
      </c>
      <c r="B473" s="20">
        <f>'Raw Data'!C473</f>
        <v>15.710432059447985</v>
      </c>
      <c r="C473" s="20">
        <f>'Raw Data'!F473</f>
        <v>36.38970947265625</v>
      </c>
      <c r="D473" s="20">
        <f>'Raw Data'!G473</f>
        <v>-37.396018981933594</v>
      </c>
      <c r="E473" s="20">
        <f>'Raw Data'!H473</f>
        <v>7.4825478796664937</v>
      </c>
      <c r="F473" s="20">
        <f>Comparison!$B$10+(C473-Comparison!$B$10)*Comparison!$B$7</f>
        <v>37.343900839879318</v>
      </c>
      <c r="G473" s="20">
        <f>Comparison!$B$11+(D473-Comparison!$B$11)*Comparison!$B$7</f>
        <v>-37.227871628307348</v>
      </c>
    </row>
    <row r="474" spans="1:7">
      <c r="A474" s="18">
        <f>'Raw Data'!A474</f>
        <v>652</v>
      </c>
      <c r="B474" s="20">
        <f>'Raw Data'!C474</f>
        <v>15.743781417450208</v>
      </c>
      <c r="C474" s="20">
        <f>'Raw Data'!F474</f>
        <v>35.542945861816406</v>
      </c>
      <c r="D474" s="20">
        <f>'Raw Data'!G474</f>
        <v>-37.527496337890625</v>
      </c>
      <c r="E474" s="20">
        <f>'Raw Data'!H474</f>
        <v>7.4977746138818162</v>
      </c>
      <c r="F474" s="20">
        <f>Comparison!$B$10+(C474-Comparison!$B$10)*Comparison!$B$7</f>
        <v>36.44775318098975</v>
      </c>
      <c r="G474" s="20">
        <f>Comparison!$B$11+(D474-Comparison!$B$11)*Comparison!$B$7</f>
        <v>-37.367016866989751</v>
      </c>
    </row>
    <row r="475" spans="1:7">
      <c r="A475" s="18">
        <f>'Raw Data'!A475</f>
        <v>653</v>
      </c>
      <c r="B475" s="20">
        <f>'Raw Data'!C475</f>
        <v>15.777130775452431</v>
      </c>
      <c r="C475" s="20">
        <f>'Raw Data'!F475</f>
        <v>34.142646789550781</v>
      </c>
      <c r="D475" s="20">
        <f>'Raw Data'!G475</f>
        <v>-37.413322448730469</v>
      </c>
      <c r="E475" s="20">
        <f>'Raw Data'!H475</f>
        <v>7.4825478796664937</v>
      </c>
      <c r="F475" s="20">
        <f>Comparison!$B$10+(C475-Comparison!$B$10)*Comparison!$B$7</f>
        <v>34.965787353346954</v>
      </c>
      <c r="G475" s="20">
        <f>Comparison!$B$11+(D475-Comparison!$B$11)*Comparison!$B$7</f>
        <v>-37.2461842495185</v>
      </c>
    </row>
    <row r="476" spans="1:7">
      <c r="A476" s="18">
        <f>'Raw Data'!A476</f>
        <v>654</v>
      </c>
      <c r="B476" s="20">
        <f>'Raw Data'!C476</f>
        <v>15.810480133454657</v>
      </c>
      <c r="C476" s="20">
        <f>'Raw Data'!F476</f>
        <v>33.599628448486328</v>
      </c>
      <c r="D476" s="20">
        <f>'Raw Data'!G476</f>
        <v>-37.571796417236328</v>
      </c>
      <c r="E476" s="20">
        <f>'Raw Data'!H476</f>
        <v>7.5074482742126314</v>
      </c>
      <c r="F476" s="20">
        <f>Comparison!$B$10+(C476-Comparison!$B$10)*Comparison!$B$7</f>
        <v>34.391099673279605</v>
      </c>
      <c r="G476" s="20">
        <f>Comparison!$B$11+(D476-Comparison!$B$11)*Comparison!$B$7</f>
        <v>-37.413900568516439</v>
      </c>
    </row>
    <row r="477" spans="1:7">
      <c r="A477" s="18">
        <f>'Raw Data'!A477</f>
        <v>655</v>
      </c>
      <c r="B477" s="20">
        <f>'Raw Data'!C477</f>
        <v>15.84382949145688</v>
      </c>
      <c r="C477" s="20">
        <f>'Raw Data'!F477</f>
        <v>33.039714813232422</v>
      </c>
      <c r="D477" s="20">
        <f>'Raw Data'!G477</f>
        <v>-37.719707489013672</v>
      </c>
      <c r="E477" s="20">
        <f>'Raw Data'!H477</f>
        <v>7.5102098885323407</v>
      </c>
      <c r="F477" s="20">
        <f>Comparison!$B$10+(C477-Comparison!$B$10)*Comparison!$B$7</f>
        <v>33.798531349617861</v>
      </c>
      <c r="G477" s="20">
        <f>Comparison!$B$11+(D477-Comparison!$B$11)*Comparison!$B$7</f>
        <v>-37.570437952740647</v>
      </c>
    </row>
    <row r="478" spans="1:7">
      <c r="A478" s="18">
        <f>'Raw Data'!A478</f>
        <v>656</v>
      </c>
      <c r="B478" s="20">
        <f>'Raw Data'!C478</f>
        <v>15.877178849459103</v>
      </c>
      <c r="C478" s="20">
        <f>'Raw Data'!F478</f>
        <v>31.445856094360352</v>
      </c>
      <c r="D478" s="20">
        <f>'Raw Data'!G478</f>
        <v>-37.596115112304688</v>
      </c>
      <c r="E478" s="20">
        <f>'Raw Data'!H478</f>
        <v>7.6375222508309886</v>
      </c>
      <c r="F478" s="20">
        <f>Comparison!$B$10+(C478-Comparison!$B$10)*Comparison!$B$7</f>
        <v>32.111717295219293</v>
      </c>
      <c r="G478" s="20">
        <f>Comparison!$B$11+(D478-Comparison!$B$11)*Comparison!$B$7</f>
        <v>-37.439637552692155</v>
      </c>
    </row>
    <row r="479" spans="1:7">
      <c r="A479" s="18">
        <f>'Raw Data'!A479</f>
        <v>657</v>
      </c>
      <c r="B479" s="20">
        <f>'Raw Data'!C479</f>
        <v>15.910528207461329</v>
      </c>
      <c r="C479" s="20">
        <f>'Raw Data'!F479</f>
        <v>31.18556022644043</v>
      </c>
      <c r="D479" s="20">
        <f>'Raw Data'!G479</f>
        <v>-37.710960388183594</v>
      </c>
      <c r="E479" s="20">
        <f>'Raw Data'!H479</f>
        <v>7.5240027557785139</v>
      </c>
      <c r="F479" s="20">
        <f>Comparison!$B$10+(C479-Comparison!$B$10)*Comparison!$B$7</f>
        <v>31.836240728124359</v>
      </c>
      <c r="G479" s="20">
        <f>Comparison!$B$11+(D479-Comparison!$B$11)*Comparison!$B$7</f>
        <v>-37.561180712785365</v>
      </c>
    </row>
    <row r="480" spans="1:7">
      <c r="A480" s="18">
        <f>'Raw Data'!A480</f>
        <v>658</v>
      </c>
      <c r="B480" s="20">
        <f>'Raw Data'!C480</f>
        <v>15.943877565463552</v>
      </c>
      <c r="C480" s="20">
        <f>'Raw Data'!F480</f>
        <v>30.307098388671875</v>
      </c>
      <c r="D480" s="20">
        <f>'Raw Data'!G480</f>
        <v>-37.825973510742188</v>
      </c>
      <c r="E480" s="20">
        <f>'Raw Data'!H480</f>
        <v>7.4977746138818162</v>
      </c>
      <c r="F480" s="20">
        <f>Comparison!$B$10+(C480-Comparison!$B$10)*Comparison!$B$7</f>
        <v>30.906546171978619</v>
      </c>
      <c r="G480" s="20">
        <f>Comparison!$B$11+(D480-Comparison!$B$11)*Comparison!$B$7</f>
        <v>-37.682901508534059</v>
      </c>
    </row>
    <row r="481" spans="1:7">
      <c r="A481" s="18">
        <f>'Raw Data'!A481</f>
        <v>659</v>
      </c>
      <c r="B481" s="20">
        <f>'Raw Data'!C481</f>
        <v>15.977226923465778</v>
      </c>
      <c r="C481" s="20">
        <f>'Raw Data'!F481</f>
        <v>29.487766265869141</v>
      </c>
      <c r="D481" s="20">
        <f>'Raw Data'!G481</f>
        <v>-37.846511840820313</v>
      </c>
      <c r="E481" s="20">
        <f>'Raw Data'!H481</f>
        <v>7.4853186806796854</v>
      </c>
      <c r="F481" s="20">
        <f>Comparison!$B$10+(C481-Comparison!$B$10)*Comparison!$B$7</f>
        <v>30.039429831239261</v>
      </c>
      <c r="G481" s="20">
        <f>Comparison!$B$11+(D481-Comparison!$B$11)*Comparison!$B$7</f>
        <v>-37.704637653287321</v>
      </c>
    </row>
    <row r="482" spans="1:7">
      <c r="A482" s="18">
        <f>'Raw Data'!A482</f>
        <v>660</v>
      </c>
      <c r="B482" s="20">
        <f>'Raw Data'!C482</f>
        <v>16.010576281468001</v>
      </c>
      <c r="C482" s="20">
        <f>'Raw Data'!F482</f>
        <v>28.323261260986328</v>
      </c>
      <c r="D482" s="20">
        <f>'Raw Data'!G482</f>
        <v>-37.828227996826172</v>
      </c>
      <c r="E482" s="20">
        <f>'Raw Data'!H482</f>
        <v>7.5074482742126314</v>
      </c>
      <c r="F482" s="20">
        <f>Comparison!$B$10+(C482-Comparison!$B$10)*Comparison!$B$7</f>
        <v>28.807009802164238</v>
      </c>
      <c r="G482" s="20">
        <f>Comparison!$B$11+(D482-Comparison!$B$11)*Comparison!$B$7</f>
        <v>-37.685287478361168</v>
      </c>
    </row>
    <row r="483" spans="1:7">
      <c r="A483" s="18">
        <f>'Raw Data'!A483</f>
        <v>661</v>
      </c>
      <c r="B483" s="20">
        <f>'Raw Data'!C483</f>
        <v>16.043925639470224</v>
      </c>
      <c r="C483" s="20">
        <f>'Raw Data'!F483</f>
        <v>27.197689056396484</v>
      </c>
      <c r="D483" s="20">
        <f>'Raw Data'!G483</f>
        <v>-37.806758880615234</v>
      </c>
      <c r="E483" s="20">
        <f>'Raw Data'!H483</f>
        <v>7.5102098885323407</v>
      </c>
      <c r="F483" s="20">
        <f>Comparison!$B$10+(C483-Comparison!$B$10)*Comparison!$B$7</f>
        <v>27.615793170814293</v>
      </c>
      <c r="G483" s="20">
        <f>Comparison!$B$11+(D483-Comparison!$B$11)*Comparison!$B$7</f>
        <v>-37.662566263154744</v>
      </c>
    </row>
    <row r="484" spans="1:7">
      <c r="A484" s="18">
        <f>'Raw Data'!A484</f>
        <v>662</v>
      </c>
      <c r="B484" s="20">
        <f>'Raw Data'!C484</f>
        <v>16.07727499747245</v>
      </c>
      <c r="C484" s="20">
        <f>'Raw Data'!F484</f>
        <v>26.233409881591797</v>
      </c>
      <c r="D484" s="20">
        <f>'Raw Data'!G484</f>
        <v>-37.801826477050781</v>
      </c>
      <c r="E484" s="20">
        <f>'Raw Data'!H484</f>
        <v>7.4839334084034252</v>
      </c>
      <c r="F484" s="20">
        <f>Comparison!$B$10+(C484-Comparison!$B$10)*Comparison!$B$7</f>
        <v>26.595276330039678</v>
      </c>
      <c r="G484" s="20">
        <f>Comparison!$B$11+(D484-Comparison!$B$11)*Comparison!$B$7</f>
        <v>-37.657346197187813</v>
      </c>
    </row>
    <row r="485" spans="1:7">
      <c r="A485" s="18">
        <f>'Raw Data'!A485</f>
        <v>663</v>
      </c>
      <c r="B485" s="20">
        <f>'Raw Data'!C485</f>
        <v>16.110624355474673</v>
      </c>
      <c r="C485" s="20">
        <f>'Raw Data'!F485</f>
        <v>25.264225006103516</v>
      </c>
      <c r="D485" s="20">
        <f>'Raw Data'!G485</f>
        <v>-37.711635589599609</v>
      </c>
      <c r="E485" s="20">
        <f>'Raw Data'!H485</f>
        <v>7.5102098885323407</v>
      </c>
      <c r="F485" s="20">
        <f>Comparison!$B$10+(C485-Comparison!$B$10)*Comparison!$B$7</f>
        <v>25.569567683516045</v>
      </c>
      <c r="G485" s="20">
        <f>Comparison!$B$11+(D485-Comparison!$B$11)*Comparison!$B$7</f>
        <v>-37.561895292581298</v>
      </c>
    </row>
    <row r="486" spans="1:7">
      <c r="A486" s="18">
        <f>'Raw Data'!A486</f>
        <v>664</v>
      </c>
      <c r="B486" s="20">
        <f>'Raw Data'!C486</f>
        <v>16.1439737134769</v>
      </c>
      <c r="C486" s="20">
        <f>'Raw Data'!F486</f>
        <v>23.904655456542969</v>
      </c>
      <c r="D486" s="20">
        <f>'Raw Data'!G486</f>
        <v>-37.654808044433594</v>
      </c>
      <c r="E486" s="20">
        <f>'Raw Data'!H486</f>
        <v>7.5322663527290965</v>
      </c>
      <c r="F486" s="20">
        <f>Comparison!$B$10+(C486-Comparison!$B$10)*Comparison!$B$7</f>
        <v>24.130706762546843</v>
      </c>
      <c r="G486" s="20">
        <f>Comparison!$B$11+(D486-Comparison!$B$11)*Comparison!$B$7</f>
        <v>-37.501753511676881</v>
      </c>
    </row>
    <row r="487" spans="1:7">
      <c r="A487" s="18">
        <f>'Raw Data'!A487</f>
        <v>665</v>
      </c>
      <c r="B487" s="20">
        <f>'Raw Data'!C487</f>
        <v>16.177323071479123</v>
      </c>
      <c r="C487" s="20">
        <f>'Raw Data'!F487</f>
        <v>22.903253555297852</v>
      </c>
      <c r="D487" s="20">
        <f>'Raw Data'!G487</f>
        <v>-37.698490142822266</v>
      </c>
      <c r="E487" s="20">
        <f>'Raw Data'!H487</f>
        <v>7.5102098885323407</v>
      </c>
      <c r="F487" s="20">
        <f>Comparison!$B$10+(C487-Comparison!$B$10)*Comparison!$B$7</f>
        <v>23.07090216310462</v>
      </c>
      <c r="G487" s="20">
        <f>Comparison!$B$11+(D487-Comparison!$B$11)*Comparison!$B$7</f>
        <v>-37.547983191017451</v>
      </c>
    </row>
    <row r="488" spans="1:7">
      <c r="A488" s="18">
        <f>'Raw Data'!A488</f>
        <v>666</v>
      </c>
      <c r="B488" s="20">
        <f>'Raw Data'!C488</f>
        <v>16.210672429481345</v>
      </c>
      <c r="C488" s="20">
        <f>'Raw Data'!F488</f>
        <v>22.389738082885742</v>
      </c>
      <c r="D488" s="20">
        <f>'Raw Data'!G488</f>
        <v>-37.815402984619141</v>
      </c>
      <c r="E488" s="20">
        <f>'Raw Data'!H488</f>
        <v>7.5115903149549048</v>
      </c>
      <c r="F488" s="20">
        <f>Comparison!$B$10+(C488-Comparison!$B$10)*Comparison!$B$7</f>
        <v>22.527437986663148</v>
      </c>
      <c r="G488" s="20">
        <f>Comparison!$B$11+(D488-Comparison!$B$11)*Comparison!$B$7</f>
        <v>-37.671714499412346</v>
      </c>
    </row>
    <row r="489" spans="1:7">
      <c r="A489" s="18">
        <f>'Raw Data'!A489</f>
        <v>667</v>
      </c>
      <c r="B489" s="20">
        <f>'Raw Data'!C489</f>
        <v>16.244021787483572</v>
      </c>
      <c r="C489" s="20">
        <f>'Raw Data'!F489</f>
        <v>21.580398559570313</v>
      </c>
      <c r="D489" s="20">
        <f>'Raw Data'!G489</f>
        <v>-37.860671997070313</v>
      </c>
      <c r="E489" s="20">
        <f>'Raw Data'!H489</f>
        <v>7.4977746138818162</v>
      </c>
      <c r="F489" s="20">
        <f>Comparison!$B$10+(C489-Comparison!$B$10)*Comparison!$B$7</f>
        <v>21.670897023186274</v>
      </c>
      <c r="G489" s="20">
        <f>Comparison!$B$11+(D489-Comparison!$B$11)*Comparison!$B$7</f>
        <v>-37.719623643132067</v>
      </c>
    </row>
    <row r="490" spans="1:7">
      <c r="A490" s="18">
        <f>'Raw Data'!A490</f>
        <v>668</v>
      </c>
      <c r="B490" s="20">
        <f>'Raw Data'!C490</f>
        <v>16.277371145485795</v>
      </c>
      <c r="C490" s="20">
        <f>'Raw Data'!F490</f>
        <v>20.518596649169922</v>
      </c>
      <c r="D490" s="20">
        <f>'Raw Data'!G490</f>
        <v>-37.917827606201172</v>
      </c>
      <c r="E490" s="20">
        <f>'Raw Data'!H490</f>
        <v>7.4742293135820566</v>
      </c>
      <c r="F490" s="20">
        <f>Comparison!$B$10+(C490-Comparison!$B$10)*Comparison!$B$7</f>
        <v>20.54716982939954</v>
      </c>
      <c r="G490" s="20">
        <f>Comparison!$B$11+(D490-Comparison!$B$11)*Comparison!$B$7</f>
        <v>-37.780112620999489</v>
      </c>
    </row>
    <row r="491" spans="1:7">
      <c r="A491" s="18">
        <f>'Raw Data'!A491</f>
        <v>669</v>
      </c>
      <c r="B491" s="20">
        <f>'Raw Data'!C491</f>
        <v>16.310720503488021</v>
      </c>
      <c r="C491" s="20">
        <f>'Raw Data'!F491</f>
        <v>19.397304534912109</v>
      </c>
      <c r="D491" s="20">
        <f>'Raw Data'!G491</f>
        <v>-37.909027099609375</v>
      </c>
      <c r="E491" s="20">
        <f>'Raw Data'!H491</f>
        <v>7.4963916433611733</v>
      </c>
      <c r="F491" s="20">
        <f>Comparison!$B$10+(C491-Comparison!$B$10)*Comparison!$B$7</f>
        <v>19.360482907264522</v>
      </c>
      <c r="G491" s="20">
        <f>Comparison!$B$11+(D491-Comparison!$B$11)*Comparison!$B$7</f>
        <v>-37.770798860608366</v>
      </c>
    </row>
    <row r="492" spans="1:7">
      <c r="A492" s="18">
        <f>'Raw Data'!A492</f>
        <v>670</v>
      </c>
      <c r="B492" s="20">
        <f>'Raw Data'!C492</f>
        <v>16.344069861490244</v>
      </c>
      <c r="C492" s="20">
        <f>'Raw Data'!F492</f>
        <v>18.786951065063477</v>
      </c>
      <c r="D492" s="20">
        <f>'Raw Data'!G492</f>
        <v>-37.91998291015625</v>
      </c>
      <c r="E492" s="20">
        <f>'Raw Data'!H492</f>
        <v>7.51986755197301</v>
      </c>
      <c r="F492" s="20">
        <f>Comparison!$B$10+(C492-Comparison!$B$10)*Comparison!$B$7</f>
        <v>18.714533050541842</v>
      </c>
      <c r="G492" s="20">
        <f>Comparison!$B$11+(D492-Comparison!$B$11)*Comparison!$B$7</f>
        <v>-37.782393624302905</v>
      </c>
    </row>
    <row r="493" spans="1:7">
      <c r="A493" s="18">
        <f>'Raw Data'!A493</f>
        <v>671</v>
      </c>
      <c r="B493" s="20">
        <f>'Raw Data'!C493</f>
        <v>16.377419219492467</v>
      </c>
      <c r="C493" s="20">
        <f>'Raw Data'!F493</f>
        <v>18.047786712646484</v>
      </c>
      <c r="D493" s="20">
        <f>'Raw Data'!G493</f>
        <v>-37.950222015380859</v>
      </c>
      <c r="E493" s="20">
        <f>'Raw Data'!H493</f>
        <v>7.5487664083239023</v>
      </c>
      <c r="F493" s="20">
        <f>Comparison!$B$10+(C493-Comparison!$B$10)*Comparison!$B$7</f>
        <v>17.932259939754616</v>
      </c>
      <c r="G493" s="20">
        <f>Comparison!$B$11+(D493-Comparison!$B$11)*Comparison!$B$7</f>
        <v>-37.814396302508541</v>
      </c>
    </row>
    <row r="494" spans="1:7">
      <c r="A494" s="18">
        <f>'Raw Data'!A494</f>
        <v>672</v>
      </c>
      <c r="B494" s="20">
        <f>'Raw Data'!C494</f>
        <v>16.410768577494693</v>
      </c>
      <c r="C494" s="20">
        <f>'Raw Data'!F494</f>
        <v>16.839376449584961</v>
      </c>
      <c r="D494" s="20">
        <f>'Raw Data'!G494</f>
        <v>-37.969890594482422</v>
      </c>
      <c r="E494" s="20">
        <f>'Raw Data'!H494</f>
        <v>7.5350188711300268</v>
      </c>
      <c r="F494" s="20">
        <f>Comparison!$B$10+(C494-Comparison!$B$10)*Comparison!$B$7</f>
        <v>16.653374056660699</v>
      </c>
      <c r="G494" s="20">
        <f>Comparison!$B$11+(D494-Comparison!$B$11)*Comparison!$B$7</f>
        <v>-37.835211971592464</v>
      </c>
    </row>
    <row r="495" spans="1:7">
      <c r="A495" s="18">
        <f>'Raw Data'!A495</f>
        <v>673</v>
      </c>
      <c r="B495" s="20">
        <f>'Raw Data'!C495</f>
        <v>16.444117935496916</v>
      </c>
      <c r="C495" s="20">
        <f>'Raw Data'!F495</f>
        <v>15.7415771484375</v>
      </c>
      <c r="D495" s="20">
        <f>'Raw Data'!G495</f>
        <v>-38.030834197998047</v>
      </c>
      <c r="E495" s="20">
        <f>'Raw Data'!H495</f>
        <v>7.5240027557785139</v>
      </c>
      <c r="F495" s="20">
        <f>Comparison!$B$10+(C495-Comparison!$B$10)*Comparison!$B$7</f>
        <v>15.49155007053292</v>
      </c>
      <c r="G495" s="20">
        <f>Comparison!$B$11+(D495-Comparison!$B$11)*Comparison!$B$7</f>
        <v>-37.899709863230314</v>
      </c>
    </row>
    <row r="496" spans="1:7">
      <c r="A496" s="18">
        <f>'Raw Data'!A496</f>
        <v>674</v>
      </c>
      <c r="B496" s="20">
        <f>'Raw Data'!C496</f>
        <v>16.477467293499142</v>
      </c>
      <c r="C496" s="20">
        <f>'Raw Data'!F496</f>
        <v>15.414535522460938</v>
      </c>
      <c r="D496" s="20">
        <f>'Raw Data'!G496</f>
        <v>-38.091243743896484</v>
      </c>
      <c r="E496" s="20">
        <f>'Raw Data'!H496</f>
        <v>7.5391457644770172</v>
      </c>
      <c r="F496" s="20">
        <f>Comparison!$B$10+(C496-Comparison!$B$10)*Comparison!$B$7</f>
        <v>15.145435070163867</v>
      </c>
      <c r="G496" s="20">
        <f>Comparison!$B$11+(D496-Comparison!$B$11)*Comparison!$B$7</f>
        <v>-37.963642550509789</v>
      </c>
    </row>
    <row r="497" spans="1:7">
      <c r="A497" s="18">
        <f>'Raw Data'!A497</f>
        <v>675</v>
      </c>
      <c r="B497" s="20">
        <f>'Raw Data'!C497</f>
        <v>16.510816651501365</v>
      </c>
      <c r="C497" s="20">
        <f>'Raw Data'!F497</f>
        <v>14.738921165466309</v>
      </c>
      <c r="D497" s="20">
        <f>'Raw Data'!G497</f>
        <v>-38.134597778320313</v>
      </c>
      <c r="E497" s="20">
        <f>'Raw Data'!H497</f>
        <v>7.5115903149549048</v>
      </c>
      <c r="F497" s="20">
        <f>Comparison!$B$10+(C497-Comparison!$B$10)*Comparison!$B$7</f>
        <v>14.430418250142026</v>
      </c>
      <c r="G497" s="20">
        <f>Comparison!$B$11+(D497-Comparison!$B$11)*Comparison!$B$7</f>
        <v>-38.009525032887368</v>
      </c>
    </row>
    <row r="498" spans="1:7">
      <c r="A498" s="18">
        <f>'Raw Data'!A498</f>
        <v>676</v>
      </c>
      <c r="B498" s="20">
        <f>'Raw Data'!C498</f>
        <v>16.544166009503588</v>
      </c>
      <c r="C498" s="20">
        <f>'Raw Data'!F498</f>
        <v>13.542469024658203</v>
      </c>
      <c r="D498" s="20">
        <f>'Raw Data'!G498</f>
        <v>-38.203704833984375</v>
      </c>
      <c r="E498" s="20">
        <f>'Raw Data'!H498</f>
        <v>7.5570029262222453</v>
      </c>
      <c r="F498" s="20">
        <f>Comparison!$B$10+(C498-Comparison!$B$10)*Comparison!$B$7</f>
        <v>13.164187898208082</v>
      </c>
      <c r="G498" s="20">
        <f>Comparison!$B$11+(D498-Comparison!$B$11)*Comparison!$B$7</f>
        <v>-38.082662476860278</v>
      </c>
    </row>
    <row r="499" spans="1:7">
      <c r="A499" s="18">
        <f>'Raw Data'!A499</f>
        <v>677</v>
      </c>
      <c r="B499" s="20">
        <f>'Raw Data'!C499</f>
        <v>16.577515367505814</v>
      </c>
      <c r="C499" s="20">
        <f>'Raw Data'!F499</f>
        <v>12.729466438293457</v>
      </c>
      <c r="D499" s="20">
        <f>'Raw Data'!G499</f>
        <v>-38.269718170166016</v>
      </c>
      <c r="E499" s="20">
        <f>'Raw Data'!H499</f>
        <v>7.5473927814526762</v>
      </c>
      <c r="F499" s="20">
        <f>Comparison!$B$10+(C499-Comparison!$B$10)*Comparison!$B$7</f>
        <v>12.303770238408894</v>
      </c>
      <c r="G499" s="20">
        <f>Comparison!$B$11+(D499-Comparison!$B$11)*Comparison!$B$7</f>
        <v>-38.152525772728637</v>
      </c>
    </row>
    <row r="500" spans="1:7">
      <c r="A500" s="18">
        <f>'Raw Data'!A500</f>
        <v>678</v>
      </c>
      <c r="B500" s="20">
        <f>'Raw Data'!C500</f>
        <v>16.610864725508037</v>
      </c>
      <c r="C500" s="20">
        <f>'Raw Data'!F500</f>
        <v>12.385870933532715</v>
      </c>
      <c r="D500" s="20">
        <f>'Raw Data'!G500</f>
        <v>-38.297691345214844</v>
      </c>
      <c r="E500" s="20">
        <f>'Raw Data'!H500</f>
        <v>7.5528857900265809</v>
      </c>
      <c r="F500" s="20">
        <f>Comparison!$B$10+(C500-Comparison!$B$10)*Comparison!$B$7</f>
        <v>11.940135921517404</v>
      </c>
      <c r="G500" s="20">
        <f>Comparison!$B$11+(D500-Comparison!$B$11)*Comparison!$B$7</f>
        <v>-38.182130369585195</v>
      </c>
    </row>
    <row r="501" spans="1:7">
      <c r="A501" s="18">
        <f>'Raw Data'!A501</f>
        <v>679</v>
      </c>
      <c r="B501" s="20">
        <f>'Raw Data'!C501</f>
        <v>16.644214083510263</v>
      </c>
      <c r="C501" s="20">
        <f>'Raw Data'!F501</f>
        <v>11.300840377807617</v>
      </c>
      <c r="D501" s="20">
        <f>'Raw Data'!G501</f>
        <v>-38.352523803710938</v>
      </c>
      <c r="E501" s="20">
        <f>'Raw Data'!H501</f>
        <v>7.5652304767550733</v>
      </c>
      <c r="F501" s="20">
        <f>Comparison!$B$10+(C501-Comparison!$B$10)*Comparison!$B$7</f>
        <v>10.791825366022124</v>
      </c>
      <c r="G501" s="20">
        <f>Comparison!$B$11+(D501-Comparison!$B$11)*Comparison!$B$7</f>
        <v>-38.240160708493711</v>
      </c>
    </row>
    <row r="502" spans="1:7">
      <c r="A502" s="18">
        <f>'Raw Data'!A502</f>
        <v>680</v>
      </c>
      <c r="B502" s="20">
        <f>'Raw Data'!C502</f>
        <v>16.677563441512486</v>
      </c>
      <c r="C502" s="20">
        <f>'Raw Data'!F502</f>
        <v>10.475137710571289</v>
      </c>
      <c r="D502" s="20">
        <f>'Raw Data'!G502</f>
        <v>-38.183822631835938</v>
      </c>
      <c r="E502" s="20">
        <f>'Raw Data'!H502</f>
        <v>7.53777038441185</v>
      </c>
      <c r="F502" s="20">
        <f>Comparison!$B$10+(C502-Comparison!$B$10)*Comparison!$B$7</f>
        <v>9.9179669447222292</v>
      </c>
      <c r="G502" s="20">
        <f>Comparison!$B$11+(D502-Comparison!$B$11)*Comparison!$B$7</f>
        <v>-38.061620726033006</v>
      </c>
    </row>
    <row r="503" spans="1:7">
      <c r="A503" s="18">
        <f>'Raw Data'!A503</f>
        <v>681</v>
      </c>
      <c r="B503" s="20">
        <f>'Raw Data'!C503</f>
        <v>16.710912799514709</v>
      </c>
      <c r="C503" s="20">
        <f>'Raw Data'!F503</f>
        <v>9.7850561141967773</v>
      </c>
      <c r="D503" s="20">
        <f>'Raw Data'!G503</f>
        <v>-38.105556488037109</v>
      </c>
      <c r="E503" s="20">
        <f>'Raw Data'!H503</f>
        <v>7.6320901575044937</v>
      </c>
      <c r="F503" s="20">
        <f>Comparison!$B$10+(C503-Comparison!$B$10)*Comparison!$B$7</f>
        <v>9.1876391423495782</v>
      </c>
      <c r="G503" s="20">
        <f>Comparison!$B$11+(D503-Comparison!$B$11)*Comparison!$B$7</f>
        <v>-37.978790027314069</v>
      </c>
    </row>
    <row r="504" spans="1:7">
      <c r="A504" s="18">
        <f>'Raw Data'!A504</f>
        <v>682</v>
      </c>
      <c r="B504" s="20">
        <f>'Raw Data'!C504</f>
        <v>16.744262157516935</v>
      </c>
      <c r="C504" s="20">
        <f>'Raw Data'!F504</f>
        <v>8.0539207458496094</v>
      </c>
      <c r="D504" s="20">
        <f>'Raw Data'!G504</f>
        <v>-38.324127197265625</v>
      </c>
      <c r="E504" s="20">
        <f>'Raw Data'!H504</f>
        <v>7.5308897162645749</v>
      </c>
      <c r="F504" s="20">
        <f>Comparison!$B$10+(C504-Comparison!$B$10)*Comparison!$B$7</f>
        <v>7.3555423355128209</v>
      </c>
      <c r="G504" s="20">
        <f>Comparison!$B$11+(D504-Comparison!$B$11)*Comparison!$B$7</f>
        <v>-38.210107985324449</v>
      </c>
    </row>
    <row r="505" spans="1:7">
      <c r="A505" s="18">
        <f>'Raw Data'!A505</f>
        <v>683</v>
      </c>
      <c r="B505" s="20">
        <f>'Raw Data'!C505</f>
        <v>16.777611515519158</v>
      </c>
      <c r="C505" s="20">
        <f>'Raw Data'!F505</f>
        <v>7.4461970329284668</v>
      </c>
      <c r="D505" s="20">
        <f>'Raw Data'!G505</f>
        <v>-38.296630859375</v>
      </c>
      <c r="E505" s="20">
        <f>'Raw Data'!H505</f>
        <v>7.625294599076164</v>
      </c>
      <c r="F505" s="20">
        <f>Comparison!$B$10+(C505-Comparison!$B$10)*Comparison!$B$7</f>
        <v>6.7123756056083597</v>
      </c>
      <c r="G505" s="20">
        <f>Comparison!$B$11+(D505-Comparison!$B$11)*Comparison!$B$7</f>
        <v>-38.181008035216436</v>
      </c>
    </row>
    <row r="506" spans="1:7">
      <c r="A506" s="18">
        <f>'Raw Data'!A506</f>
        <v>684</v>
      </c>
      <c r="B506" s="20">
        <f>'Raw Data'!C506</f>
        <v>16.810960873521385</v>
      </c>
      <c r="C506" s="20">
        <f>'Raw Data'!F506</f>
        <v>6.1110777854919434</v>
      </c>
      <c r="D506" s="20">
        <f>'Raw Data'!G506</f>
        <v>-38.170120239257813</v>
      </c>
      <c r="E506" s="20">
        <f>'Raw Data'!H506</f>
        <v>7.5226246070801173</v>
      </c>
      <c r="F506" s="20">
        <f>Comparison!$B$10+(C506-Comparison!$B$10)*Comparison!$B$7</f>
        <v>5.2993909513174735</v>
      </c>
      <c r="G506" s="20">
        <f>Comparison!$B$11+(D506-Comparison!$B$11)*Comparison!$B$7</f>
        <v>-38.047119197066863</v>
      </c>
    </row>
    <row r="507" spans="1:7">
      <c r="A507" s="18">
        <f>'Raw Data'!A507</f>
        <v>685</v>
      </c>
      <c r="B507" s="20">
        <f>'Raw Data'!C507</f>
        <v>16.844310231523608</v>
      </c>
      <c r="C507" s="20">
        <f>'Raw Data'!F507</f>
        <v>5.5874323844909668</v>
      </c>
      <c r="D507" s="20">
        <f>'Raw Data'!G507</f>
        <v>-38.033260345458984</v>
      </c>
      <c r="E507" s="20">
        <f>'Raw Data'!H507</f>
        <v>7.493624936626099</v>
      </c>
      <c r="F507" s="20">
        <f>Comparison!$B$10+(C507-Comparison!$B$10)*Comparison!$B$7</f>
        <v>4.7452060593499468</v>
      </c>
      <c r="G507" s="20">
        <f>Comparison!$B$11+(D507-Comparison!$B$11)*Comparison!$B$7</f>
        <v>-37.9022775058869</v>
      </c>
    </row>
    <row r="508" spans="1:7">
      <c r="A508" s="18">
        <f>'Raw Data'!A508</f>
        <v>686</v>
      </c>
      <c r="B508" s="20">
        <f>'Raw Data'!C508</f>
        <v>16.87765958952583</v>
      </c>
      <c r="C508" s="20">
        <f>'Raw Data'!F508</f>
        <v>4.6938881874084473</v>
      </c>
      <c r="D508" s="20">
        <f>'Raw Data'!G508</f>
        <v>-37.999870300292969</v>
      </c>
      <c r="E508" s="20">
        <f>'Raw Data'!H508</f>
        <v>7.517109485659085</v>
      </c>
      <c r="F508" s="20">
        <f>Comparison!$B$10+(C508-Comparison!$B$10)*Comparison!$B$7</f>
        <v>3.7995495265477714</v>
      </c>
      <c r="G508" s="20">
        <f>Comparison!$B$11+(D508-Comparison!$B$11)*Comparison!$B$7</f>
        <v>-37.866940121966891</v>
      </c>
    </row>
    <row r="509" spans="1:7">
      <c r="A509" s="18">
        <f>'Raw Data'!A509</f>
        <v>687</v>
      </c>
      <c r="B509" s="20">
        <f>'Raw Data'!C509</f>
        <v>16.911008947528057</v>
      </c>
      <c r="C509" s="20">
        <f>'Raw Data'!F509</f>
        <v>2.9648005962371826</v>
      </c>
      <c r="D509" s="20">
        <f>'Raw Data'!G509</f>
        <v>-38.024742126464844</v>
      </c>
      <c r="E509" s="20">
        <f>'Raw Data'!H509</f>
        <v>7.4770031972602533</v>
      </c>
      <c r="F509" s="20">
        <f>Comparison!$B$10+(C509-Comparison!$B$10)*Comparison!$B$7</f>
        <v>1.9696199251726334</v>
      </c>
      <c r="G509" s="20">
        <f>Comparison!$B$11+(D509-Comparison!$B$11)*Comparison!$B$7</f>
        <v>-37.893262496370916</v>
      </c>
    </row>
    <row r="510" spans="1:7">
      <c r="A510" s="18">
        <f>'Raw Data'!A510</f>
        <v>688</v>
      </c>
      <c r="B510" s="20">
        <f>'Raw Data'!C510</f>
        <v>16.94435830553028</v>
      </c>
      <c r="C510" s="20">
        <f>'Raw Data'!F510</f>
        <v>2.3275496959686279</v>
      </c>
      <c r="D510" s="20">
        <f>'Raw Data'!G510</f>
        <v>-37.967803955078125</v>
      </c>
      <c r="E510" s="20">
        <f>'Raw Data'!H510</f>
        <v>7.5115903149549048</v>
      </c>
      <c r="F510" s="20">
        <f>Comparison!$B$10+(C510-Comparison!$B$10)*Comparison!$B$7</f>
        <v>1.2952039546581133</v>
      </c>
      <c r="G510" s="20">
        <f>Comparison!$B$11+(D510-Comparison!$B$11)*Comparison!$B$7</f>
        <v>-37.833003637420838</v>
      </c>
    </row>
    <row r="511" spans="1:7">
      <c r="A511" s="18">
        <f>'Raw Data'!A511</f>
        <v>689</v>
      </c>
      <c r="B511" s="20">
        <f>'Raw Data'!C511</f>
        <v>16.977707663532506</v>
      </c>
      <c r="C511" s="20">
        <f>'Raw Data'!F511</f>
        <v>1.7131516933441162</v>
      </c>
      <c r="D511" s="20">
        <f>'Raw Data'!G511</f>
        <v>-37.827693939208984</v>
      </c>
      <c r="E511" s="20">
        <f>'Raw Data'!H511</f>
        <v>7.5088292083315888</v>
      </c>
      <c r="F511" s="20">
        <f>Comparison!$B$10+(C511-Comparison!$B$10)*Comparison!$B$7</f>
        <v>0.64497368421428902</v>
      </c>
      <c r="G511" s="20">
        <f>Comparison!$B$11+(D511-Comparison!$B$11)*Comparison!$B$7</f>
        <v>-37.684722274002802</v>
      </c>
    </row>
    <row r="512" spans="1:7">
      <c r="A512" s="18">
        <f>'Raw Data'!A512</f>
        <v>690</v>
      </c>
      <c r="B512" s="20">
        <f>'Raw Data'!C512</f>
        <v>17.011057021534729</v>
      </c>
      <c r="C512" s="20">
        <f>'Raw Data'!F512</f>
        <v>1.064961314201355</v>
      </c>
      <c r="D512" s="20">
        <f>'Raw Data'!G512</f>
        <v>-37.734443664550781</v>
      </c>
      <c r="E512" s="20">
        <f>'Raw Data'!H512</f>
        <v>7.419931315403792</v>
      </c>
      <c r="F512" s="20">
        <f>Comparison!$B$10+(C512-Comparison!$B$10)*Comparison!$B$7</f>
        <v>-4.1019765843628875E-2</v>
      </c>
      <c r="G512" s="20">
        <f>Comparison!$B$11+(D512-Comparison!$B$11)*Comparison!$B$7</f>
        <v>-37.586033555857632</v>
      </c>
    </row>
    <row r="513" spans="1:7">
      <c r="A513" s="18">
        <f>'Raw Data'!A513</f>
        <v>691</v>
      </c>
      <c r="B513" s="20">
        <f>'Raw Data'!C513</f>
        <v>17.044406379536952</v>
      </c>
      <c r="C513" s="20">
        <f>'Raw Data'!F513</f>
        <v>0.42417865991592407</v>
      </c>
      <c r="D513" s="20">
        <f>'Raw Data'!G513</f>
        <v>-37.631671905517578</v>
      </c>
      <c r="E513" s="20">
        <f>'Raw Data'!H513</f>
        <v>7.4991573293594787</v>
      </c>
      <c r="F513" s="20">
        <f>Comparison!$B$10+(C513-Comparison!$B$10)*Comparison!$B$7</f>
        <v>-0.71917346558208095</v>
      </c>
      <c r="G513" s="20">
        <f>Comparison!$B$11+(D513-Comparison!$B$11)*Comparison!$B$7</f>
        <v>-37.477268051437548</v>
      </c>
    </row>
    <row r="514" spans="1:7">
      <c r="A514" s="18">
        <f>'Raw Data'!A514</f>
        <v>692</v>
      </c>
      <c r="B514" s="20">
        <f>'Raw Data'!C514</f>
        <v>17.077755737539178</v>
      </c>
      <c r="C514" s="20">
        <f>'Raw Data'!F514</f>
        <v>-2.2060825824737549</v>
      </c>
      <c r="D514" s="20">
        <f>'Raw Data'!G514</f>
        <v>-37.943805694580078</v>
      </c>
      <c r="E514" s="20">
        <f>'Raw Data'!H514</f>
        <v>7.6835399907243964</v>
      </c>
      <c r="F514" s="20">
        <f>Comparison!$B$10+(C514-Comparison!$B$10)*Comparison!$B$7</f>
        <v>-3.5028340108169331</v>
      </c>
      <c r="G514" s="20">
        <f>Comparison!$B$11+(D514-Comparison!$B$11)*Comparison!$B$7</f>
        <v>-37.807605775860139</v>
      </c>
    </row>
    <row r="515" spans="1:7">
      <c r="A515" s="18">
        <f>'Raw Data'!A515</f>
        <v>693</v>
      </c>
      <c r="B515" s="20">
        <f>'Raw Data'!C515</f>
        <v>17.111105095541401</v>
      </c>
      <c r="C515" s="20">
        <f>'Raw Data'!F515</f>
        <v>-3.684572696685791</v>
      </c>
      <c r="D515" s="20">
        <f>'Raw Data'!G515</f>
        <v>-38.119735717773438</v>
      </c>
      <c r="E515" s="20">
        <f>'Raw Data'!H515</f>
        <v>7.4783897532661019</v>
      </c>
      <c r="F515" s="20">
        <f>Comparison!$B$10+(C515-Comparison!$B$10)*Comparison!$B$7</f>
        <v>-5.0675510553157679</v>
      </c>
      <c r="G515" s="20">
        <f>Comparison!$B$11+(D515-Comparison!$B$11)*Comparison!$B$7</f>
        <v>-37.993796203028765</v>
      </c>
    </row>
    <row r="516" spans="1:7">
      <c r="A516" s="18">
        <f>'Raw Data'!A516</f>
        <v>694</v>
      </c>
      <c r="B516" s="20">
        <f>'Raw Data'!C516</f>
        <v>17.144454453543627</v>
      </c>
      <c r="C516" s="20">
        <f>'Raw Data'!F516</f>
        <v>-4.3336710929870605</v>
      </c>
      <c r="D516" s="20">
        <f>'Raw Data'!G516</f>
        <v>-38.043136596679688</v>
      </c>
      <c r="E516" s="20">
        <f>'Raw Data'!H516</f>
        <v>7.5308897162645749</v>
      </c>
      <c r="F516" s="20">
        <f>Comparison!$B$10+(C516-Comparison!$B$10)*Comparison!$B$7</f>
        <v>-5.7545054789446013</v>
      </c>
      <c r="G516" s="20">
        <f>Comparison!$B$11+(D516-Comparison!$B$11)*Comparison!$B$7</f>
        <v>-37.912729749342731</v>
      </c>
    </row>
    <row r="517" spans="1:7">
      <c r="A517" s="18">
        <f>'Raw Data'!A517</f>
        <v>695</v>
      </c>
      <c r="B517" s="20">
        <f>'Raw Data'!C517</f>
        <v>17.17780381154585</v>
      </c>
      <c r="C517" s="20">
        <f>'Raw Data'!F517</f>
        <v>-5.0287508964538574</v>
      </c>
      <c r="D517" s="20">
        <f>'Raw Data'!G517</f>
        <v>-37.972579956054688</v>
      </c>
      <c r="E517" s="20">
        <f>'Raw Data'!H517</f>
        <v>7.528135688117529</v>
      </c>
      <c r="F517" s="20">
        <f>Comparison!$B$10+(C517-Comparison!$B$10)*Comparison!$B$7</f>
        <v>-6.4901229885354823</v>
      </c>
      <c r="G517" s="20">
        <f>Comparison!$B$11+(D517-Comparison!$B$11)*Comparison!$B$7</f>
        <v>-37.838058179254247</v>
      </c>
    </row>
    <row r="518" spans="1:7">
      <c r="A518" s="18">
        <f>'Raw Data'!A518</f>
        <v>696</v>
      </c>
      <c r="B518" s="20">
        <f>'Raw Data'!C518</f>
        <v>17.211153169548073</v>
      </c>
      <c r="C518" s="20">
        <f>'Raw Data'!F518</f>
        <v>-5.9705147743225098</v>
      </c>
      <c r="D518" s="20">
        <f>'Raw Data'!G518</f>
        <v>-37.892223358154297</v>
      </c>
      <c r="E518" s="20">
        <f>'Raw Data'!H518</f>
        <v>7.5898596156253433</v>
      </c>
      <c r="F518" s="20">
        <f>Comparison!$B$10+(C518-Comparison!$B$10)*Comparison!$B$7</f>
        <v>-7.4868114191373714</v>
      </c>
      <c r="G518" s="20">
        <f>Comparison!$B$11+(D518-Comparison!$B$11)*Comparison!$B$7</f>
        <v>-37.753015109189697</v>
      </c>
    </row>
    <row r="519" spans="1:7">
      <c r="A519" s="18">
        <f>'Raw Data'!A519</f>
        <v>697</v>
      </c>
      <c r="B519" s="20">
        <f>'Raw Data'!C519</f>
        <v>17.244502527550299</v>
      </c>
      <c r="C519" s="20">
        <f>'Raw Data'!F519</f>
        <v>-6.7783036231994629</v>
      </c>
      <c r="D519" s="20">
        <f>'Raw Data'!G519</f>
        <v>-37.893775939941406</v>
      </c>
      <c r="E519" s="20">
        <f>'Raw Data'!H519</f>
        <v>7.5033039469444454</v>
      </c>
      <c r="F519" s="20">
        <f>Comparison!$B$10+(C519-Comparison!$B$10)*Comparison!$B$7</f>
        <v>-8.3417112713879824</v>
      </c>
      <c r="G519" s="20">
        <f>Comparison!$B$11+(D519-Comparison!$B$11)*Comparison!$B$7</f>
        <v>-37.754658239002957</v>
      </c>
    </row>
    <row r="520" spans="1:7">
      <c r="A520" s="18">
        <f>'Raw Data'!A520</f>
        <v>698</v>
      </c>
      <c r="B520" s="20">
        <f>'Raw Data'!C520</f>
        <v>17.277851885552522</v>
      </c>
      <c r="C520" s="20">
        <f>'Raw Data'!F520</f>
        <v>-7.8057317733764648</v>
      </c>
      <c r="D520" s="20">
        <f>'Raw Data'!G520</f>
        <v>-37.827236175537109</v>
      </c>
      <c r="E520" s="20">
        <f>'Raw Data'!H520</f>
        <v>7.5570029262222453</v>
      </c>
      <c r="F520" s="20">
        <f>Comparison!$B$10+(C520-Comparison!$B$10)*Comparison!$B$7</f>
        <v>-9.4290599950124623</v>
      </c>
      <c r="G520" s="20">
        <f>Comparison!$B$11+(D520-Comparison!$B$11)*Comparison!$B$7</f>
        <v>-37.684237813124199</v>
      </c>
    </row>
    <row r="521" spans="1:7">
      <c r="A521" s="18">
        <f>'Raw Data'!A521</f>
        <v>699</v>
      </c>
      <c r="B521" s="20">
        <f>'Raw Data'!C521</f>
        <v>17.311201243554748</v>
      </c>
      <c r="C521" s="20">
        <f>'Raw Data'!F521</f>
        <v>-8.6347579956054688</v>
      </c>
      <c r="D521" s="20">
        <f>'Raw Data'!G521</f>
        <v>-37.886306762695313</v>
      </c>
      <c r="E521" s="20">
        <f>'Raw Data'!H521</f>
        <v>7.517109485659085</v>
      </c>
      <c r="F521" s="20">
        <f>Comparison!$B$10+(C521-Comparison!$B$10)*Comparison!$B$7</f>
        <v>-10.306435804149704</v>
      </c>
      <c r="G521" s="20">
        <f>Comparison!$B$11+(D521-Comparison!$B$11)*Comparison!$B$7</f>
        <v>-37.74675345233377</v>
      </c>
    </row>
    <row r="522" spans="1:7">
      <c r="A522" s="18">
        <f>'Raw Data'!A522</f>
        <v>700</v>
      </c>
      <c r="B522" s="20">
        <f>'Raw Data'!C522</f>
        <v>17.344550601556971</v>
      </c>
      <c r="C522" s="20">
        <f>'Raw Data'!F522</f>
        <v>-9.8421487808227539</v>
      </c>
      <c r="D522" s="20">
        <f>'Raw Data'!G522</f>
        <v>-37.875152587890625</v>
      </c>
      <c r="E522" s="20">
        <f>'Raw Data'!H522</f>
        <v>7.5115903149549048</v>
      </c>
      <c r="F522" s="20">
        <f>Comparison!$B$10+(C522-Comparison!$B$10)*Comparison!$B$7</f>
        <v>-11.584242752495236</v>
      </c>
      <c r="G522" s="20">
        <f>Comparison!$B$11+(D522-Comparison!$B$11)*Comparison!$B$7</f>
        <v>-37.734948755591837</v>
      </c>
    </row>
    <row r="523" spans="1:7">
      <c r="A523" s="18">
        <f>'Raw Data'!A523</f>
        <v>701</v>
      </c>
      <c r="B523" s="20">
        <f>'Raw Data'!C523</f>
        <v>17.377899959559194</v>
      </c>
      <c r="C523" s="20">
        <f>'Raw Data'!F523</f>
        <v>-10.98954963684082</v>
      </c>
      <c r="D523" s="20">
        <f>'Raw Data'!G523</f>
        <v>-37.944633483886719</v>
      </c>
      <c r="E523" s="20">
        <f>'Raw Data'!H523</f>
        <v>7.501921995749937</v>
      </c>
      <c r="F523" s="20">
        <f>Comparison!$B$10+(C523-Comparison!$B$10)*Comparison!$B$7</f>
        <v>-12.798561102700006</v>
      </c>
      <c r="G523" s="20">
        <f>Comparison!$B$11+(D523-Comparison!$B$11)*Comparison!$B$7</f>
        <v>-37.808481842615613</v>
      </c>
    </row>
    <row r="524" spans="1:7">
      <c r="A524" s="18">
        <f>'Raw Data'!A524</f>
        <v>702</v>
      </c>
      <c r="B524" s="20">
        <f>'Raw Data'!C524</f>
        <v>17.41124931756142</v>
      </c>
      <c r="C524" s="20">
        <f>'Raw Data'!F524</f>
        <v>-12.127636909484863</v>
      </c>
      <c r="D524" s="20">
        <f>'Raw Data'!G524</f>
        <v>-38.047107696533203</v>
      </c>
      <c r="E524" s="20">
        <f>'Raw Data'!H524</f>
        <v>7.598051587373746</v>
      </c>
      <c r="F524" s="20">
        <f>Comparison!$B$10+(C524-Comparison!$B$10)*Comparison!$B$7</f>
        <v>-14.003022692612227</v>
      </c>
      <c r="G524" s="20">
        <f>Comparison!$B$11+(D524-Comparison!$B$11)*Comparison!$B$7</f>
        <v>-37.916932447464603</v>
      </c>
    </row>
    <row r="525" spans="1:7">
      <c r="A525" s="18">
        <f>'Raw Data'!A525</f>
        <v>703</v>
      </c>
      <c r="B525" s="20">
        <f>'Raw Data'!C525</f>
        <v>17.444598675563643</v>
      </c>
      <c r="C525" s="20">
        <f>'Raw Data'!F525</f>
        <v>-12.778813362121582</v>
      </c>
      <c r="D525" s="20">
        <f>'Raw Data'!G525</f>
        <v>-38.124622344970703</v>
      </c>
      <c r="E525" s="20">
        <f>'Raw Data'!H525</f>
        <v>7.5295128281067525</v>
      </c>
      <c r="F525" s="20">
        <f>Comparison!$B$10+(C525-Comparison!$B$10)*Comparison!$B$7</f>
        <v>-14.692176366771214</v>
      </c>
      <c r="G525" s="20">
        <f>Comparison!$B$11+(D525-Comparison!$B$11)*Comparison!$B$7</f>
        <v>-37.998967822907836</v>
      </c>
    </row>
    <row r="526" spans="1:7">
      <c r="A526" s="18">
        <f>'Raw Data'!A526</f>
        <v>704</v>
      </c>
      <c r="B526" s="20">
        <f>'Raw Data'!C526</f>
        <v>17.47794803356587</v>
      </c>
      <c r="C526" s="20">
        <f>'Raw Data'!F526</f>
        <v>-12.786437034606934</v>
      </c>
      <c r="D526" s="20">
        <f>'Raw Data'!G526</f>
        <v>-38.103076934814453</v>
      </c>
      <c r="E526" s="20">
        <f>'Raw Data'!H526</f>
        <v>7.4991573293594787</v>
      </c>
      <c r="F526" s="20">
        <f>Comparison!$B$10+(C526-Comparison!$B$10)*Comparison!$B$7</f>
        <v>-14.700244658986925</v>
      </c>
      <c r="G526" s="20">
        <f>Comparison!$B$11+(D526-Comparison!$B$11)*Comparison!$B$7</f>
        <v>-37.976165864221649</v>
      </c>
    </row>
    <row r="527" spans="1:7">
      <c r="A527" s="18">
        <f>'Raw Data'!A527</f>
        <v>705</v>
      </c>
      <c r="B527" s="20">
        <f>'Raw Data'!C527</f>
        <v>17.511297391568093</v>
      </c>
      <c r="C527" s="20">
        <f>'Raw Data'!F527</f>
        <v>-14.005036354064941</v>
      </c>
      <c r="D527" s="20">
        <f>'Raw Data'!G527</f>
        <v>-38.6497802734375</v>
      </c>
      <c r="E527" s="20">
        <f>'Raw Data'!H527</f>
        <v>7.9722858447632152</v>
      </c>
      <c r="F527" s="20">
        <f>Comparison!$B$10+(C527-Comparison!$B$10)*Comparison!$B$7</f>
        <v>-15.989913833803719</v>
      </c>
      <c r="G527" s="20">
        <f>Comparison!$B$11+(D527-Comparison!$B$11)*Comparison!$B$7</f>
        <v>-38.554753454361745</v>
      </c>
    </row>
    <row r="528" spans="1:7">
      <c r="A528" s="18">
        <f>'Raw Data'!A528</f>
        <v>706</v>
      </c>
      <c r="B528" s="20">
        <f>'Raw Data'!C528</f>
        <v>17.544646749570315</v>
      </c>
      <c r="C528" s="20">
        <f>'Raw Data'!F528</f>
        <v>-15.930905342102051</v>
      </c>
      <c r="D528" s="20">
        <f>'Raw Data'!G528</f>
        <v>-39.886642456054688</v>
      </c>
      <c r="E528" s="20">
        <f>'Raw Data'!H528</f>
        <v>7.815989975088427</v>
      </c>
      <c r="F528" s="20">
        <f>Comparison!$B$10+(C528-Comparison!$B$10)*Comparison!$B$7</f>
        <v>-18.028101307691166</v>
      </c>
      <c r="G528" s="20">
        <f>Comparison!$B$11+(D528-Comparison!$B$11)*Comparison!$B$7</f>
        <v>-39.863750599647751</v>
      </c>
    </row>
    <row r="529" spans="1:7">
      <c r="A529" s="18">
        <f>'Raw Data'!A529</f>
        <v>707</v>
      </c>
      <c r="B529" s="20">
        <f>'Raw Data'!C529</f>
        <v>17.577996107572542</v>
      </c>
      <c r="C529" s="20">
        <f>'Raw Data'!F529</f>
        <v>-14.394110679626465</v>
      </c>
      <c r="D529" s="20">
        <f>'Raw Data'!G529</f>
        <v>-40.204738616943359</v>
      </c>
      <c r="E529" s="20">
        <f>'Raw Data'!H529</f>
        <v>7.5391457644770172</v>
      </c>
      <c r="F529" s="20">
        <f>Comparison!$B$10+(C529-Comparison!$B$10)*Comparison!$B$7</f>
        <v>-16.401679338984295</v>
      </c>
      <c r="G529" s="20">
        <f>Comparison!$B$11+(D529-Comparison!$B$11)*Comparison!$B$7</f>
        <v>-40.200398427014129</v>
      </c>
    </row>
    <row r="530" spans="1:7">
      <c r="A530" s="18">
        <f>'Raw Data'!A530</f>
        <v>708</v>
      </c>
      <c r="B530" s="20">
        <f>'Raw Data'!C530</f>
        <v>17.611345465574765</v>
      </c>
      <c r="C530" s="20">
        <f>'Raw Data'!F530</f>
        <v>-15.771157264709473</v>
      </c>
      <c r="D530" s="20">
        <f>'Raw Data'!G530</f>
        <v>-41.620578765869141</v>
      </c>
      <c r="E530" s="20">
        <f>'Raw Data'!H530</f>
        <v>7.6740883080437285</v>
      </c>
      <c r="F530" s="20">
        <f>Comparison!$B$10+(C530-Comparison!$B$10)*Comparison!$B$7</f>
        <v>-17.859036572581111</v>
      </c>
      <c r="G530" s="20">
        <f>Comparison!$B$11+(D530-Comparison!$B$11)*Comparison!$B$7</f>
        <v>-41.698811701485454</v>
      </c>
    </row>
    <row r="531" spans="1:7">
      <c r="A531" s="18">
        <f>'Raw Data'!A531</f>
        <v>709</v>
      </c>
      <c r="B531" s="20">
        <f>'Raw Data'!C531</f>
        <v>17.644694823576991</v>
      </c>
      <c r="C531" s="20">
        <f>'Raw Data'!F531</f>
        <v>-14.08625316619873</v>
      </c>
      <c r="D531" s="20">
        <f>'Raw Data'!G531</f>
        <v>-41.811729431152344</v>
      </c>
      <c r="E531" s="20">
        <f>'Raw Data'!H531</f>
        <v>7.6334485432334152</v>
      </c>
      <c r="F531" s="20">
        <f>Comparison!$B$10+(C531-Comparison!$B$10)*Comparison!$B$7</f>
        <v>-16.075867286602644</v>
      </c>
      <c r="G531" s="20">
        <f>Comparison!$B$11+(D531-Comparison!$B$11)*Comparison!$B$7</f>
        <v>-41.901110452867584</v>
      </c>
    </row>
    <row r="532" spans="1:7">
      <c r="A532" s="18">
        <f>'Raw Data'!A532</f>
        <v>710</v>
      </c>
      <c r="B532" s="20">
        <f>'Raw Data'!C532</f>
        <v>17.678044181579214</v>
      </c>
      <c r="C532" s="20">
        <f>'Raw Data'!F532</f>
        <v>-13.807451248168945</v>
      </c>
      <c r="D532" s="20">
        <f>'Raw Data'!G532</f>
        <v>-42.470157623291016</v>
      </c>
      <c r="E532" s="20">
        <f>'Raw Data'!H532</f>
        <v>7.6632721105498076</v>
      </c>
      <c r="F532" s="20">
        <f>Comparison!$B$10+(C532-Comparison!$B$10)*Comparison!$B$7</f>
        <v>-15.780805379196742</v>
      </c>
      <c r="G532" s="20">
        <f>Comparison!$B$11+(D532-Comparison!$B$11)*Comparison!$B$7</f>
        <v>-42.597938794778422</v>
      </c>
    </row>
    <row r="533" spans="1:7">
      <c r="A533" s="18">
        <f>'Raw Data'!A533</f>
        <v>711</v>
      </c>
      <c r="B533" s="20">
        <f>'Raw Data'!C533</f>
        <v>17.711393539581437</v>
      </c>
      <c r="C533" s="20">
        <f>'Raw Data'!F533</f>
        <v>-13.389338493347168</v>
      </c>
      <c r="D533" s="20">
        <f>'Raw Data'!G533</f>
        <v>-42.876655578613281</v>
      </c>
      <c r="E533" s="20">
        <f>'Raw Data'!H533</f>
        <v>7.6007802825909545</v>
      </c>
      <c r="F533" s="20">
        <f>Comparison!$B$10+(C533-Comparison!$B$10)*Comparison!$B$7</f>
        <v>-15.338307896323364</v>
      </c>
      <c r="G533" s="20">
        <f>Comparison!$B$11+(D533-Comparison!$B$11)*Comparison!$B$7</f>
        <v>-43.028144092150775</v>
      </c>
    </row>
    <row r="534" spans="1:7">
      <c r="A534" s="18">
        <f>'Raw Data'!A534</f>
        <v>712</v>
      </c>
      <c r="B534" s="20">
        <f>'Raw Data'!C534</f>
        <v>17.744742897583663</v>
      </c>
      <c r="C534" s="20">
        <f>'Raw Data'!F534</f>
        <v>-12.434701919555664</v>
      </c>
      <c r="D534" s="20">
        <f>'Raw Data'!G534</f>
        <v>-42.996444702148438</v>
      </c>
      <c r="E534" s="20">
        <f>'Raw Data'!H534</f>
        <v>7.5666008654044363</v>
      </c>
      <c r="F534" s="20">
        <f>Comparison!$B$10+(C534-Comparison!$B$10)*Comparison!$B$7</f>
        <v>-14.3279960220978</v>
      </c>
      <c r="G534" s="20">
        <f>Comparison!$B$11+(D534-Comparison!$B$11)*Comparison!$B$7</f>
        <v>-43.154919429732885</v>
      </c>
    </row>
    <row r="535" spans="1:7">
      <c r="A535" s="18">
        <f>'Raw Data'!A535</f>
        <v>713</v>
      </c>
      <c r="B535" s="20">
        <f>'Raw Data'!C535</f>
        <v>17.778092255585886</v>
      </c>
      <c r="C535" s="20">
        <f>'Raw Data'!F535</f>
        <v>-11.575648307800293</v>
      </c>
      <c r="D535" s="20">
        <f>'Raw Data'!G535</f>
        <v>-43.157844543457031</v>
      </c>
      <c r="E535" s="20">
        <f>'Raw Data'!H535</f>
        <v>7.5088292083315888</v>
      </c>
      <c r="F535" s="20">
        <f>Comparison!$B$10+(C535-Comparison!$B$10)*Comparison!$B$7</f>
        <v>-13.418841597911275</v>
      </c>
      <c r="G535" s="20">
        <f>Comparison!$B$11+(D535-Comparison!$B$11)*Comparison!$B$7</f>
        <v>-43.325732261179887</v>
      </c>
    </row>
    <row r="536" spans="1:7">
      <c r="A536" s="18">
        <f>'Raw Data'!A536</f>
        <v>714</v>
      </c>
      <c r="B536" s="20">
        <f>'Raw Data'!C536</f>
        <v>17.811441613588112</v>
      </c>
      <c r="C536" s="20">
        <f>'Raw Data'!F536</f>
        <v>-10.601553916931152</v>
      </c>
      <c r="D536" s="20">
        <f>'Raw Data'!G536</f>
        <v>-43.15728759765625</v>
      </c>
      <c r="E536" s="20">
        <f>'Raw Data'!H536</f>
        <v>7.6375222508309886</v>
      </c>
      <c r="F536" s="20">
        <f>Comparison!$B$10+(C536-Comparison!$B$10)*Comparison!$B$7</f>
        <v>-12.387937108464641</v>
      </c>
      <c r="G536" s="20">
        <f>Comparison!$B$11+(D536-Comparison!$B$11)*Comparison!$B$7</f>
        <v>-43.325142833777591</v>
      </c>
    </row>
    <row r="537" spans="1:7">
      <c r="A537" s="18">
        <f>'Raw Data'!A537</f>
        <v>715</v>
      </c>
      <c r="B537" s="20">
        <f>'Raw Data'!C537</f>
        <v>17.844790971590335</v>
      </c>
      <c r="C537" s="20">
        <f>'Raw Data'!F537</f>
        <v>-9.9124240875244141</v>
      </c>
      <c r="D537" s="20">
        <f>'Raw Data'!G537</f>
        <v>-43.214645385742188</v>
      </c>
      <c r="E537" s="20">
        <f>'Raw Data'!H537</f>
        <v>7.51986755197301</v>
      </c>
      <c r="F537" s="20">
        <f>Comparison!$B$10+(C537-Comparison!$B$10)*Comparison!$B$7</f>
        <v>-11.658616581002082</v>
      </c>
      <c r="G537" s="20">
        <f>Comparison!$B$11+(D537-Comparison!$B$11)*Comparison!$B$7</f>
        <v>-43.385845781866387</v>
      </c>
    </row>
    <row r="538" spans="1:7">
      <c r="A538" s="18">
        <f>'Raw Data'!A538</f>
        <v>716</v>
      </c>
      <c r="B538" s="20">
        <f>'Raw Data'!C538</f>
        <v>17.878140329592558</v>
      </c>
      <c r="C538" s="20">
        <f>'Raw Data'!F538</f>
        <v>-8.978510856628418</v>
      </c>
      <c r="D538" s="20">
        <f>'Raw Data'!G538</f>
        <v>-43.337299346923828</v>
      </c>
      <c r="E538" s="20">
        <f>'Raw Data'!H538</f>
        <v>7.5336427376382975</v>
      </c>
      <c r="F538" s="20">
        <f>Comparison!$B$10+(C538-Comparison!$B$10)*Comparison!$B$7</f>
        <v>-10.670236654468212</v>
      </c>
      <c r="G538" s="20">
        <f>Comparison!$B$11+(D538-Comparison!$B$11)*Comparison!$B$7</f>
        <v>-43.515653037113744</v>
      </c>
    </row>
    <row r="539" spans="1:7">
      <c r="A539" s="18">
        <f>'Raw Data'!A539</f>
        <v>717</v>
      </c>
      <c r="B539" s="20">
        <f>'Raw Data'!C539</f>
        <v>17.911489687594784</v>
      </c>
      <c r="C539" s="20">
        <f>'Raw Data'!F539</f>
        <v>-7.7026605606079102</v>
      </c>
      <c r="D539" s="20">
        <f>'Raw Data'!G539</f>
        <v>-43.355136871337891</v>
      </c>
      <c r="E539" s="20">
        <f>'Raw Data'!H539</f>
        <v>7.4756163840799568</v>
      </c>
      <c r="F539" s="20">
        <f>Comparison!$B$10+(C539-Comparison!$B$10)*Comparison!$B$7</f>
        <v>-9.3199775724342899</v>
      </c>
      <c r="G539" s="20">
        <f>Comparison!$B$11+(D539-Comparison!$B$11)*Comparison!$B$7</f>
        <v>-43.534530862683255</v>
      </c>
    </row>
    <row r="540" spans="1:7">
      <c r="A540" s="18">
        <f>'Raw Data'!A540</f>
        <v>718</v>
      </c>
      <c r="B540" s="20">
        <f>'Raw Data'!C540</f>
        <v>17.944839045597007</v>
      </c>
      <c r="C540" s="20">
        <f>'Raw Data'!F540</f>
        <v>-6.692103385925293</v>
      </c>
      <c r="D540" s="20">
        <f>'Raw Data'!G540</f>
        <v>-43.288516998291016</v>
      </c>
      <c r="E540" s="20">
        <f>'Raw Data'!H540</f>
        <v>7.4714544000601757</v>
      </c>
      <c r="F540" s="20">
        <f>Comparison!$B$10+(C540-Comparison!$B$10)*Comparison!$B$7</f>
        <v>-8.2504837554200314</v>
      </c>
      <c r="G540" s="20">
        <f>Comparison!$B$11+(D540-Comparison!$B$11)*Comparison!$B$7</f>
        <v>-43.464025656150746</v>
      </c>
    </row>
    <row r="541" spans="1:7">
      <c r="A541" s="18">
        <f>'Raw Data'!A541</f>
        <v>719</v>
      </c>
      <c r="B541" s="20">
        <f>'Raw Data'!C541</f>
        <v>17.978188403599233</v>
      </c>
      <c r="C541" s="20">
        <f>'Raw Data'!F541</f>
        <v>-5.5109748840332031</v>
      </c>
      <c r="D541" s="20">
        <f>'Raw Data'!G541</f>
        <v>-43.16497802734375</v>
      </c>
      <c r="E541" s="20">
        <f>'Raw Data'!H541</f>
        <v>7.5843933854487648</v>
      </c>
      <c r="F541" s="20">
        <f>Comparison!$B$10+(C541-Comparison!$B$10)*Comparison!$B$7</f>
        <v>-7.0004707313972823</v>
      </c>
      <c r="G541" s="20">
        <f>Comparison!$B$11+(D541-Comparison!$B$11)*Comparison!$B$7</f>
        <v>-43.333281776538101</v>
      </c>
    </row>
    <row r="542" spans="1:7">
      <c r="A542" s="18">
        <f>'Raw Data'!A542</f>
        <v>720</v>
      </c>
      <c r="B542" s="20">
        <f>'Raw Data'!C542</f>
        <v>18.011537761601456</v>
      </c>
      <c r="C542" s="20">
        <f>'Raw Data'!F542</f>
        <v>-4.6650748252868652</v>
      </c>
      <c r="D542" s="20">
        <f>'Raw Data'!G542</f>
        <v>-43.178031921386719</v>
      </c>
      <c r="E542" s="20">
        <f>'Raw Data'!H542</f>
        <v>7.5857603122662898</v>
      </c>
      <c r="F542" s="20">
        <f>Comparison!$B$10+(C542-Comparison!$B$10)*Comparison!$B$7</f>
        <v>-6.1052369877693309</v>
      </c>
      <c r="G542" s="20">
        <f>Comparison!$B$11+(D542-Comparison!$B$11)*Comparison!$B$7</f>
        <v>-43.347096985926228</v>
      </c>
    </row>
    <row r="543" spans="1:7">
      <c r="A543" s="18">
        <f>'Raw Data'!A543</f>
        <v>721</v>
      </c>
      <c r="B543" s="20">
        <f>'Raw Data'!C543</f>
        <v>18.044887119603679</v>
      </c>
      <c r="C543" s="20">
        <f>'Raw Data'!F543</f>
        <v>-3.125011682510376</v>
      </c>
      <c r="D543" s="20">
        <f>'Raw Data'!G543</f>
        <v>-43.277065277099609</v>
      </c>
      <c r="E543" s="20">
        <f>'Raw Data'!H543</f>
        <v>7.4659014788916878</v>
      </c>
      <c r="F543" s="20">
        <f>Comparison!$B$10+(C543-Comparison!$B$10)*Comparison!$B$7</f>
        <v>-4.475355917924567</v>
      </c>
      <c r="G543" s="20">
        <f>Comparison!$B$11+(D543-Comparison!$B$11)*Comparison!$B$7</f>
        <v>-43.451906059837725</v>
      </c>
    </row>
    <row r="544" spans="1:7">
      <c r="A544" s="18">
        <f>'Raw Data'!A544</f>
        <v>722</v>
      </c>
      <c r="B544" s="20">
        <f>'Raw Data'!C544</f>
        <v>18.078236477605905</v>
      </c>
      <c r="C544" s="20">
        <f>'Raw Data'!F544</f>
        <v>-2.0323491096496582</v>
      </c>
      <c r="D544" s="20">
        <f>'Raw Data'!G544</f>
        <v>-43.238933563232422</v>
      </c>
      <c r="E544" s="20">
        <f>'Raw Data'!H544</f>
        <v>7.5267582961586736</v>
      </c>
      <c r="F544" s="20">
        <f>Comparison!$B$10+(C544-Comparison!$B$10)*Comparison!$B$7</f>
        <v>-3.3189682388954758</v>
      </c>
      <c r="G544" s="20">
        <f>Comparison!$B$11+(D544-Comparison!$B$11)*Comparison!$B$7</f>
        <v>-43.411550468650198</v>
      </c>
    </row>
    <row r="545" spans="1:7">
      <c r="A545" s="18">
        <f>'Raw Data'!A545</f>
        <v>723</v>
      </c>
      <c r="B545" s="20">
        <f>'Raw Data'!C545</f>
        <v>18.111585835608128</v>
      </c>
      <c r="C545" s="20">
        <f>'Raw Data'!F545</f>
        <v>-0.90108788013458252</v>
      </c>
      <c r="D545" s="20">
        <f>'Raw Data'!G545</f>
        <v>-43.225307464599609</v>
      </c>
      <c r="E545" s="20">
        <f>'Raw Data'!H545</f>
        <v>7.5556307967645031</v>
      </c>
      <c r="F545" s="20">
        <f>Comparison!$B$10+(C545-Comparison!$B$10)*Comparison!$B$7</f>
        <v>-2.1217307933503449</v>
      </c>
      <c r="G545" s="20">
        <f>Comparison!$B$11+(D545-Comparison!$B$11)*Comparison!$B$7</f>
        <v>-43.397129683163818</v>
      </c>
    </row>
    <row r="546" spans="1:7">
      <c r="A546" s="18">
        <f>'Raw Data'!A546</f>
        <v>724</v>
      </c>
      <c r="B546" s="20">
        <f>'Raw Data'!C546</f>
        <v>18.144935193610355</v>
      </c>
      <c r="C546" s="20">
        <f>'Raw Data'!F546</f>
        <v>0.56579446792602539</v>
      </c>
      <c r="D546" s="20">
        <f>'Raw Data'!G546</f>
        <v>-43.169940948486328</v>
      </c>
      <c r="E546" s="20">
        <f>'Raw Data'!H546</f>
        <v>7.5515129124745641</v>
      </c>
      <c r="F546" s="20">
        <f>Comparison!$B$10+(C546-Comparison!$B$10)*Comparison!$B$7</f>
        <v>-0.56929849081299011</v>
      </c>
      <c r="G546" s="20">
        <f>Comparison!$B$11+(D546-Comparison!$B$11)*Comparison!$B$7</f>
        <v>-43.338534139896936</v>
      </c>
    </row>
    <row r="547" spans="1:7">
      <c r="A547" s="18">
        <f>'Raw Data'!A547</f>
        <v>725</v>
      </c>
      <c r="B547" s="20">
        <f>'Raw Data'!C547</f>
        <v>18.178284551612578</v>
      </c>
      <c r="C547" s="20">
        <f>'Raw Data'!F547</f>
        <v>1.6641722917556763</v>
      </c>
      <c r="D547" s="20">
        <f>'Raw Data'!G547</f>
        <v>-43.05804443359375</v>
      </c>
      <c r="E547" s="20">
        <f>'Raw Data'!H547</f>
        <v>7.5005397899352122</v>
      </c>
      <c r="F547" s="20">
        <f>Comparison!$B$10+(C547-Comparison!$B$10)*Comparison!$B$7</f>
        <v>0.59313775798245771</v>
      </c>
      <c r="G547" s="20">
        <f>Comparison!$B$11+(D547-Comparison!$B$11)*Comparison!$B$7</f>
        <v>-43.220111715296724</v>
      </c>
    </row>
    <row r="548" spans="1:7">
      <c r="A548" s="18">
        <f>'Raw Data'!A548</f>
        <v>726</v>
      </c>
      <c r="B548" s="20">
        <f>'Raw Data'!C548</f>
        <v>18.2116339096148</v>
      </c>
      <c r="C548" s="20">
        <f>'Raw Data'!F548</f>
        <v>2.7623946666717529</v>
      </c>
      <c r="D548" s="20">
        <f>'Raw Data'!G548</f>
        <v>-43.083702087402344</v>
      </c>
      <c r="E548" s="20">
        <f>'Raw Data'!H548</f>
        <v>7.5405208936748602</v>
      </c>
      <c r="F548" s="20">
        <f>Comparison!$B$10+(C548-Comparison!$B$10)*Comparison!$B$7</f>
        <v>1.7554094919378826</v>
      </c>
      <c r="G548" s="20">
        <f>Comparison!$B$11+(D548-Comparison!$B$11)*Comparison!$B$7</f>
        <v>-43.247265747542357</v>
      </c>
    </row>
    <row r="549" spans="1:7">
      <c r="A549" s="18">
        <f>'Raw Data'!A549</f>
        <v>727</v>
      </c>
      <c r="B549" s="20">
        <f>'Raw Data'!C549</f>
        <v>18.244983267617027</v>
      </c>
      <c r="C549" s="20">
        <f>'Raw Data'!F549</f>
        <v>3.9089822769165039</v>
      </c>
      <c r="D549" s="20">
        <f>'Raw Data'!G549</f>
        <v>-43.058986663818359</v>
      </c>
      <c r="E549" s="20">
        <f>'Raw Data'!H549</f>
        <v>7.5295128281067525</v>
      </c>
      <c r="F549" s="20">
        <f>Comparison!$B$10+(C549-Comparison!$B$10)*Comparison!$B$7</f>
        <v>2.9688671671130109</v>
      </c>
      <c r="G549" s="20">
        <f>Comparison!$B$11+(D549-Comparison!$B$11)*Comparison!$B$7</f>
        <v>-43.221108897271847</v>
      </c>
    </row>
    <row r="550" spans="1:7">
      <c r="A550" s="18">
        <f>'Raw Data'!A550</f>
        <v>728</v>
      </c>
      <c r="B550" s="20">
        <f>'Raw Data'!C550</f>
        <v>18.27833262561925</v>
      </c>
      <c r="C550" s="20">
        <f>'Raw Data'!F550</f>
        <v>4.9645247459411621</v>
      </c>
      <c r="D550" s="20">
        <f>'Raw Data'!G550</f>
        <v>-43.002452850341797</v>
      </c>
      <c r="E550" s="20">
        <f>'Raw Data'!H550</f>
        <v>7.517109485659085</v>
      </c>
      <c r="F550" s="20">
        <f>Comparison!$B$10+(C550-Comparison!$B$10)*Comparison!$B$7</f>
        <v>4.0859698630316146</v>
      </c>
      <c r="G550" s="20">
        <f>Comparison!$B$11+(D550-Comparison!$B$11)*Comparison!$B$7</f>
        <v>-43.161277978764531</v>
      </c>
    </row>
    <row r="551" spans="1:7">
      <c r="A551" s="18">
        <f>'Raw Data'!A551</f>
        <v>729</v>
      </c>
      <c r="B551" s="20">
        <f>'Raw Data'!C551</f>
        <v>18.311681983621476</v>
      </c>
      <c r="C551" s="20">
        <f>'Raw Data'!F551</f>
        <v>5.9257287979125977</v>
      </c>
      <c r="D551" s="20">
        <f>'Raw Data'!G551</f>
        <v>-43.101081848144531</v>
      </c>
      <c r="E551" s="20">
        <f>'Raw Data'!H551</f>
        <v>7.6239347605278427</v>
      </c>
      <c r="F551" s="20">
        <f>Comparison!$B$10+(C551-Comparison!$B$10)*Comparison!$B$7</f>
        <v>5.103232236924871</v>
      </c>
      <c r="G551" s="20">
        <f>Comparison!$B$11+(D551-Comparison!$B$11)*Comparison!$B$7</f>
        <v>-43.265659112233266</v>
      </c>
    </row>
    <row r="552" spans="1:7">
      <c r="A552" s="18">
        <f>'Raw Data'!A552</f>
        <v>730</v>
      </c>
      <c r="B552" s="20">
        <f>'Raw Data'!C552</f>
        <v>18.345031341623699</v>
      </c>
      <c r="C552" s="20">
        <f>'Raw Data'!F552</f>
        <v>6.9215617179870605</v>
      </c>
      <c r="D552" s="20">
        <f>'Raw Data'!G552</f>
        <v>-43.188484191894531</v>
      </c>
      <c r="E552" s="20">
        <f>'Raw Data'!H552</f>
        <v>7.5473927814526762</v>
      </c>
      <c r="F552" s="20">
        <f>Comparison!$B$10+(C552-Comparison!$B$10)*Comparison!$B$7</f>
        <v>6.1571430669908551</v>
      </c>
      <c r="G552" s="20">
        <f>Comparison!$B$11+(D552-Comparison!$B$11)*Comparison!$B$7</f>
        <v>-43.358158842654298</v>
      </c>
    </row>
    <row r="553" spans="1:7">
      <c r="A553" s="18">
        <f>'Raw Data'!A553</f>
        <v>731</v>
      </c>
      <c r="B553" s="20">
        <f>'Raw Data'!C553</f>
        <v>18.378380699625922</v>
      </c>
      <c r="C553" s="20">
        <f>'Raw Data'!F553</f>
        <v>7.5602126121520996</v>
      </c>
      <c r="D553" s="20">
        <f>'Raw Data'!G553</f>
        <v>-43.06597900390625</v>
      </c>
      <c r="E553" s="20">
        <f>'Raw Data'!H553</f>
        <v>7.4867036966376359</v>
      </c>
      <c r="F553" s="20">
        <f>Comparison!$B$10+(C553-Comparison!$B$10)*Comparison!$B$7</f>
        <v>6.8330406803591011</v>
      </c>
      <c r="G553" s="20">
        <f>Comparison!$B$11+(D553-Comparison!$B$11)*Comparison!$B$7</f>
        <v>-43.228509037192488</v>
      </c>
    </row>
    <row r="554" spans="1:7">
      <c r="A554" s="18">
        <f>'Raw Data'!A554</f>
        <v>732</v>
      </c>
      <c r="B554" s="20">
        <f>'Raw Data'!C554</f>
        <v>18.411730057628148</v>
      </c>
      <c r="C554" s="20">
        <f>'Raw Data'!F554</f>
        <v>8.7478742599487305</v>
      </c>
      <c r="D554" s="20">
        <f>'Raw Data'!G554</f>
        <v>-42.962089538574219</v>
      </c>
      <c r="E554" s="20">
        <f>'Raw Data'!H554</f>
        <v>7.5994160574552083</v>
      </c>
      <c r="F554" s="20">
        <f>Comparison!$B$10+(C554-Comparison!$B$10)*Comparison!$B$7</f>
        <v>8.0899678694836439</v>
      </c>
      <c r="G554" s="20">
        <f>Comparison!$B$11+(D554-Comparison!$B$11)*Comparison!$B$7</f>
        <v>-43.118560640793817</v>
      </c>
    </row>
    <row r="555" spans="1:7">
      <c r="A555" s="18">
        <f>'Raw Data'!A555</f>
        <v>733</v>
      </c>
      <c r="B555" s="20">
        <f>'Raw Data'!C555</f>
        <v>18.445079415630371</v>
      </c>
      <c r="C555" s="20">
        <f>'Raw Data'!F555</f>
        <v>9.5204076766967773</v>
      </c>
      <c r="D555" s="20">
        <f>'Raw Data'!G555</f>
        <v>-43.177791595458984</v>
      </c>
      <c r="E555" s="20">
        <f>'Raw Data'!H555</f>
        <v>7.493624936626099</v>
      </c>
      <c r="F555" s="20">
        <f>Comparison!$B$10+(C555-Comparison!$B$10)*Comparison!$B$7</f>
        <v>8.9075561597339465</v>
      </c>
      <c r="G555" s="20">
        <f>Comparison!$B$11+(D555-Comparison!$B$11)*Comparison!$B$7</f>
        <v>-43.346842643964962</v>
      </c>
    </row>
    <row r="556" spans="1:7">
      <c r="A556" s="18">
        <f>'Raw Data'!A556</f>
        <v>734</v>
      </c>
      <c r="B556" s="20">
        <f>'Raw Data'!C556</f>
        <v>18.478428773632597</v>
      </c>
      <c r="C556" s="20">
        <f>'Raw Data'!F556</f>
        <v>10.755525588989258</v>
      </c>
      <c r="D556" s="20">
        <f>'Raw Data'!G556</f>
        <v>-43.183696746826172</v>
      </c>
      <c r="E556" s="20">
        <f>'Raw Data'!H556</f>
        <v>7.5748179909375635</v>
      </c>
      <c r="F556" s="20">
        <f>Comparison!$B$10+(C556-Comparison!$B$10)*Comparison!$B$7</f>
        <v>10.214707307213786</v>
      </c>
      <c r="G556" s="20">
        <f>Comparison!$B$11+(D556-Comparison!$B$11)*Comparison!$B$7</f>
        <v>-43.35309218929892</v>
      </c>
    </row>
    <row r="557" spans="1:7">
      <c r="A557" s="18">
        <f>'Raw Data'!A557</f>
        <v>735</v>
      </c>
      <c r="B557" s="20">
        <f>'Raw Data'!C557</f>
        <v>18.51177813163482</v>
      </c>
      <c r="C557" s="20">
        <f>'Raw Data'!F557</f>
        <v>11.727738380432129</v>
      </c>
      <c r="D557" s="20">
        <f>'Raw Data'!G557</f>
        <v>-43.118064880371094</v>
      </c>
      <c r="E557" s="20">
        <f>'Raw Data'!H557</f>
        <v>7.4631234689429027</v>
      </c>
      <c r="F557" s="20">
        <f>Comparison!$B$10+(C557-Comparison!$B$10)*Comparison!$B$7</f>
        <v>11.243620460590666</v>
      </c>
      <c r="G557" s="20">
        <f>Comparison!$B$11+(D557-Comparison!$B$11)*Comparison!$B$7</f>
        <v>-43.283632610829393</v>
      </c>
    </row>
    <row r="558" spans="1:7">
      <c r="A558" s="18">
        <f>'Raw Data'!A558</f>
        <v>736</v>
      </c>
      <c r="B558" s="20">
        <f>'Raw Data'!C558</f>
        <v>18.545127489637043</v>
      </c>
      <c r="C558" s="20">
        <f>'Raw Data'!F558</f>
        <v>12.423660278320313</v>
      </c>
      <c r="D558" s="20">
        <f>'Raw Data'!G558</f>
        <v>-43.003280639648438</v>
      </c>
      <c r="E558" s="20">
        <f>'Raw Data'!H558</f>
        <v>7.5884934272215778</v>
      </c>
      <c r="F558" s="20">
        <f>Comparison!$B$10+(C558-Comparison!$B$10)*Comparison!$B$7</f>
        <v>11.980129176339478</v>
      </c>
      <c r="G558" s="20">
        <f>Comparison!$B$11+(D558-Comparison!$B$11)*Comparison!$B$7</f>
        <v>-43.162154045519998</v>
      </c>
    </row>
    <row r="559" spans="1:7">
      <c r="A559" s="18">
        <f>'Raw Data'!A559</f>
        <v>737</v>
      </c>
      <c r="B559" s="20">
        <f>'Raw Data'!C559</f>
        <v>18.578476847639269</v>
      </c>
      <c r="C559" s="20">
        <f>'Raw Data'!F559</f>
        <v>13.576578140258789</v>
      </c>
      <c r="D559" s="20">
        <f>'Raw Data'!G559</f>
        <v>-43.142173767089844</v>
      </c>
      <c r="E559" s="20">
        <f>'Raw Data'!H559</f>
        <v>7.5748179909375635</v>
      </c>
      <c r="F559" s="20">
        <f>Comparison!$B$10+(C559-Comparison!$B$10)*Comparison!$B$7</f>
        <v>13.200286289424897</v>
      </c>
      <c r="G559" s="20">
        <f>Comparison!$B$11+(D559-Comparison!$B$11)*Comparison!$B$7</f>
        <v>-43.309147550435753</v>
      </c>
    </row>
    <row r="560" spans="1:7">
      <c r="A560" s="18">
        <f>'Raw Data'!A560</f>
        <v>738</v>
      </c>
      <c r="B560" s="20">
        <f>'Raw Data'!C560</f>
        <v>18.611826205641492</v>
      </c>
      <c r="C560" s="20">
        <f>'Raw Data'!F560</f>
        <v>14.631537437438965</v>
      </c>
      <c r="D560" s="20">
        <f>'Raw Data'!G560</f>
        <v>-43.1468505859375</v>
      </c>
      <c r="E560" s="20">
        <f>'Raw Data'!H560</f>
        <v>7.5501397852857473</v>
      </c>
      <c r="F560" s="20">
        <f>Comparison!$B$10+(C560-Comparison!$B$10)*Comparison!$B$7</f>
        <v>14.316771802370029</v>
      </c>
      <c r="G560" s="20">
        <f>Comparison!$B$11+(D560-Comparison!$B$11)*Comparison!$B$7</f>
        <v>-43.314097125745469</v>
      </c>
    </row>
    <row r="561" spans="1:7">
      <c r="A561" s="18">
        <f>'Raw Data'!A561</f>
        <v>739</v>
      </c>
      <c r="B561" s="20">
        <f>'Raw Data'!C561</f>
        <v>18.645175563643718</v>
      </c>
      <c r="C561" s="20">
        <f>'Raw Data'!F561</f>
        <v>15.931639671325684</v>
      </c>
      <c r="D561" s="20">
        <f>'Raw Data'!G561</f>
        <v>-43.001007080078125</v>
      </c>
      <c r="E561" s="20">
        <f>'Raw Data'!H561</f>
        <v>7.5912255581569861</v>
      </c>
      <c r="F561" s="20">
        <f>Comparison!$B$10+(C561-Comparison!$B$10)*Comparison!$B$7</f>
        <v>15.692697218034874</v>
      </c>
      <c r="G561" s="20">
        <f>Comparison!$B$11+(D561-Comparison!$B$11)*Comparison!$B$7</f>
        <v>-43.159747889822945</v>
      </c>
    </row>
    <row r="562" spans="1:7">
      <c r="A562" s="18">
        <f>'Raw Data'!A562</f>
        <v>740</v>
      </c>
      <c r="B562" s="20">
        <f>'Raw Data'!C562</f>
        <v>18.678524921645941</v>
      </c>
      <c r="C562" s="20">
        <f>'Raw Data'!F562</f>
        <v>16.963100433349609</v>
      </c>
      <c r="D562" s="20">
        <f>'Raw Data'!G562</f>
        <v>-43.0228271484375</v>
      </c>
      <c r="E562" s="20">
        <f>'Raw Data'!H562</f>
        <v>7.5761866453874251</v>
      </c>
      <c r="F562" s="20">
        <f>Comparison!$B$10+(C562-Comparison!$B$10)*Comparison!$B$7</f>
        <v>16.784313739211782</v>
      </c>
      <c r="G562" s="20">
        <f>Comparison!$B$11+(D562-Comparison!$B$11)*Comparison!$B$7</f>
        <v>-43.182840525036298</v>
      </c>
    </row>
    <row r="563" spans="1:7">
      <c r="A563" s="18">
        <f>'Raw Data'!A563</f>
        <v>741</v>
      </c>
      <c r="B563" s="20">
        <f>'Raw Data'!C563</f>
        <v>18.711874279648164</v>
      </c>
      <c r="C563" s="20">
        <f>'Raw Data'!F563</f>
        <v>18.095912933349609</v>
      </c>
      <c r="D563" s="20">
        <f>'Raw Data'!G563</f>
        <v>-43.177627563476563</v>
      </c>
      <c r="E563" s="20">
        <f>'Raw Data'!H563</f>
        <v>7.5405208936748602</v>
      </c>
      <c r="F563" s="20">
        <f>Comparison!$B$10+(C563-Comparison!$B$10)*Comparison!$B$7</f>
        <v>17.983192926791613</v>
      </c>
      <c r="G563" s="20">
        <f>Comparison!$B$11+(D563-Comparison!$B$11)*Comparison!$B$7</f>
        <v>-43.346669045483459</v>
      </c>
    </row>
    <row r="564" spans="1:7">
      <c r="A564" s="18">
        <f>'Raw Data'!A564</f>
        <v>742</v>
      </c>
      <c r="B564" s="20">
        <f>'Raw Data'!C564</f>
        <v>18.74522363765039</v>
      </c>
      <c r="C564" s="20">
        <f>'Raw Data'!F564</f>
        <v>18.98332405090332</v>
      </c>
      <c r="D564" s="20">
        <f>'Raw Data'!G564</f>
        <v>-43.233749389648438</v>
      </c>
      <c r="E564" s="20">
        <f>'Raw Data'!H564</f>
        <v>7.4631234689429027</v>
      </c>
      <c r="F564" s="20">
        <f>Comparison!$B$10+(C564-Comparison!$B$10)*Comparison!$B$7</f>
        <v>18.92235869311402</v>
      </c>
      <c r="G564" s="20">
        <f>Comparison!$B$11+(D564-Comparison!$B$11)*Comparison!$B$7</f>
        <v>-43.406063949200039</v>
      </c>
    </row>
    <row r="565" spans="1:7">
      <c r="A565" s="18">
        <f>'Raw Data'!A565</f>
        <v>743</v>
      </c>
      <c r="B565" s="20">
        <f>'Raw Data'!C565</f>
        <v>18.778572995652613</v>
      </c>
      <c r="C565" s="20">
        <f>'Raw Data'!F565</f>
        <v>19.562948226928711</v>
      </c>
      <c r="D565" s="20">
        <f>'Raw Data'!G565</f>
        <v>-43.215538024902344</v>
      </c>
      <c r="E565" s="20">
        <f>'Raw Data'!H565</f>
        <v>7.6007802825909545</v>
      </c>
      <c r="F565" s="20">
        <f>Comparison!$B$10+(C565-Comparison!$B$10)*Comparison!$B$7</f>
        <v>19.535787094773564</v>
      </c>
      <c r="G565" s="20">
        <f>Comparison!$B$11+(D565-Comparison!$B$11)*Comparison!$B$7</f>
        <v>-43.386790480579663</v>
      </c>
    </row>
    <row r="566" spans="1:7">
      <c r="A566" s="18">
        <f>'Raw Data'!A566</f>
        <v>744</v>
      </c>
      <c r="B566" s="20">
        <f>'Raw Data'!C566</f>
        <v>18.81192235365484</v>
      </c>
      <c r="C566" s="20">
        <f>'Raw Data'!F566</f>
        <v>20.048221588134766</v>
      </c>
      <c r="D566" s="20">
        <f>'Raw Data'!G566</f>
        <v>-43.227802276611328</v>
      </c>
      <c r="E566" s="20">
        <f>'Raw Data'!H566</f>
        <v>7.5679710059073653</v>
      </c>
      <c r="F566" s="20">
        <f>Comparison!$B$10+(C566-Comparison!$B$10)*Comparison!$B$7</f>
        <v>20.049362053592297</v>
      </c>
      <c r="G566" s="20">
        <f>Comparison!$B$11+(D566-Comparison!$B$11)*Comparison!$B$7</f>
        <v>-43.399769994952202</v>
      </c>
    </row>
    <row r="567" spans="1:7">
      <c r="A567" s="18">
        <f>'Raw Data'!A567</f>
        <v>745</v>
      </c>
      <c r="B567" s="20">
        <f>'Raw Data'!C567</f>
        <v>18.845271711657062</v>
      </c>
      <c r="C567" s="20">
        <f>'Raw Data'!F567</f>
        <v>21.204574584960938</v>
      </c>
      <c r="D567" s="20">
        <f>'Raw Data'!G567</f>
        <v>-43.225055694580078</v>
      </c>
      <c r="E567" s="20">
        <f>'Raw Data'!H567</f>
        <v>7.5775550526315625</v>
      </c>
      <c r="F567" s="20">
        <f>Comparison!$B$10+(C567-Comparison!$B$10)*Comparison!$B$7</f>
        <v>21.273154641854227</v>
      </c>
      <c r="G567" s="20">
        <f>Comparison!$B$11+(D567-Comparison!$B$11)*Comparison!$B$7</f>
        <v>-43.396863229680591</v>
      </c>
    </row>
    <row r="568" spans="1:7">
      <c r="A568" s="18">
        <f>'Raw Data'!A568</f>
        <v>746</v>
      </c>
      <c r="B568" s="20">
        <f>'Raw Data'!C568</f>
        <v>18.878621069659285</v>
      </c>
      <c r="C568" s="20">
        <f>'Raw Data'!F568</f>
        <v>22.392221450805664</v>
      </c>
      <c r="D568" s="20">
        <f>'Raw Data'!G568</f>
        <v>-43.251354217529297</v>
      </c>
      <c r="E568" s="20">
        <f>'Raw Data'!H568</f>
        <v>7.6048714896419876</v>
      </c>
      <c r="F568" s="20">
        <f>Comparison!$B$10+(C568-Comparison!$B$10)*Comparison!$B$7</f>
        <v>22.530066186929563</v>
      </c>
      <c r="G568" s="20">
        <f>Comparison!$B$11+(D568-Comparison!$B$11)*Comparison!$B$7</f>
        <v>-43.424695507156265</v>
      </c>
    </row>
    <row r="569" spans="1:7">
      <c r="A569" s="18">
        <f>'Raw Data'!A569</f>
        <v>747</v>
      </c>
      <c r="B569" s="20">
        <f>'Raw Data'!C569</f>
        <v>18.911970427661512</v>
      </c>
      <c r="C569" s="20">
        <f>'Raw Data'!F569</f>
        <v>23.545923233032227</v>
      </c>
      <c r="D569" s="20">
        <f>'Raw Data'!G569</f>
        <v>-43.232231140136719</v>
      </c>
      <c r="E569" s="20">
        <f>'Raw Data'!H569</f>
        <v>7.6916321888499901</v>
      </c>
      <c r="F569" s="20">
        <f>Comparison!$B$10+(C569-Comparison!$B$10)*Comparison!$B$7</f>
        <v>23.751052939269588</v>
      </c>
      <c r="G569" s="20">
        <f>Comparison!$B$11+(D569-Comparison!$B$11)*Comparison!$B$7</f>
        <v>-43.404457153952677</v>
      </c>
    </row>
    <row r="570" spans="1:7">
      <c r="A570" s="18">
        <f>'Raw Data'!A570</f>
        <v>748</v>
      </c>
      <c r="B570" s="20">
        <f>'Raw Data'!C570</f>
        <v>18.945319785663735</v>
      </c>
      <c r="C570" s="20">
        <f>'Raw Data'!F570</f>
        <v>24.704240798950195</v>
      </c>
      <c r="D570" s="20">
        <f>'Raw Data'!G570</f>
        <v>-43.290138244628906</v>
      </c>
      <c r="E570" s="20">
        <f>'Raw Data'!H570</f>
        <v>7.5898596156253433</v>
      </c>
      <c r="F570" s="20">
        <f>Comparison!$B$10+(C570-Comparison!$B$10)*Comparison!$B$7</f>
        <v>24.976924672135514</v>
      </c>
      <c r="G570" s="20">
        <f>Comparison!$B$11+(D570-Comparison!$B$11)*Comparison!$B$7</f>
        <v>-43.465741455095795</v>
      </c>
    </row>
    <row r="571" spans="1:7">
      <c r="A571" s="18">
        <f>'Raw Data'!A571</f>
        <v>749</v>
      </c>
      <c r="B571" s="20">
        <f>'Raw Data'!C571</f>
        <v>18.978669143665961</v>
      </c>
      <c r="C571" s="20">
        <f>'Raw Data'!F571</f>
        <v>25.915187835693359</v>
      </c>
      <c r="D571" s="20">
        <f>'Raw Data'!G571</f>
        <v>-43.364776611328125</v>
      </c>
      <c r="E571" s="20">
        <f>'Raw Data'!H571</f>
        <v>7.5405208936748602</v>
      </c>
      <c r="F571" s="20">
        <f>Comparison!$B$10+(C571-Comparison!$B$10)*Comparison!$B$7</f>
        <v>26.258495275931683</v>
      </c>
      <c r="G571" s="20">
        <f>Comparison!$B$11+(D571-Comparison!$B$11)*Comparison!$B$7</f>
        <v>-43.544732801351813</v>
      </c>
    </row>
    <row r="572" spans="1:7">
      <c r="A572" s="18">
        <f>'Raw Data'!A572</f>
        <v>750</v>
      </c>
      <c r="B572" s="20">
        <f>'Raw Data'!C572</f>
        <v>19.012018501668184</v>
      </c>
      <c r="C572" s="20">
        <f>'Raw Data'!F572</f>
        <v>26.282648086547852</v>
      </c>
      <c r="D572" s="20">
        <f>'Raw Data'!G572</f>
        <v>-43.370025634765625</v>
      </c>
      <c r="E572" s="20">
        <f>'Raw Data'!H572</f>
        <v>7.5570029262222453</v>
      </c>
      <c r="F572" s="20">
        <f>Comparison!$B$10+(C572-Comparison!$B$10)*Comparison!$B$7</f>
        <v>26.647386153294278</v>
      </c>
      <c r="G572" s="20">
        <f>Comparison!$B$11+(D572-Comparison!$B$11)*Comparison!$B$7</f>
        <v>-43.550287952759781</v>
      </c>
    </row>
    <row r="573" spans="1:7">
      <c r="A573" s="18">
        <f>'Raw Data'!A573</f>
        <v>751</v>
      </c>
      <c r="B573" s="20">
        <f>'Raw Data'!C573</f>
        <v>19.045367859670407</v>
      </c>
      <c r="C573" s="20">
        <f>'Raw Data'!F573</f>
        <v>27.300670623779297</v>
      </c>
      <c r="D573" s="20">
        <f>'Raw Data'!G573</f>
        <v>-43.554973602294922</v>
      </c>
      <c r="E573" s="20">
        <f>'Raw Data'!H573</f>
        <v>7.5611178205790228</v>
      </c>
      <c r="F573" s="20">
        <f>Comparison!$B$10+(C573-Comparison!$B$10)*Comparison!$B$7</f>
        <v>27.724780719803736</v>
      </c>
      <c r="G573" s="20">
        <f>Comparison!$B$11+(D573-Comparison!$B$11)*Comparison!$B$7</f>
        <v>-43.746022259236859</v>
      </c>
    </row>
    <row r="574" spans="1:7">
      <c r="A574" s="18">
        <f>'Raw Data'!A574</f>
        <v>752</v>
      </c>
      <c r="B574" s="20">
        <f>'Raw Data'!C574</f>
        <v>19.078717217672633</v>
      </c>
      <c r="C574" s="20">
        <f>'Raw Data'!F574</f>
        <v>28.154041290283203</v>
      </c>
      <c r="D574" s="20">
        <f>'Raw Data'!G574</f>
        <v>-43.577121734619141</v>
      </c>
      <c r="E574" s="20">
        <f>'Raw Data'!H574</f>
        <v>7.528135688117529</v>
      </c>
      <c r="F574" s="20">
        <f>Comparison!$B$10+(C574-Comparison!$B$10)*Comparison!$B$7</f>
        <v>28.627920764041118</v>
      </c>
      <c r="G574" s="20">
        <f>Comparison!$B$11+(D574-Comparison!$B$11)*Comparison!$B$7</f>
        <v>-43.76946209141321</v>
      </c>
    </row>
    <row r="575" spans="1:7">
      <c r="A575" s="18">
        <f>'Raw Data'!A575</f>
        <v>753</v>
      </c>
      <c r="B575" s="20">
        <f>'Raw Data'!C575</f>
        <v>19.112066575674856</v>
      </c>
      <c r="C575" s="20">
        <f>'Raw Data'!F575</f>
        <v>29.458377838134766</v>
      </c>
      <c r="D575" s="20">
        <f>'Raw Data'!G575</f>
        <v>-43.699214935302734</v>
      </c>
      <c r="E575" s="20">
        <f>'Raw Data'!H575</f>
        <v>7.5953219118456046</v>
      </c>
      <c r="F575" s="20">
        <f>Comparison!$B$10+(C575-Comparison!$B$10)*Comparison!$B$7</f>
        <v>30.008327442833028</v>
      </c>
      <c r="G575" s="20">
        <f>Comparison!$B$11+(D575-Comparison!$B$11)*Comparison!$B$7</f>
        <v>-43.898675882084277</v>
      </c>
    </row>
    <row r="576" spans="1:7">
      <c r="A576" s="18">
        <f>'Raw Data'!A576</f>
        <v>754</v>
      </c>
      <c r="B576" s="20">
        <f>'Raw Data'!C576</f>
        <v>19.145415933677082</v>
      </c>
      <c r="C576" s="20">
        <f>'Raw Data'!F576</f>
        <v>30.294441223144531</v>
      </c>
      <c r="D576" s="20">
        <f>'Raw Data'!G576</f>
        <v>-43.771469116210938</v>
      </c>
      <c r="E576" s="20">
        <f>'Raw Data'!H576</f>
        <v>7.5460189045355959</v>
      </c>
      <c r="F576" s="20">
        <f>Comparison!$B$10+(C576-Comparison!$B$10)*Comparison!$B$7</f>
        <v>30.893150828685279</v>
      </c>
      <c r="G576" s="20">
        <f>Comparison!$B$11+(D576-Comparison!$B$11)*Comparison!$B$7</f>
        <v>-43.975143994597573</v>
      </c>
    </row>
    <row r="577" spans="1:7">
      <c r="A577" s="18">
        <f>'Raw Data'!A577</f>
        <v>755</v>
      </c>
      <c r="B577" s="20">
        <f>'Raw Data'!C577</f>
        <v>19.178765291679305</v>
      </c>
      <c r="C577" s="20">
        <f>'Raw Data'!F577</f>
        <v>31.587991714477539</v>
      </c>
      <c r="D577" s="20">
        <f>'Raw Data'!G577</f>
        <v>-43.845245361328125</v>
      </c>
      <c r="E577" s="20">
        <f>'Raw Data'!H577</f>
        <v>7.5871269928128733</v>
      </c>
      <c r="F577" s="20">
        <f>Comparison!$B$10+(C577-Comparison!$B$10)*Comparison!$B$7</f>
        <v>32.262142398025134</v>
      </c>
      <c r="G577" s="20">
        <f>Comparison!$B$11+(D577-Comparison!$B$11)*Comparison!$B$7</f>
        <v>-44.053222939532226</v>
      </c>
    </row>
    <row r="578" spans="1:7">
      <c r="A578" s="18">
        <f>'Raw Data'!A578</f>
        <v>756</v>
      </c>
      <c r="B578" s="20">
        <f>'Raw Data'!C578</f>
        <v>19.212114649681528</v>
      </c>
      <c r="C578" s="20">
        <f>'Raw Data'!F578</f>
        <v>32.451030731201172</v>
      </c>
      <c r="D578" s="20">
        <f>'Raw Data'!G578</f>
        <v>-43.675491333007813</v>
      </c>
      <c r="E578" s="20">
        <f>'Raw Data'!H578</f>
        <v>7.5734490891479567</v>
      </c>
      <c r="F578" s="20">
        <f>Comparison!$B$10+(C578-Comparison!$B$10)*Comparison!$B$7</f>
        <v>33.175514659735988</v>
      </c>
      <c r="G578" s="20">
        <f>Comparison!$B$11+(D578-Comparison!$B$11)*Comparison!$B$7</f>
        <v>-43.873568697050736</v>
      </c>
    </row>
    <row r="579" spans="1:7">
      <c r="A579" s="18">
        <f>'Raw Data'!A579</f>
        <v>757</v>
      </c>
      <c r="B579" s="20">
        <f>'Raw Data'!C579</f>
        <v>19.245464007683754</v>
      </c>
      <c r="C579" s="20">
        <f>'Raw Data'!F579</f>
        <v>33.092002868652344</v>
      </c>
      <c r="D579" s="20">
        <f>'Raw Data'!G579</f>
        <v>-43.549827575683594</v>
      </c>
      <c r="E579" s="20">
        <f>'Raw Data'!H579</f>
        <v>7.5939567061345947</v>
      </c>
      <c r="F579" s="20">
        <f>Comparison!$B$10+(C579-Comparison!$B$10)*Comparison!$B$7</f>
        <v>33.853868893476147</v>
      </c>
      <c r="G579" s="20">
        <f>Comparison!$B$11+(D579-Comparison!$B$11)*Comparison!$B$7</f>
        <v>-43.740576111526579</v>
      </c>
    </row>
    <row r="580" spans="1:7">
      <c r="A580" s="18">
        <f>'Raw Data'!A580</f>
        <v>758</v>
      </c>
      <c r="B580" s="20">
        <f>'Raw Data'!C580</f>
        <v>19.278813365685977</v>
      </c>
      <c r="C580" s="20">
        <f>'Raw Data'!F580</f>
        <v>33.813262939453125</v>
      </c>
      <c r="D580" s="20">
        <f>'Raw Data'!G580</f>
        <v>-43.662765502929688</v>
      </c>
      <c r="E580" s="20">
        <f>'Raw Data'!H580</f>
        <v>7.53777038441185</v>
      </c>
      <c r="F580" s="20">
        <f>Comparison!$B$10+(C580-Comparison!$B$10)*Comparison!$B$7</f>
        <v>34.617193528149059</v>
      </c>
      <c r="G580" s="20">
        <f>Comparison!$B$11+(D580-Comparison!$B$11)*Comparison!$B$7</f>
        <v>-43.860100684625607</v>
      </c>
    </row>
    <row r="581" spans="1:7">
      <c r="A581" s="18">
        <f>'Raw Data'!A581</f>
        <v>759</v>
      </c>
      <c r="B581" s="20">
        <f>'Raw Data'!C581</f>
        <v>19.312162723688203</v>
      </c>
      <c r="C581" s="20">
        <f>'Raw Data'!F581</f>
        <v>35.021430969238281</v>
      </c>
      <c r="D581" s="20">
        <f>'Raw Data'!G581</f>
        <v>-43.635536193847656</v>
      </c>
      <c r="E581" s="20">
        <f>'Raw Data'!H581</f>
        <v>7.6089604969217488</v>
      </c>
      <c r="F581" s="20">
        <f>Comparison!$B$10+(C581-Comparison!$B$10)*Comparison!$B$7</f>
        <v>35.895823050694716</v>
      </c>
      <c r="G581" s="20">
        <f>Comparison!$B$11+(D581-Comparison!$B$11)*Comparison!$B$7</f>
        <v>-43.831283336696778</v>
      </c>
    </row>
    <row r="582" spans="1:7">
      <c r="A582" s="18">
        <f>'Raw Data'!A582</f>
        <v>760</v>
      </c>
      <c r="B582" s="20">
        <f>'Raw Data'!C582</f>
        <v>19.345512081690426</v>
      </c>
      <c r="C582" s="20">
        <f>'Raw Data'!F582</f>
        <v>36.056686401367188</v>
      </c>
      <c r="D582" s="20">
        <f>'Raw Data'!G582</f>
        <v>-43.681774139404297</v>
      </c>
      <c r="E582" s="20">
        <f>'Raw Data'!H582</f>
        <v>7.5240027557785139</v>
      </c>
      <c r="F582" s="20">
        <f>Comparison!$B$10+(C582-Comparison!$B$10)*Comparison!$B$7</f>
        <v>36.991455550696536</v>
      </c>
      <c r="G582" s="20">
        <f>Comparison!$B$11+(D582-Comparison!$B$11)*Comparison!$B$7</f>
        <v>-43.880217922609546</v>
      </c>
    </row>
    <row r="583" spans="1:7">
      <c r="A583" s="18">
        <f>'Raw Data'!A583</f>
        <v>761</v>
      </c>
      <c r="B583" s="20">
        <f>'Raw Data'!C583</f>
        <v>19.378861439692649</v>
      </c>
      <c r="C583" s="20">
        <f>'Raw Data'!F583</f>
        <v>36.929981231689453</v>
      </c>
      <c r="D583" s="20">
        <f>'Raw Data'!G583</f>
        <v>-43.579818725585938</v>
      </c>
      <c r="E583" s="20">
        <f>'Raw Data'!H583</f>
        <v>7.6075977386951985</v>
      </c>
      <c r="F583" s="20">
        <f>Comparison!$B$10+(C583-Comparison!$B$10)*Comparison!$B$7</f>
        <v>37.915681754675063</v>
      </c>
      <c r="G583" s="20">
        <f>Comparison!$B$11+(D583-Comparison!$B$11)*Comparison!$B$7</f>
        <v>-43.772316373422967</v>
      </c>
    </row>
    <row r="584" spans="1:7">
      <c r="A584" s="18">
        <f>'Raw Data'!A584</f>
        <v>762</v>
      </c>
      <c r="B584" s="20">
        <f>'Raw Data'!C584</f>
        <v>19.412210797694875</v>
      </c>
      <c r="C584" s="20">
        <f>'Raw Data'!F584</f>
        <v>37.709651947021484</v>
      </c>
      <c r="D584" s="20">
        <f>'Raw Data'!G584</f>
        <v>-43.452465057373047</v>
      </c>
      <c r="E584" s="20">
        <f>'Raw Data'!H584</f>
        <v>7.563859839824401</v>
      </c>
      <c r="F584" s="20">
        <f>Comparison!$B$10+(C584-Comparison!$B$10)*Comparison!$B$7</f>
        <v>38.740823597457563</v>
      </c>
      <c r="G584" s="20">
        <f>Comparison!$B$11+(D584-Comparison!$B$11)*Comparison!$B$7</f>
        <v>-43.637535319821971</v>
      </c>
    </row>
    <row r="585" spans="1:7">
      <c r="A585" s="18">
        <f>'Raw Data'!A585</f>
        <v>763</v>
      </c>
      <c r="B585" s="20">
        <f>'Raw Data'!C585</f>
        <v>19.445560155697098</v>
      </c>
      <c r="C585" s="20">
        <f>'Raw Data'!F585</f>
        <v>38.687732696533203</v>
      </c>
      <c r="D585" s="20">
        <f>'Raw Data'!G585</f>
        <v>-43.487949371337891</v>
      </c>
      <c r="E585" s="20">
        <f>'Raw Data'!H585</f>
        <v>7.7198880831768593</v>
      </c>
      <c r="F585" s="20">
        <f>Comparison!$B$10+(C585-Comparison!$B$10)*Comparison!$B$7</f>
        <v>39.775946933722018</v>
      </c>
      <c r="G585" s="20">
        <f>Comparison!$B$11+(D585-Comparison!$B$11)*Comparison!$B$7</f>
        <v>-43.675089112261581</v>
      </c>
    </row>
    <row r="586" spans="1:7">
      <c r="A586" s="18">
        <f>'Raw Data'!A586</f>
        <v>764</v>
      </c>
      <c r="B586" s="20">
        <f>'Raw Data'!C586</f>
        <v>19.478909513699325</v>
      </c>
      <c r="C586" s="20">
        <f>'Raw Data'!F586</f>
        <v>39.590000152587891</v>
      </c>
      <c r="D586" s="20">
        <f>'Raw Data'!G586</f>
        <v>-43.328273773193359</v>
      </c>
      <c r="E586" s="20">
        <f>'Raw Data'!H586</f>
        <v>7.6875871545503252</v>
      </c>
      <c r="F586" s="20">
        <f>Comparison!$B$10+(C586-Comparison!$B$10)*Comparison!$B$7</f>
        <v>40.730835474142047</v>
      </c>
      <c r="G586" s="20">
        <f>Comparison!$B$11+(D586-Comparison!$B$11)*Comparison!$B$7</f>
        <v>-43.50610108345731</v>
      </c>
    </row>
    <row r="587" spans="1:7">
      <c r="A587" s="18">
        <f>'Raw Data'!A587</f>
        <v>765</v>
      </c>
      <c r="B587" s="20">
        <f>'Raw Data'!C587</f>
        <v>19.512258871701547</v>
      </c>
      <c r="C587" s="20">
        <f>'Raw Data'!F587</f>
        <v>40.399936676025391</v>
      </c>
      <c r="D587" s="20">
        <f>'Raw Data'!G587</f>
        <v>-43.310787200927734</v>
      </c>
      <c r="E587" s="20">
        <f>'Raw Data'!H587</f>
        <v>7.6103230111231834</v>
      </c>
      <c r="F587" s="20">
        <f>Comparison!$B$10+(C587-Comparison!$B$10)*Comparison!$B$7</f>
        <v>41.5880082553481</v>
      </c>
      <c r="G587" s="20">
        <f>Comparison!$B$11+(D587-Comparison!$B$11)*Comparison!$B$7</f>
        <v>-43.487594677894727</v>
      </c>
    </row>
    <row r="588" spans="1:7">
      <c r="A588" s="18">
        <f>'Raw Data'!A588</f>
        <v>766</v>
      </c>
      <c r="B588" s="20">
        <f>'Raw Data'!C588</f>
        <v>19.54560822970377</v>
      </c>
      <c r="C588" s="20">
        <f>'Raw Data'!F588</f>
        <v>41.330600738525391</v>
      </c>
      <c r="D588" s="20">
        <f>'Raw Data'!G588</f>
        <v>-43.282627105712891</v>
      </c>
      <c r="E588" s="20">
        <f>'Raw Data'!H588</f>
        <v>7.5748179909375635</v>
      </c>
      <c r="F588" s="20">
        <f>Comparison!$B$10+(C588-Comparison!$B$10)*Comparison!$B$7</f>
        <v>42.572949518937392</v>
      </c>
      <c r="G588" s="20">
        <f>Comparison!$B$11+(D588-Comparison!$B$11)*Comparison!$B$7</f>
        <v>-43.457792259512736</v>
      </c>
    </row>
    <row r="589" spans="1:7">
      <c r="A589" s="18">
        <f>'Raw Data'!A589</f>
        <v>767</v>
      </c>
      <c r="B589" s="20">
        <f>'Raw Data'!C589</f>
        <v>19.578957587705997</v>
      </c>
      <c r="C589" s="20">
        <f>'Raw Data'!F589</f>
        <v>42.526466369628906</v>
      </c>
      <c r="D589" s="20">
        <f>'Raw Data'!G589</f>
        <v>-43.347343444824219</v>
      </c>
      <c r="E589" s="20">
        <f>'Raw Data'!H589</f>
        <v>7.4436483698433218</v>
      </c>
      <c r="F589" s="20">
        <f>Comparison!$B$10+(C589-Comparison!$B$10)*Comparison!$B$7</f>
        <v>43.838559155370632</v>
      </c>
      <c r="G589" s="20">
        <f>Comparison!$B$11+(D589-Comparison!$B$11)*Comparison!$B$7</f>
        <v>-43.526282916225064</v>
      </c>
    </row>
    <row r="590" spans="1:7">
      <c r="A590" s="18">
        <f>'Raw Data'!A590</f>
        <v>768</v>
      </c>
      <c r="B590" s="20">
        <f>'Raw Data'!C590</f>
        <v>19.61230694570822</v>
      </c>
      <c r="C590" s="20">
        <f>'Raw Data'!F590</f>
        <v>43.346775054931641</v>
      </c>
      <c r="D590" s="20">
        <f>'Raw Data'!G590</f>
        <v>-43.206108093261719</v>
      </c>
      <c r="E590" s="20">
        <f>'Raw Data'!H590</f>
        <v>7.4422553412225643</v>
      </c>
      <c r="F590" s="20">
        <f>Comparison!$B$10+(C590-Comparison!$B$10)*Comparison!$B$7</f>
        <v>44.706709012651004</v>
      </c>
      <c r="G590" s="20">
        <f>Comparison!$B$11+(D590-Comparison!$B$11)*Comparison!$B$7</f>
        <v>-43.376810586480467</v>
      </c>
    </row>
    <row r="591" spans="1:7">
      <c r="A591" s="18">
        <f>'Raw Data'!A591</f>
        <v>769</v>
      </c>
      <c r="B591" s="20">
        <f>'Raw Data'!C591</f>
        <v>19.645656303710446</v>
      </c>
      <c r="C591" s="20">
        <f>'Raw Data'!F591</f>
        <v>44.606536865234375</v>
      </c>
      <c r="D591" s="20">
        <f>'Raw Data'!G591</f>
        <v>-43.365016937255859</v>
      </c>
      <c r="E591" s="20">
        <f>'Raw Data'!H591</f>
        <v>7.5761866453874251</v>
      </c>
      <c r="F591" s="20">
        <f>Comparison!$B$10+(C591-Comparison!$B$10)*Comparison!$B$7</f>
        <v>46.039941313389065</v>
      </c>
      <c r="G591" s="20">
        <f>Comparison!$B$11+(D591-Comparison!$B$11)*Comparison!$B$7</f>
        <v>-43.54498714331308</v>
      </c>
    </row>
    <row r="592" spans="1:7">
      <c r="A592" s="18">
        <f>'Raw Data'!A592</f>
        <v>770</v>
      </c>
      <c r="B592" s="20">
        <f>'Raw Data'!C592</f>
        <v>19.679005661712669</v>
      </c>
      <c r="C592" s="20">
        <f>'Raw Data'!F592</f>
        <v>45.390342712402344</v>
      </c>
      <c r="D592" s="20">
        <f>'Raw Data'!G592</f>
        <v>-43.202377319335938</v>
      </c>
      <c r="E592" s="20">
        <f>'Raw Data'!H592</f>
        <v>7.5446447774360612</v>
      </c>
      <c r="F592" s="20">
        <f>Comparison!$B$10+(C592-Comparison!$B$10)*Comparison!$B$7</f>
        <v>46.869459452774933</v>
      </c>
      <c r="G592" s="20">
        <f>Comparison!$B$11+(D592-Comparison!$B$11)*Comparison!$B$7</f>
        <v>-43.372862230319861</v>
      </c>
    </row>
    <row r="593" spans="1:7">
      <c r="A593" s="18">
        <f>'Raw Data'!A593</f>
        <v>771</v>
      </c>
      <c r="B593" s="20">
        <f>'Raw Data'!C593</f>
        <v>19.712355019714892</v>
      </c>
      <c r="C593" s="20">
        <f>'Raw Data'!F593</f>
        <v>45.984428405761719</v>
      </c>
      <c r="D593" s="20">
        <f>'Raw Data'!G593</f>
        <v>-42.893501281738281</v>
      </c>
      <c r="E593" s="20">
        <f>'Raw Data'!H593</f>
        <v>7.6062347363123708</v>
      </c>
      <c r="F593" s="20">
        <f>Comparison!$B$10+(C593-Comparison!$B$10)*Comparison!$B$7</f>
        <v>47.498192781024301</v>
      </c>
      <c r="G593" s="20">
        <f>Comparison!$B$11+(D593-Comparison!$B$11)*Comparison!$B$7</f>
        <v>-43.045972252483324</v>
      </c>
    </row>
    <row r="594" spans="1:7">
      <c r="A594" s="18">
        <f>'Raw Data'!A594</f>
        <v>772</v>
      </c>
      <c r="B594" s="20">
        <f>'Raw Data'!C594</f>
        <v>19.745704377717118</v>
      </c>
      <c r="C594" s="20">
        <f>'Raw Data'!F594</f>
        <v>46.742141723632813</v>
      </c>
      <c r="D594" s="20">
        <f>'Raw Data'!G594</f>
        <v>-42.704032897949219</v>
      </c>
      <c r="E594" s="20">
        <f>'Raw Data'!H594</f>
        <v>7.5611178205790228</v>
      </c>
      <c r="F594" s="20">
        <f>Comparison!$B$10+(C594-Comparison!$B$10)*Comparison!$B$7</f>
        <v>48.300096650329877</v>
      </c>
      <c r="G594" s="20">
        <f>Comparison!$B$11+(D594-Comparison!$B$11)*Comparison!$B$7</f>
        <v>-42.845453894830051</v>
      </c>
    </row>
    <row r="595" spans="1:7">
      <c r="A595" s="18">
        <f>'Raw Data'!A595</f>
        <v>773</v>
      </c>
      <c r="B595" s="20">
        <f>'Raw Data'!C595</f>
        <v>19.779053735719341</v>
      </c>
      <c r="C595" s="20">
        <f>'Raw Data'!F595</f>
        <v>47.307048797607422</v>
      </c>
      <c r="D595" s="20">
        <f>'Raw Data'!G595</f>
        <v>-42.510261535644531</v>
      </c>
      <c r="E595" s="20">
        <f>'Raw Data'!H595</f>
        <v>7.5830262122271224</v>
      </c>
      <c r="F595" s="20">
        <f>Comparison!$B$10+(C595-Comparison!$B$10)*Comparison!$B$7</f>
        <v>48.897949634742368</v>
      </c>
      <c r="G595" s="20">
        <f>Comparison!$B$11+(D595-Comparison!$B$11)*Comparison!$B$7</f>
        <v>-42.640381604917927</v>
      </c>
    </row>
    <row r="596" spans="1:7">
      <c r="A596" s="18">
        <f>'Raw Data'!A596</f>
        <v>774</v>
      </c>
      <c r="B596" s="20">
        <f>'Raw Data'!C596</f>
        <v>19.812403093721567</v>
      </c>
      <c r="C596" s="20">
        <f>'Raw Data'!F596</f>
        <v>47.815937042236328</v>
      </c>
      <c r="D596" s="20">
        <f>'Raw Data'!G596</f>
        <v>-42.294429779052734</v>
      </c>
      <c r="E596" s="20">
        <f>'Raw Data'!H596</f>
        <v>7.5734490891479567</v>
      </c>
      <c r="F596" s="20">
        <f>Comparison!$B$10+(C596-Comparison!$B$10)*Comparison!$B$7</f>
        <v>49.436516719135966</v>
      </c>
      <c r="G596" s="20">
        <f>Comparison!$B$11+(D596-Comparison!$B$11)*Comparison!$B$7</f>
        <v>-42.411962337831184</v>
      </c>
    </row>
    <row r="597" spans="1:7">
      <c r="A597" s="18">
        <f>'Raw Data'!A597</f>
        <v>775</v>
      </c>
      <c r="B597" s="20">
        <f>'Raw Data'!C597</f>
        <v>19.84575245172379</v>
      </c>
      <c r="C597" s="20">
        <f>'Raw Data'!F597</f>
        <v>48.635334014892578</v>
      </c>
      <c r="D597" s="20">
        <f>'Raw Data'!G597</f>
        <v>-42.149257659912109</v>
      </c>
      <c r="E597" s="20">
        <f>'Raw Data'!H597</f>
        <v>7.6062347363123708</v>
      </c>
      <c r="F597" s="20">
        <f>Comparison!$B$10+(C597-Comparison!$B$10)*Comparison!$B$7</f>
        <v>50.303701691833126</v>
      </c>
      <c r="G597" s="20">
        <f>Comparison!$B$11+(D597-Comparison!$B$11)*Comparison!$B$7</f>
        <v>-42.258323644530613</v>
      </c>
    </row>
    <row r="598" spans="1:7">
      <c r="A598" s="18">
        <f>'Raw Data'!A598</f>
        <v>776</v>
      </c>
      <c r="B598" s="20">
        <f>'Raw Data'!C598</f>
        <v>19.879101809726013</v>
      </c>
      <c r="C598" s="20">
        <f>'Raw Data'!F598</f>
        <v>50.027641296386719</v>
      </c>
      <c r="D598" s="20">
        <f>'Raw Data'!G598</f>
        <v>-42.292251586914063</v>
      </c>
      <c r="E598" s="20">
        <f>'Raw Data'!H598</f>
        <v>7.613047307974762</v>
      </c>
      <c r="F598" s="20">
        <f>Comparison!$B$10+(C598-Comparison!$B$10)*Comparison!$B$7</f>
        <v>51.777209639970337</v>
      </c>
      <c r="G598" s="20">
        <f>Comparison!$B$11+(D598-Comparison!$B$11)*Comparison!$B$7</f>
        <v>-42.409657111483838</v>
      </c>
    </row>
    <row r="599" spans="1:7">
      <c r="A599" s="18">
        <f>'Raw Data'!A599</f>
        <v>777</v>
      </c>
      <c r="B599" s="20">
        <f>'Raw Data'!C599</f>
        <v>19.912451167728239</v>
      </c>
      <c r="C599" s="20">
        <f>'Raw Data'!F599</f>
        <v>51.399909973144531</v>
      </c>
      <c r="D599" s="20">
        <f>'Raw Data'!G599</f>
        <v>-42.178314208984375</v>
      </c>
      <c r="E599" s="20">
        <f>'Raw Data'!H599</f>
        <v>7.6497303574163178</v>
      </c>
      <c r="F599" s="20">
        <f>Comparison!$B$10+(C599-Comparison!$B$10)*Comparison!$B$7</f>
        <v>53.229510313146747</v>
      </c>
      <c r="G599" s="20">
        <f>Comparison!$B$11+(D599-Comparison!$B$11)*Comparison!$B$7</f>
        <v>-42.289074798799859</v>
      </c>
    </row>
    <row r="600" spans="1:7">
      <c r="A600" s="18">
        <f>'Raw Data'!A600</f>
        <v>778</v>
      </c>
      <c r="B600" s="20">
        <f>'Raw Data'!C600</f>
        <v>19.945800525730462</v>
      </c>
      <c r="C600" s="20">
        <f>'Raw Data'!F600</f>
        <v>51.595321655273438</v>
      </c>
      <c r="D600" s="20">
        <f>'Raw Data'!G600</f>
        <v>-41.703041076660156</v>
      </c>
      <c r="E600" s="20">
        <f>'Raw Data'!H600</f>
        <v>7.6835399907243964</v>
      </c>
      <c r="F600" s="20">
        <f>Comparison!$B$10+(C600-Comparison!$B$10)*Comparison!$B$7</f>
        <v>53.436318587873863</v>
      </c>
      <c r="G600" s="20">
        <f>Comparison!$B$11+(D600-Comparison!$B$11)*Comparison!$B$7</f>
        <v>-41.786083291591574</v>
      </c>
    </row>
    <row r="601" spans="1:7">
      <c r="A601" s="18">
        <f>'Raw Data'!A601</f>
        <v>779</v>
      </c>
      <c r="B601" s="20">
        <f>'Raw Data'!C601</f>
        <v>19.979149883732688</v>
      </c>
      <c r="C601" s="20">
        <f>'Raw Data'!F601</f>
        <v>51.988407135009766</v>
      </c>
      <c r="D601" s="20">
        <f>'Raw Data'!G601</f>
        <v>-41.017601013183594</v>
      </c>
      <c r="E601" s="20">
        <f>'Raw Data'!H601</f>
        <v>7.7158578620286908</v>
      </c>
      <c r="F601" s="20">
        <f>Comparison!$B$10+(C601-Comparison!$B$10)*Comparison!$B$7</f>
        <v>53.852329181503187</v>
      </c>
      <c r="G601" s="20">
        <f>Comparison!$B$11+(D601-Comparison!$B$11)*Comparison!$B$7</f>
        <v>-41.060667720669251</v>
      </c>
    </row>
    <row r="602" spans="1:7">
      <c r="A602" s="18">
        <f>'Raw Data'!A602</f>
        <v>780</v>
      </c>
      <c r="B602" s="20">
        <f>'Raw Data'!C602</f>
        <v>20.012499241734911</v>
      </c>
      <c r="C602" s="20">
        <f>'Raw Data'!F602</f>
        <v>52.943103790283203</v>
      </c>
      <c r="D602" s="20">
        <f>'Raw Data'!G602</f>
        <v>-40.420467376708984</v>
      </c>
      <c r="E602" s="20">
        <f>'Raw Data'!H602</f>
        <v>7.6848892821547166</v>
      </c>
      <c r="F602" s="20">
        <f>Comparison!$B$10+(C602-Comparison!$B$10)*Comparison!$B$7</f>
        <v>54.862704641219068</v>
      </c>
      <c r="G602" s="20">
        <f>Comparison!$B$11+(D602-Comparison!$B$11)*Comparison!$B$7</f>
        <v>-40.428708690403191</v>
      </c>
    </row>
    <row r="603" spans="1:7">
      <c r="A603" s="18">
        <f>'Raw Data'!A603</f>
        <v>781</v>
      </c>
      <c r="B603" s="20">
        <f>'Raw Data'!C603</f>
        <v>20.045848599737134</v>
      </c>
      <c r="C603" s="20">
        <f>'Raw Data'!F603</f>
        <v>52.975502014160156</v>
      </c>
      <c r="D603" s="20">
        <f>'Raw Data'!G603</f>
        <v>-39.511322021484375</v>
      </c>
      <c r="E603" s="20">
        <f>'Raw Data'!H603</f>
        <v>7.7386680298092179</v>
      </c>
      <c r="F603" s="20">
        <f>Comparison!$B$10+(C603-Comparison!$B$10)*Comparison!$B$7</f>
        <v>54.896992359902107</v>
      </c>
      <c r="G603" s="20">
        <f>Comparison!$B$11+(D603-Comparison!$B$11)*Comparison!$B$7</f>
        <v>-39.46654112528217</v>
      </c>
    </row>
    <row r="604" spans="1:7">
      <c r="A604" s="18">
        <f>'Raw Data'!A604</f>
        <v>782</v>
      </c>
      <c r="B604" s="20">
        <f>'Raw Data'!C604</f>
        <v>20.07919795773936</v>
      </c>
      <c r="C604" s="20">
        <f>'Raw Data'!F604</f>
        <v>54.036949157714844</v>
      </c>
      <c r="D604" s="20">
        <f>'Raw Data'!G604</f>
        <v>-39.156173706054688</v>
      </c>
      <c r="E604" s="20">
        <f>'Raw Data'!H604</f>
        <v>7.6089604969217488</v>
      </c>
      <c r="F604" s="20">
        <f>Comparison!$B$10+(C604-Comparison!$B$10)*Comparison!$B$7</f>
        <v>56.020344096507927</v>
      </c>
      <c r="G604" s="20">
        <f>Comparison!$B$11+(D604-Comparison!$B$11)*Comparison!$B$7</f>
        <v>-39.090680226966967</v>
      </c>
    </row>
    <row r="605" spans="1:7">
      <c r="A605" s="18">
        <f>'Raw Data'!A605</f>
        <v>783</v>
      </c>
      <c r="B605" s="20">
        <f>'Raw Data'!C605</f>
        <v>20.112547315741583</v>
      </c>
      <c r="C605" s="20">
        <f>'Raw Data'!F605</f>
        <v>52.680511474609375</v>
      </c>
      <c r="D605" s="20">
        <f>'Raw Data'!G605</f>
        <v>-38.077938079833984</v>
      </c>
      <c r="E605" s="20">
        <f>'Raw Data'!H605</f>
        <v>7.5775550526315625</v>
      </c>
      <c r="F605" s="20">
        <f>Comparison!$B$10+(C605-Comparison!$B$10)*Comparison!$B$7</f>
        <v>54.584797695383159</v>
      </c>
      <c r="G605" s="20">
        <f>Comparison!$B$11+(D605-Comparison!$B$11)*Comparison!$B$7</f>
        <v>-37.949560887638434</v>
      </c>
    </row>
    <row r="606" spans="1:7">
      <c r="A606" s="18">
        <f>'Raw Data'!A606</f>
        <v>784</v>
      </c>
      <c r="B606" s="20">
        <f>'Raw Data'!C606</f>
        <v>20.14589667374381</v>
      </c>
      <c r="C606" s="20">
        <f>'Raw Data'!F606</f>
        <v>51.720432281494141</v>
      </c>
      <c r="D606" s="20">
        <f>'Raw Data'!G606</f>
        <v>-37.424533843994141</v>
      </c>
      <c r="E606" s="20">
        <f>'Raw Data'!H606</f>
        <v>7.4700665567492237</v>
      </c>
      <c r="F606" s="20">
        <f>Comparison!$B$10+(C606-Comparison!$B$10)*Comparison!$B$7</f>
        <v>53.568725783169711</v>
      </c>
      <c r="G606" s="20">
        <f>Comparison!$B$11+(D606-Comparison!$B$11)*Comparison!$B$7</f>
        <v>-37.258049503870254</v>
      </c>
    </row>
    <row r="607" spans="1:7">
      <c r="A607" s="18">
        <f>'Raw Data'!A607</f>
        <v>785</v>
      </c>
      <c r="B607" s="20">
        <f>'Raw Data'!C607</f>
        <v>20.179246031746032</v>
      </c>
      <c r="C607" s="20">
        <f>'Raw Data'!F607</f>
        <v>51.605094909667969</v>
      </c>
      <c r="D607" s="20">
        <f>'Raw Data'!G607</f>
        <v>-37.300998687744141</v>
      </c>
      <c r="E607" s="20">
        <f>'Raw Data'!H607</f>
        <v>7.4686784555467254</v>
      </c>
      <c r="F607" s="20">
        <f>Comparison!$B$10+(C607-Comparison!$B$10)*Comparison!$B$7</f>
        <v>53.446661827632006</v>
      </c>
      <c r="G607" s="20">
        <f>Comparison!$B$11+(D607-Comparison!$B$11)*Comparison!$B$7</f>
        <v>-37.127309661431589</v>
      </c>
    </row>
    <row r="608" spans="1:7">
      <c r="A608" s="18">
        <f>'Raw Data'!A608</f>
        <v>786</v>
      </c>
      <c r="B608" s="20">
        <f>'Raw Data'!C608</f>
        <v>20.212595389748255</v>
      </c>
      <c r="C608" s="20">
        <f>'Raw Data'!F608</f>
        <v>51.107513427734375</v>
      </c>
      <c r="D608" s="20">
        <f>'Raw Data'!G608</f>
        <v>-37.225074768066406</v>
      </c>
      <c r="E608" s="20">
        <f>'Raw Data'!H608</f>
        <v>7.5884934272215778</v>
      </c>
      <c r="F608" s="20">
        <f>Comparison!$B$10+(C608-Comparison!$B$10)*Comparison!$B$7</f>
        <v>52.920060926939868</v>
      </c>
      <c r="G608" s="20">
        <f>Comparison!$B$11+(D608-Comparison!$B$11)*Comparison!$B$7</f>
        <v>-37.046957787541501</v>
      </c>
    </row>
    <row r="609" spans="1:7">
      <c r="A609" s="18">
        <f>'Raw Data'!A609</f>
        <v>787</v>
      </c>
      <c r="B609" s="20">
        <f>'Raw Data'!C609</f>
        <v>20.245944747750482</v>
      </c>
      <c r="C609" s="20">
        <f>'Raw Data'!F609</f>
        <v>49.085289001464844</v>
      </c>
      <c r="D609" s="20">
        <f>'Raw Data'!G609</f>
        <v>-36.812339782714844</v>
      </c>
      <c r="E609" s="20">
        <f>'Raw Data'!H609</f>
        <v>7.5212462058579037</v>
      </c>
      <c r="F609" s="20">
        <f>Comparison!$B$10+(C609-Comparison!$B$10)*Comparison!$B$7</f>
        <v>50.779898475280746</v>
      </c>
      <c r="G609" s="20">
        <f>Comparison!$B$11+(D609-Comparison!$B$11)*Comparison!$B$7</f>
        <v>-36.610151710698197</v>
      </c>
    </row>
    <row r="610" spans="1:7">
      <c r="A610" s="18">
        <f>'Raw Data'!A610</f>
        <v>788</v>
      </c>
      <c r="B610" s="20">
        <f>'Raw Data'!C610</f>
        <v>20.279294105752705</v>
      </c>
      <c r="C610" s="20">
        <f>'Raw Data'!F610</f>
        <v>47.503383636474609</v>
      </c>
      <c r="D610" s="20">
        <f>'Raw Data'!G610</f>
        <v>-36.555335998535156</v>
      </c>
      <c r="E610" s="20">
        <f>'Raw Data'!H610</f>
        <v>7.5143504070248861</v>
      </c>
      <c r="F610" s="20">
        <f>Comparison!$B$10+(C610-Comparison!$B$10)*Comparison!$B$7</f>
        <v>49.105734905574664</v>
      </c>
      <c r="G610" s="20">
        <f>Comparison!$B$11+(D610-Comparison!$B$11)*Comparison!$B$7</f>
        <v>-36.338159224755209</v>
      </c>
    </row>
    <row r="611" spans="1:7">
      <c r="A611" s="18">
        <f>'Raw Data'!A611</f>
        <v>789</v>
      </c>
      <c r="B611" s="20">
        <f>'Raw Data'!C611</f>
        <v>20.312643463754931</v>
      </c>
      <c r="C611" s="20">
        <f>'Raw Data'!F611</f>
        <v>46.862857818603516</v>
      </c>
      <c r="D611" s="20">
        <f>'Raw Data'!G611</f>
        <v>-36.741870880126953</v>
      </c>
      <c r="E611" s="20">
        <f>'Raw Data'!H611</f>
        <v>7.4839334084034252</v>
      </c>
      <c r="F611" s="20">
        <f>Comparison!$B$10+(C611-Comparison!$B$10)*Comparison!$B$7</f>
        <v>48.427853021191147</v>
      </c>
      <c r="G611" s="20">
        <f>Comparison!$B$11+(D611-Comparison!$B$11)*Comparison!$B$7</f>
        <v>-36.535572995611439</v>
      </c>
    </row>
    <row r="612" spans="1:7">
      <c r="A612" s="18">
        <f>'Raw Data'!A612</f>
        <v>790</v>
      </c>
      <c r="B612" s="20">
        <f>'Raw Data'!C612</f>
        <v>20.345992821757154</v>
      </c>
      <c r="C612" s="20">
        <f>'Raw Data'!F612</f>
        <v>45.857257843017578</v>
      </c>
      <c r="D612" s="20">
        <f>'Raw Data'!G612</f>
        <v>-36.740814208984375</v>
      </c>
      <c r="E612" s="20">
        <f>'Raw Data'!H612</f>
        <v>7.4991573293594787</v>
      </c>
      <c r="F612" s="20">
        <f>Comparison!$B$10+(C612-Comparison!$B$10)*Comparison!$B$7</f>
        <v>47.36360551177475</v>
      </c>
      <c r="G612" s="20">
        <f>Comparison!$B$11+(D612-Comparison!$B$11)*Comparison!$B$7</f>
        <v>-36.534454698416667</v>
      </c>
    </row>
    <row r="613" spans="1:7">
      <c r="A613" s="18">
        <f>'Raw Data'!A613</f>
        <v>791</v>
      </c>
      <c r="B613" s="20">
        <f>'Raw Data'!C613</f>
        <v>20.379342179759377</v>
      </c>
      <c r="C613" s="20">
        <f>'Raw Data'!F613</f>
        <v>45.009674072265625</v>
      </c>
      <c r="D613" s="20">
        <f>'Raw Data'!G613</f>
        <v>-36.797286987304688</v>
      </c>
      <c r="E613" s="20">
        <f>'Raw Data'!H613</f>
        <v>7.5102098885323407</v>
      </c>
      <c r="F613" s="20">
        <f>Comparison!$B$10+(C613-Comparison!$B$10)*Comparison!$B$7</f>
        <v>46.466589860477683</v>
      </c>
      <c r="G613" s="20">
        <f>Comparison!$B$11+(D613-Comparison!$B$11)*Comparison!$B$7</f>
        <v>-36.594221022140175</v>
      </c>
    </row>
    <row r="614" spans="1:7">
      <c r="A614" s="18">
        <f>'Raw Data'!A614</f>
        <v>792</v>
      </c>
      <c r="B614" s="20">
        <f>'Raw Data'!C614</f>
        <v>20.412691537761603</v>
      </c>
      <c r="C614" s="20">
        <f>'Raw Data'!F614</f>
        <v>44.260021209716797</v>
      </c>
      <c r="D614" s="20">
        <f>'Raw Data'!G614</f>
        <v>-36.919380187988281</v>
      </c>
      <c r="E614" s="20">
        <f>'Raw Data'!H614</f>
        <v>7.5405208936748602</v>
      </c>
      <c r="F614" s="20">
        <f>Comparison!$B$10+(C614-Comparison!$B$10)*Comparison!$B$7</f>
        <v>45.673216539809495</v>
      </c>
      <c r="G614" s="20">
        <f>Comparison!$B$11+(D614-Comparison!$B$11)*Comparison!$B$7</f>
        <v>-36.723434812811242</v>
      </c>
    </row>
    <row r="615" spans="1:7">
      <c r="A615" s="18">
        <f>'Raw Data'!A615</f>
        <v>793</v>
      </c>
      <c r="B615" s="20">
        <f>'Raw Data'!C615</f>
        <v>20.446040895763826</v>
      </c>
      <c r="C615" s="20">
        <f>'Raw Data'!F615</f>
        <v>43.407737731933594</v>
      </c>
      <c r="D615" s="20">
        <f>'Raw Data'!G615</f>
        <v>-37.002346038818359</v>
      </c>
      <c r="E615" s="20">
        <f>'Raw Data'!H615</f>
        <v>7.5143504070248861</v>
      </c>
      <c r="F615" s="20">
        <f>Comparison!$B$10+(C615-Comparison!$B$10)*Comparison!$B$7</f>
        <v>44.771227090158789</v>
      </c>
      <c r="G615" s="20">
        <f>Comparison!$B$11+(D615-Comparison!$B$11)*Comparison!$B$7</f>
        <v>-36.811239309883824</v>
      </c>
    </row>
    <row r="616" spans="1:7">
      <c r="A616" s="18">
        <f>'Raw Data'!A616</f>
        <v>794</v>
      </c>
      <c r="B616" s="20">
        <f>'Raw Data'!C616</f>
        <v>20.479390253766052</v>
      </c>
      <c r="C616" s="20">
        <f>'Raw Data'!F616</f>
        <v>42.757217407226563</v>
      </c>
      <c r="D616" s="20">
        <f>'Raw Data'!G616</f>
        <v>-37.131908416748047</v>
      </c>
      <c r="E616" s="20">
        <f>'Raw Data'!H616</f>
        <v>7.4922412001289125</v>
      </c>
      <c r="F616" s="20">
        <f>Comparison!$B$10+(C616-Comparison!$B$10)*Comparison!$B$7</f>
        <v>44.082767809925798</v>
      </c>
      <c r="G616" s="20">
        <f>Comparison!$B$11+(D616-Comparison!$B$11)*Comparison!$B$7</f>
        <v>-36.948357887224077</v>
      </c>
    </row>
    <row r="617" spans="1:7">
      <c r="A617" s="18">
        <f>'Raw Data'!A617</f>
        <v>795</v>
      </c>
      <c r="B617" s="20">
        <f>'Raw Data'!C617</f>
        <v>20.512739611768275</v>
      </c>
      <c r="C617" s="20">
        <f>'Raw Data'!F617</f>
        <v>41.588554382324219</v>
      </c>
      <c r="D617" s="20">
        <f>'Raw Data'!G617</f>
        <v>-37.154506683349609</v>
      </c>
      <c r="E617" s="20">
        <f>'Raw Data'!H617</f>
        <v>7.5775550526315625</v>
      </c>
      <c r="F617" s="20">
        <f>Comparison!$B$10+(C617-Comparison!$B$10)*Comparison!$B$7</f>
        <v>42.845947261203477</v>
      </c>
      <c r="G617" s="20">
        <f>Comparison!$B$11+(D617-Comparison!$B$11)*Comparison!$B$7</f>
        <v>-36.972274105931049</v>
      </c>
    </row>
    <row r="618" spans="1:7">
      <c r="A618" s="18">
        <f>'Raw Data'!A618</f>
        <v>796</v>
      </c>
      <c r="B618" s="20">
        <f>'Raw Data'!C618</f>
        <v>20.546088969770498</v>
      </c>
      <c r="C618" s="20">
        <f>'Raw Data'!F618</f>
        <v>40.149154663085938</v>
      </c>
      <c r="D618" s="20">
        <f>'Raw Data'!G618</f>
        <v>-37.052204132080078</v>
      </c>
      <c r="E618" s="20">
        <f>'Raw Data'!H618</f>
        <v>7.4853186806796854</v>
      </c>
      <c r="F618" s="20">
        <f>Comparison!$B$10+(C618-Comparison!$B$10)*Comparison!$B$7</f>
        <v>41.322600400180114</v>
      </c>
      <c r="G618" s="20">
        <f>Comparison!$B$11+(D618-Comparison!$B$11)*Comparison!$B$7</f>
        <v>-36.864005173911529</v>
      </c>
    </row>
    <row r="619" spans="1:7">
      <c r="A619" s="18">
        <f>'Raw Data'!A619</f>
        <v>797</v>
      </c>
      <c r="B619" s="20">
        <f>'Raw Data'!C619</f>
        <v>20.579438327772724</v>
      </c>
      <c r="C619" s="20">
        <f>'Raw Data'!F619</f>
        <v>39.853595733642578</v>
      </c>
      <c r="D619" s="20">
        <f>'Raw Data'!G619</f>
        <v>-37.224720001220703</v>
      </c>
      <c r="E619" s="20">
        <f>'Raw Data'!H619</f>
        <v>7.5391457644770172</v>
      </c>
      <c r="F619" s="20">
        <f>Comparison!$B$10+(C619-Comparison!$B$10)*Comparison!$B$7</f>
        <v>41.009804196736894</v>
      </c>
      <c r="G619" s="20">
        <f>Comparison!$B$11+(D619-Comparison!$B$11)*Comparison!$B$7</f>
        <v>-37.046582330360579</v>
      </c>
    </row>
    <row r="620" spans="1:7">
      <c r="A620" s="18">
        <f>'Raw Data'!A620</f>
        <v>798</v>
      </c>
      <c r="B620" s="20">
        <f>'Raw Data'!C620</f>
        <v>20.612787685774947</v>
      </c>
      <c r="C620" s="20">
        <f>'Raw Data'!F620</f>
        <v>38.800613403320313</v>
      </c>
      <c r="D620" s="20">
        <f>'Raw Data'!G620</f>
        <v>-37.239486694335938</v>
      </c>
      <c r="E620" s="20">
        <f>'Raw Data'!H620</f>
        <v>7.5734490891479567</v>
      </c>
      <c r="F620" s="20">
        <f>Comparison!$B$10+(C620-Comparison!$B$10)*Comparison!$B$7</f>
        <v>39.895410949211225</v>
      </c>
      <c r="G620" s="20">
        <f>Comparison!$B$11+(D620-Comparison!$B$11)*Comparison!$B$7</f>
        <v>-37.062210230869475</v>
      </c>
    </row>
    <row r="621" spans="1:7">
      <c r="A621" s="18">
        <f>'Raw Data'!A621</f>
        <v>799</v>
      </c>
      <c r="B621" s="20">
        <f>'Raw Data'!C621</f>
        <v>20.646137043777173</v>
      </c>
      <c r="C621" s="20">
        <f>'Raw Data'!F621</f>
        <v>38.009750366210938</v>
      </c>
      <c r="D621" s="20">
        <f>'Raw Data'!G621</f>
        <v>-37.362003326416016</v>
      </c>
      <c r="E621" s="20">
        <f>'Raw Data'!H621</f>
        <v>7.5253806520918287</v>
      </c>
      <c r="F621" s="20">
        <f>Comparison!$B$10+(C621-Comparison!$B$10)*Comparison!$B$7</f>
        <v>39.058424037946907</v>
      </c>
      <c r="G621" s="20">
        <f>Comparison!$B$11+(D621-Comparison!$B$11)*Comparison!$B$7</f>
        <v>-37.191872147853253</v>
      </c>
    </row>
    <row r="622" spans="1:7">
      <c r="A622" s="18">
        <f>'Raw Data'!A622</f>
        <v>800</v>
      </c>
      <c r="B622" s="20">
        <f>'Raw Data'!C622</f>
        <v>20.679486401779396</v>
      </c>
      <c r="C622" s="20">
        <f>'Raw Data'!F622</f>
        <v>36.654571533203125</v>
      </c>
      <c r="D622" s="20">
        <f>'Raw Data'!G622</f>
        <v>-37.247661590576172</v>
      </c>
      <c r="E622" s="20">
        <f>'Raw Data'!H622</f>
        <v>7.5308897162645749</v>
      </c>
      <c r="F622" s="20">
        <f>Comparison!$B$10+(C622-Comparison!$B$10)*Comparison!$B$7</f>
        <v>37.624209904238299</v>
      </c>
      <c r="G622" s="20">
        <f>Comparison!$B$11+(D622-Comparison!$B$11)*Comparison!$B$7</f>
        <v>-37.070861894726505</v>
      </c>
    </row>
    <row r="623" spans="1:7">
      <c r="A623" s="18">
        <f>'Raw Data'!A623</f>
        <v>801</v>
      </c>
      <c r="B623" s="20">
        <f>'Raw Data'!C623</f>
        <v>20.712835759781619</v>
      </c>
      <c r="C623" s="20">
        <f>'Raw Data'!F623</f>
        <v>36.212074279785156</v>
      </c>
      <c r="D623" s="20">
        <f>'Raw Data'!G623</f>
        <v>-37.332244873046875</v>
      </c>
      <c r="E623" s="20">
        <f>'Raw Data'!H623</f>
        <v>7.5143504070248861</v>
      </c>
      <c r="F623" s="20">
        <f>Comparison!$B$10+(C623-Comparison!$B$10)*Comparison!$B$7</f>
        <v>37.155905795937905</v>
      </c>
      <c r="G623" s="20">
        <f>Comparison!$B$11+(D623-Comparison!$B$11)*Comparison!$B$7</f>
        <v>-37.16037815357015</v>
      </c>
    </row>
    <row r="624" spans="1:7">
      <c r="A624" s="18">
        <f>'Raw Data'!A624</f>
        <v>802</v>
      </c>
      <c r="B624" s="20">
        <f>'Raw Data'!C624</f>
        <v>20.746185117783845</v>
      </c>
      <c r="C624" s="20">
        <f>'Raw Data'!F624</f>
        <v>35.527069091796875</v>
      </c>
      <c r="D624" s="20">
        <f>'Raw Data'!G624</f>
        <v>-37.559597015380859</v>
      </c>
      <c r="E624" s="20">
        <f>'Raw Data'!H624</f>
        <v>7.5583748065868592</v>
      </c>
      <c r="F624" s="20">
        <f>Comparison!$B$10+(C624-Comparison!$B$10)*Comparison!$B$7</f>
        <v>36.430950462850248</v>
      </c>
      <c r="G624" s="20">
        <f>Comparison!$B$11+(D624-Comparison!$B$11)*Comparison!$B$7</f>
        <v>-37.400989686101703</v>
      </c>
    </row>
    <row r="625" spans="1:7">
      <c r="A625" s="18">
        <f>'Raw Data'!A625</f>
        <v>803</v>
      </c>
      <c r="B625" s="20">
        <f>'Raw Data'!C625</f>
        <v>20.779534475786068</v>
      </c>
      <c r="C625" s="20">
        <f>'Raw Data'!F625</f>
        <v>34.157291412353516</v>
      </c>
      <c r="D625" s="20">
        <f>'Raw Data'!G625</f>
        <v>-37.407760620117188</v>
      </c>
      <c r="E625" s="20">
        <f>'Raw Data'!H625</f>
        <v>7.51986755197301</v>
      </c>
      <c r="F625" s="20">
        <f>Comparison!$B$10+(C625-Comparison!$B$10)*Comparison!$B$7</f>
        <v>34.981286064288227</v>
      </c>
      <c r="G625" s="20">
        <f>Comparison!$B$11+(D625-Comparison!$B$11)*Comparison!$B$7</f>
        <v>-37.240298049843489</v>
      </c>
    </row>
    <row r="626" spans="1:7">
      <c r="A626" s="18">
        <f>'Raw Data'!A626</f>
        <v>804</v>
      </c>
      <c r="B626" s="20">
        <f>'Raw Data'!C626</f>
        <v>20.812883833788291</v>
      </c>
      <c r="C626" s="20">
        <f>'Raw Data'!F626</f>
        <v>33.327125549316406</v>
      </c>
      <c r="D626" s="20">
        <f>'Raw Data'!G626</f>
        <v>-37.4783935546875</v>
      </c>
      <c r="E626" s="20">
        <f>'Raw Data'!H626</f>
        <v>7.5157300729516914</v>
      </c>
      <c r="F626" s="20">
        <f>Comparison!$B$10+(C626-Comparison!$B$10)*Comparison!$B$7</f>
        <v>34.10270414942196</v>
      </c>
      <c r="G626" s="20">
        <f>Comparison!$B$11+(D626-Comparison!$B$11)*Comparison!$B$7</f>
        <v>-37.315050363411736</v>
      </c>
    </row>
    <row r="627" spans="1:7">
      <c r="A627" s="18">
        <f>'Raw Data'!A627</f>
        <v>805</v>
      </c>
      <c r="B627" s="20">
        <f>'Raw Data'!C627</f>
        <v>20.846233191790517</v>
      </c>
      <c r="C627" s="20">
        <f>'Raw Data'!F627</f>
        <v>32.536365509033203</v>
      </c>
      <c r="D627" s="20">
        <f>'Raw Data'!G627</f>
        <v>-37.625839233398438</v>
      </c>
      <c r="E627" s="20">
        <f>'Raw Data'!H627</f>
        <v>7.5267582961586736</v>
      </c>
      <c r="F627" s="20">
        <f>Comparison!$B$10+(C627-Comparison!$B$10)*Comparison!$B$7</f>
        <v>33.265826241855336</v>
      </c>
      <c r="G627" s="20">
        <f>Comparison!$B$11+(D627-Comparison!$B$11)*Comparison!$B$7</f>
        <v>-37.471095212409367</v>
      </c>
    </row>
    <row r="628" spans="1:7">
      <c r="A628" s="18">
        <f>'Raw Data'!A628</f>
        <v>806</v>
      </c>
      <c r="B628" s="20">
        <f>'Raw Data'!C628</f>
        <v>20.87958254979274</v>
      </c>
      <c r="C628" s="20">
        <f>'Raw Data'!F628</f>
        <v>31.284929275512695</v>
      </c>
      <c r="D628" s="20">
        <f>'Raw Data'!G628</f>
        <v>-37.539615631103516</v>
      </c>
      <c r="E628" s="20">
        <f>'Raw Data'!H628</f>
        <v>7.53777038441185</v>
      </c>
      <c r="F628" s="20">
        <f>Comparison!$B$10+(C628-Comparison!$B$10)*Comparison!$B$7</f>
        <v>31.941405073346839</v>
      </c>
      <c r="G628" s="20">
        <f>Comparison!$B$11+(D628-Comparison!$B$11)*Comparison!$B$7</f>
        <v>-37.379842968750737</v>
      </c>
    </row>
    <row r="629" spans="1:7">
      <c r="A629" s="18">
        <f>'Raw Data'!A629</f>
        <v>807</v>
      </c>
      <c r="B629" s="20">
        <f>'Raw Data'!C629</f>
        <v>20.912931907794967</v>
      </c>
      <c r="C629" s="20">
        <f>'Raw Data'!F629</f>
        <v>30.722114562988281</v>
      </c>
      <c r="D629" s="20">
        <f>'Raw Data'!G629</f>
        <v>-37.644622802734375</v>
      </c>
      <c r="E629" s="20">
        <f>'Raw Data'!H629</f>
        <v>7.5350188711300268</v>
      </c>
      <c r="F629" s="20">
        <f>Comparison!$B$10+(C629-Comparison!$B$10)*Comparison!$B$7</f>
        <v>31.345766478866956</v>
      </c>
      <c r="G629" s="20">
        <f>Comparison!$B$11+(D629-Comparison!$B$11)*Comparison!$B$7</f>
        <v>-37.490974257127988</v>
      </c>
    </row>
    <row r="630" spans="1:7">
      <c r="A630" s="18">
        <f>'Raw Data'!A630</f>
        <v>808</v>
      </c>
      <c r="B630" s="20">
        <f>'Raw Data'!C630</f>
        <v>20.94628126579719</v>
      </c>
      <c r="C630" s="20">
        <f>'Raw Data'!F630</f>
        <v>29.724740982055664</v>
      </c>
      <c r="D630" s="20">
        <f>'Raw Data'!G630</f>
        <v>-37.734554290771484</v>
      </c>
      <c r="E630" s="20">
        <f>'Raw Data'!H630</f>
        <v>7.5088292083315888</v>
      </c>
      <c r="F630" s="20">
        <f>Comparison!$B$10+(C630-Comparison!$B$10)*Comparison!$B$7</f>
        <v>30.290225135156426</v>
      </c>
      <c r="G630" s="20">
        <f>Comparison!$B$11+(D630-Comparison!$B$11)*Comparison!$B$7</f>
        <v>-37.586150633903294</v>
      </c>
    </row>
    <row r="631" spans="1:7">
      <c r="A631" s="18">
        <f>'Raw Data'!A631</f>
        <v>809</v>
      </c>
      <c r="B631" s="20">
        <f>'Raw Data'!C631</f>
        <v>20.979630623799412</v>
      </c>
      <c r="C631" s="20">
        <f>'Raw Data'!F631</f>
        <v>29.102104187011719</v>
      </c>
      <c r="D631" s="20">
        <f>'Raw Data'!G631</f>
        <v>-37.739997863769531</v>
      </c>
      <c r="E631" s="20">
        <f>'Raw Data'!H631</f>
        <v>7.5074482742126314</v>
      </c>
      <c r="F631" s="20">
        <f>Comparison!$B$10+(C631-Comparison!$B$10)*Comparison!$B$7</f>
        <v>29.631275578191264</v>
      </c>
      <c r="G631" s="20">
        <f>Comparison!$B$11+(D631-Comparison!$B$11)*Comparison!$B$7</f>
        <v>-37.591911681184669</v>
      </c>
    </row>
    <row r="632" spans="1:7">
      <c r="A632" s="18">
        <f>'Raw Data'!A632</f>
        <v>810</v>
      </c>
      <c r="B632" s="20">
        <f>'Raw Data'!C632</f>
        <v>21.012979981801639</v>
      </c>
      <c r="C632" s="20">
        <f>'Raw Data'!F632</f>
        <v>28.026813507080078</v>
      </c>
      <c r="D632" s="20">
        <f>'Raw Data'!G632</f>
        <v>-37.687232971191406</v>
      </c>
      <c r="E632" s="20">
        <f>'Raw Data'!H632</f>
        <v>7.5707105430128072</v>
      </c>
      <c r="F632" s="20">
        <f>Comparison!$B$10+(C632-Comparison!$B$10)*Comparison!$B$7</f>
        <v>28.493272937181736</v>
      </c>
      <c r="G632" s="20">
        <f>Comparison!$B$11+(D632-Comparison!$B$11)*Comparison!$B$7</f>
        <v>-37.536069490577837</v>
      </c>
    </row>
    <row r="633" spans="1:7">
      <c r="A633" s="18">
        <f>'Raw Data'!A633</f>
        <v>811</v>
      </c>
      <c r="B633" s="20">
        <f>'Raw Data'!C633</f>
        <v>21.046329339803862</v>
      </c>
      <c r="C633" s="20">
        <f>'Raw Data'!F633</f>
        <v>27.038375854492188</v>
      </c>
      <c r="D633" s="20">
        <f>'Raw Data'!G633</f>
        <v>-37.826148986816406</v>
      </c>
      <c r="E633" s="20">
        <f>'Raw Data'!H633</f>
        <v>7.4977746138818162</v>
      </c>
      <c r="F633" s="20">
        <f>Comparison!$B$10+(C633-Comparison!$B$10)*Comparison!$B$7</f>
        <v>27.447188673538911</v>
      </c>
      <c r="G633" s="20">
        <f>Comparison!$B$11+(D633-Comparison!$B$11)*Comparison!$B$7</f>
        <v>-37.683087218537523</v>
      </c>
    </row>
    <row r="634" spans="1:7">
      <c r="A634" s="18">
        <f>'Raw Data'!A634</f>
        <v>812</v>
      </c>
      <c r="B634" s="20">
        <f>'Raw Data'!C634</f>
        <v>21.079678697806088</v>
      </c>
      <c r="C634" s="20">
        <f>'Raw Data'!F634</f>
        <v>26.196271896362305</v>
      </c>
      <c r="D634" s="20">
        <f>'Raw Data'!G634</f>
        <v>-37.802455902099609</v>
      </c>
      <c r="E634" s="20">
        <f>'Raw Data'!H634</f>
        <v>7.450609606162975</v>
      </c>
      <c r="F634" s="20">
        <f>Comparison!$B$10+(C634-Comparison!$B$10)*Comparison!$B$7</f>
        <v>26.555972422676113</v>
      </c>
      <c r="G634" s="20">
        <f>Comparison!$B$11+(D634-Comparison!$B$11)*Comparison!$B$7</f>
        <v>-37.658012330895893</v>
      </c>
    </row>
    <row r="635" spans="1:7">
      <c r="A635" s="18">
        <f>'Raw Data'!A635</f>
        <v>813</v>
      </c>
      <c r="B635" s="20">
        <f>'Raw Data'!C635</f>
        <v>21.113028055808311</v>
      </c>
      <c r="C635" s="20">
        <f>'Raw Data'!F635</f>
        <v>24.977666854858398</v>
      </c>
      <c r="D635" s="20">
        <f>'Raw Data'!G635</f>
        <v>-37.700515747070313</v>
      </c>
      <c r="E635" s="20">
        <f>'Raw Data'!H635</f>
        <v>7.4742293135820566</v>
      </c>
      <c r="F635" s="20">
        <f>Comparison!$B$10+(C635-Comparison!$B$10)*Comparison!$B$7</f>
        <v>25.266297192098335</v>
      </c>
      <c r="G635" s="20">
        <f>Comparison!$B$11+(D635-Comparison!$B$11)*Comparison!$B$7</f>
        <v>-37.55012693040527</v>
      </c>
    </row>
    <row r="636" spans="1:7">
      <c r="A636" s="18">
        <f>'Raw Data'!A636</f>
        <v>814</v>
      </c>
      <c r="B636" s="20">
        <f>'Raw Data'!C636</f>
        <v>21.146377413810534</v>
      </c>
      <c r="C636" s="20">
        <f>'Raw Data'!F636</f>
        <v>23.501846313476563</v>
      </c>
      <c r="D636" s="20">
        <f>'Raw Data'!G636</f>
        <v>-37.650279998779297</v>
      </c>
      <c r="E636" s="20">
        <f>'Raw Data'!H636</f>
        <v>7.528135688117529</v>
      </c>
      <c r="F636" s="20">
        <f>Comparison!$B$10+(C636-Comparison!$B$10)*Comparison!$B$7</f>
        <v>23.70440541242122</v>
      </c>
      <c r="G636" s="20">
        <f>Comparison!$B$11+(D636-Comparison!$B$11)*Comparison!$B$7</f>
        <v>-37.496961386152712</v>
      </c>
    </row>
    <row r="637" spans="1:7">
      <c r="A637" s="18">
        <f>'Raw Data'!A637</f>
        <v>815</v>
      </c>
      <c r="B637" s="20">
        <f>'Raw Data'!C637</f>
        <v>21.17972677181276</v>
      </c>
      <c r="C637" s="20">
        <f>'Raw Data'!F637</f>
        <v>22.763124465942383</v>
      </c>
      <c r="D637" s="20">
        <f>'Raw Data'!G637</f>
        <v>-37.780265808105469</v>
      </c>
      <c r="E637" s="20">
        <f>'Raw Data'!H637</f>
        <v>7.4963916433611733</v>
      </c>
      <c r="F637" s="20">
        <f>Comparison!$B$10+(C637-Comparison!$B$10)*Comparison!$B$7</f>
        <v>22.922600613816641</v>
      </c>
      <c r="G637" s="20">
        <f>Comparison!$B$11+(D637-Comparison!$B$11)*Comparison!$B$7</f>
        <v>-37.63452808980567</v>
      </c>
    </row>
    <row r="638" spans="1:7">
      <c r="A638" s="18">
        <f>'Raw Data'!A638</f>
        <v>816</v>
      </c>
      <c r="B638" s="20">
        <f>'Raw Data'!C638</f>
        <v>21.213076129814983</v>
      </c>
      <c r="C638" s="20">
        <f>'Raw Data'!F638</f>
        <v>22.467754364013672</v>
      </c>
      <c r="D638" s="20">
        <f>'Raw Data'!G638</f>
        <v>-37.902320861816406</v>
      </c>
      <c r="E638" s="20">
        <f>'Raw Data'!H638</f>
        <v>7.4547832277802755</v>
      </c>
      <c r="F638" s="20">
        <f>Comparison!$B$10+(C638-Comparison!$B$10)*Comparison!$B$7</f>
        <v>22.610004250485851</v>
      </c>
      <c r="G638" s="20">
        <f>Comparison!$B$11+(D638-Comparison!$B$11)*Comparison!$B$7</f>
        <v>-37.763701508736851</v>
      </c>
    </row>
    <row r="639" spans="1:7">
      <c r="A639" s="18">
        <f>'Raw Data'!A639</f>
        <v>817</v>
      </c>
      <c r="B639" s="20">
        <f>'Raw Data'!C639</f>
        <v>21.246425487817209</v>
      </c>
      <c r="C639" s="20">
        <f>'Raw Data'!F639</f>
        <v>21.290470123291016</v>
      </c>
      <c r="D639" s="20">
        <f>'Raw Data'!G639</f>
        <v>-37.911628723144531</v>
      </c>
      <c r="E639" s="20">
        <f>'Raw Data'!H639</f>
        <v>7.5240027557785139</v>
      </c>
      <c r="F639" s="20">
        <f>Comparison!$B$10+(C639-Comparison!$B$10)*Comparison!$B$7</f>
        <v>21.364059688549858</v>
      </c>
      <c r="G639" s="20">
        <f>Comparison!$B$11+(D639-Comparison!$B$11)*Comparison!$B$7</f>
        <v>-37.773552213268424</v>
      </c>
    </row>
    <row r="640" spans="1:7">
      <c r="A640" s="18">
        <f>'Raw Data'!A640</f>
        <v>818</v>
      </c>
      <c r="B640" s="20">
        <f>'Raw Data'!C640</f>
        <v>21.279774845819432</v>
      </c>
      <c r="C640" s="20">
        <f>'Raw Data'!F640</f>
        <v>20.324182510375977</v>
      </c>
      <c r="D640" s="20">
        <f>'Raw Data'!G640</f>
        <v>-37.952671051025391</v>
      </c>
      <c r="E640" s="20">
        <f>'Raw Data'!H640</f>
        <v>7.5308897162645749</v>
      </c>
      <c r="F640" s="20">
        <f>Comparison!$B$10+(C640-Comparison!$B$10)*Comparison!$B$7</f>
        <v>20.341417275670377</v>
      </c>
      <c r="G640" s="20">
        <f>Comparison!$B$11+(D640-Comparison!$B$11)*Comparison!$B$7</f>
        <v>-37.816988168209058</v>
      </c>
    </row>
    <row r="641" spans="1:7">
      <c r="A641" s="18">
        <f>'Raw Data'!A641</f>
        <v>819</v>
      </c>
      <c r="B641" s="20">
        <f>'Raw Data'!C641</f>
        <v>21.313124203821655</v>
      </c>
      <c r="C641" s="20">
        <f>'Raw Data'!F641</f>
        <v>19.088264465332031</v>
      </c>
      <c r="D641" s="20">
        <f>'Raw Data'!G641</f>
        <v>-37.928371429443359</v>
      </c>
      <c r="E641" s="20">
        <f>'Raw Data'!H641</f>
        <v>7.4867036966376359</v>
      </c>
      <c r="F641" s="20">
        <f>Comparison!$B$10+(C641-Comparison!$B$10)*Comparison!$B$7</f>
        <v>19.033419330946483</v>
      </c>
      <c r="G641" s="20">
        <f>Comparison!$B$11+(D641-Comparison!$B$11)*Comparison!$B$7</f>
        <v>-37.791271369903285</v>
      </c>
    </row>
    <row r="642" spans="1:7">
      <c r="A642" s="18">
        <f>'Raw Data'!A642</f>
        <v>820</v>
      </c>
      <c r="B642" s="20">
        <f>'Raw Data'!C642</f>
        <v>21.346473561823881</v>
      </c>
      <c r="C642" s="20">
        <f>'Raw Data'!F642</f>
        <v>18.410400390625</v>
      </c>
      <c r="D642" s="20">
        <f>'Raw Data'!G642</f>
        <v>-37.957679748535156</v>
      </c>
      <c r="E642" s="20">
        <f>'Raw Data'!H642</f>
        <v>7.4631234689429027</v>
      </c>
      <c r="F642" s="20">
        <f>Comparison!$B$10+(C642-Comparison!$B$10)*Comparison!$B$7</f>
        <v>18.316021587565015</v>
      </c>
      <c r="G642" s="20">
        <f>Comparison!$B$11+(D642-Comparison!$B$11)*Comparison!$B$7</f>
        <v>-37.822288977655759</v>
      </c>
    </row>
    <row r="643" spans="1:7">
      <c r="A643" s="18">
        <f>'Raw Data'!A643</f>
        <v>821</v>
      </c>
      <c r="B643" s="20">
        <f>'Raw Data'!C643</f>
        <v>21.379822919826104</v>
      </c>
      <c r="C643" s="20">
        <f>'Raw Data'!F643</f>
        <v>18.385625839233398</v>
      </c>
      <c r="D643" s="20">
        <f>'Raw Data'!G643</f>
        <v>-37.935955047607422</v>
      </c>
      <c r="E643" s="20">
        <f>'Raw Data'!H643</f>
        <v>7.4422553412225643</v>
      </c>
      <c r="F643" s="20">
        <f>Comparison!$B$10+(C643-Comparison!$B$10)*Comparison!$B$7</f>
        <v>18.289802161097686</v>
      </c>
      <c r="G643" s="20">
        <f>Comparison!$B$11+(D643-Comparison!$B$11)*Comparison!$B$7</f>
        <v>-37.799297271792121</v>
      </c>
    </row>
    <row r="644" spans="1:7">
      <c r="A644" s="18">
        <f>'Raw Data'!A644</f>
        <v>822</v>
      </c>
      <c r="B644" s="20">
        <f>'Raw Data'!C644</f>
        <v>21.41317227782833</v>
      </c>
      <c r="C644" s="20">
        <f>'Raw Data'!F644</f>
        <v>17.016189575195313</v>
      </c>
      <c r="D644" s="20">
        <f>'Raw Data'!G644</f>
        <v>-37.951805114746094</v>
      </c>
      <c r="E644" s="20">
        <f>'Raw Data'!H644</f>
        <v>7.5966868722145788</v>
      </c>
      <c r="F644" s="20">
        <f>Comparison!$B$10+(C644-Comparison!$B$10)*Comparison!$B$7</f>
        <v>16.840499089607622</v>
      </c>
      <c r="G644" s="20">
        <f>Comparison!$B$11+(D644-Comparison!$B$11)*Comparison!$B$7</f>
        <v>-37.816071729713705</v>
      </c>
    </row>
    <row r="645" spans="1:7">
      <c r="A645" s="18">
        <f>'Raw Data'!A645</f>
        <v>823</v>
      </c>
      <c r="B645" s="20">
        <f>'Raw Data'!C645</f>
        <v>21.446521635830553</v>
      </c>
      <c r="C645" s="20">
        <f>'Raw Data'!F645</f>
        <v>15.785083770751953</v>
      </c>
      <c r="D645" s="20">
        <f>'Raw Data'!G645</f>
        <v>-38.031494140625</v>
      </c>
      <c r="E645" s="20">
        <f>'Raw Data'!H645</f>
        <v>7.5295128281067525</v>
      </c>
      <c r="F645" s="20">
        <f>Comparison!$B$10+(C645-Comparison!$B$10)*Comparison!$B$7</f>
        <v>15.537594039870029</v>
      </c>
      <c r="G645" s="20">
        <f>Comparison!$B$11+(D645-Comparison!$B$11)*Comparison!$B$7</f>
        <v>-37.900408294330298</v>
      </c>
    </row>
    <row r="646" spans="1:7">
      <c r="A646" s="18">
        <f>'Raw Data'!A646</f>
        <v>824</v>
      </c>
      <c r="B646" s="20">
        <f>'Raw Data'!C646</f>
        <v>21.479870993832776</v>
      </c>
      <c r="C646" s="20">
        <f>'Raw Data'!F646</f>
        <v>15.2677001953125</v>
      </c>
      <c r="D646" s="20">
        <f>'Raw Data'!G646</f>
        <v>-38.034584045410156</v>
      </c>
      <c r="E646" s="20">
        <f>'Raw Data'!H646</f>
        <v>7.517109485659085</v>
      </c>
      <c r="F646" s="20">
        <f>Comparison!$B$10+(C646-Comparison!$B$10)*Comparison!$B$7</f>
        <v>14.990036169004373</v>
      </c>
      <c r="G646" s="20">
        <f>Comparison!$B$11+(D646-Comparison!$B$11)*Comparison!$B$7</f>
        <v>-37.903678405260855</v>
      </c>
    </row>
    <row r="647" spans="1:7">
      <c r="A647" s="18">
        <f>'Raw Data'!A647</f>
        <v>825</v>
      </c>
      <c r="B647" s="20">
        <f>'Raw Data'!C647</f>
        <v>21.513220351835002</v>
      </c>
      <c r="C647" s="20">
        <f>'Raw Data'!F647</f>
        <v>15.23133659362793</v>
      </c>
      <c r="D647" s="20">
        <f>'Raw Data'!G647</f>
        <v>-38.029151916503906</v>
      </c>
      <c r="E647" s="20">
        <f>'Raw Data'!H647</f>
        <v>7.5350188711300268</v>
      </c>
      <c r="F647" s="20">
        <f>Comparison!$B$10+(C647-Comparison!$B$10)*Comparison!$B$7</f>
        <v>14.951551807960445</v>
      </c>
      <c r="G647" s="20">
        <f>Comparison!$B$11+(D647-Comparison!$B$11)*Comparison!$B$7</f>
        <v>-37.897929469501449</v>
      </c>
    </row>
    <row r="648" spans="1:7">
      <c r="A648" s="18">
        <f>'Raw Data'!A648</f>
        <v>826</v>
      </c>
      <c r="B648" s="20">
        <f>'Raw Data'!C648</f>
        <v>21.546569709837225</v>
      </c>
      <c r="C648" s="20">
        <f>'Raw Data'!F648</f>
        <v>13.591641426086426</v>
      </c>
      <c r="D648" s="20">
        <f>'Raw Data'!G648</f>
        <v>-38.156661987304688</v>
      </c>
      <c r="E648" s="20">
        <f>'Raw Data'!H648</f>
        <v>7.6007802825909545</v>
      </c>
      <c r="F648" s="20">
        <f>Comparison!$B$10+(C648-Comparison!$B$10)*Comparison!$B$7</f>
        <v>13.216228080211385</v>
      </c>
      <c r="G648" s="20">
        <f>Comparison!$B$11+(D648-Comparison!$B$11)*Comparison!$B$7</f>
        <v>-38.032876047235973</v>
      </c>
    </row>
    <row r="649" spans="1:7">
      <c r="A649" s="18">
        <f>'Raw Data'!A649</f>
        <v>827</v>
      </c>
      <c r="B649" s="20">
        <f>'Raw Data'!C649</f>
        <v>21.579919067839452</v>
      </c>
      <c r="C649" s="20">
        <f>'Raw Data'!F649</f>
        <v>12.811347007751465</v>
      </c>
      <c r="D649" s="20">
        <f>'Raw Data'!G649</f>
        <v>-38.256782531738281</v>
      </c>
      <c r="E649" s="20">
        <f>'Raw Data'!H649</f>
        <v>7.5212462058579037</v>
      </c>
      <c r="F649" s="20">
        <f>Comparison!$B$10+(C649-Comparison!$B$10)*Comparison!$B$7</f>
        <v>12.390426159481791</v>
      </c>
      <c r="G649" s="20">
        <f>Comparison!$B$11+(D649-Comparison!$B$11)*Comparison!$B$7</f>
        <v>-38.138835715734153</v>
      </c>
    </row>
    <row r="650" spans="1:7">
      <c r="A650" s="18">
        <f>'Raw Data'!A650</f>
        <v>828</v>
      </c>
      <c r="B650" s="20">
        <f>'Raw Data'!C650</f>
        <v>21.613268425841675</v>
      </c>
      <c r="C650" s="20">
        <f>'Raw Data'!F650</f>
        <v>12.415454864501953</v>
      </c>
      <c r="D650" s="20">
        <f>'Raw Data'!G650</f>
        <v>-38.316356658935547</v>
      </c>
      <c r="E650" s="20">
        <f>'Raw Data'!H650</f>
        <v>7.5363947533420124</v>
      </c>
      <c r="F650" s="20">
        <f>Comparison!$B$10+(C650-Comparison!$B$10)*Comparison!$B$7</f>
        <v>11.97144521509054</v>
      </c>
      <c r="G650" s="20">
        <f>Comparison!$B$11+(D650-Comparison!$B$11)*Comparison!$B$7</f>
        <v>-38.20188426191018</v>
      </c>
    </row>
    <row r="651" spans="1:7">
      <c r="A651" s="18">
        <f>'Raw Data'!A651</f>
        <v>829</v>
      </c>
      <c r="B651" s="20">
        <f>'Raw Data'!C651</f>
        <v>21.646617783843897</v>
      </c>
      <c r="C651" s="20">
        <f>'Raw Data'!F651</f>
        <v>11.383847236633301</v>
      </c>
      <c r="D651" s="20">
        <f>'Raw Data'!G651</f>
        <v>-38.346778869628906</v>
      </c>
      <c r="E651" s="20">
        <f>'Raw Data'!H651</f>
        <v>7.5570029262222453</v>
      </c>
      <c r="F651" s="20">
        <f>Comparison!$B$10+(C651-Comparison!$B$10)*Comparison!$B$7</f>
        <v>10.87967326271508</v>
      </c>
      <c r="G651" s="20">
        <f>Comparison!$B$11+(D651-Comparison!$B$11)*Comparison!$B$7</f>
        <v>-38.234080724467262</v>
      </c>
    </row>
    <row r="652" spans="1:7">
      <c r="A652" s="18">
        <f>'Raw Data'!A652</f>
        <v>830</v>
      </c>
      <c r="B652" s="20">
        <f>'Raw Data'!C652</f>
        <v>21.679967141846124</v>
      </c>
      <c r="C652" s="20">
        <f>'Raw Data'!F652</f>
        <v>9.9365348815917969</v>
      </c>
      <c r="D652" s="20">
        <f>'Raw Data'!G652</f>
        <v>-38.233860015869141</v>
      </c>
      <c r="E652" s="20">
        <f>'Raw Data'!H652</f>
        <v>7.493624936626099</v>
      </c>
      <c r="F652" s="20">
        <f>Comparison!$B$10+(C652-Comparison!$B$10)*Comparison!$B$7</f>
        <v>9.3479522935463883</v>
      </c>
      <c r="G652" s="20">
        <f>Comparison!$B$11+(D652-Comparison!$B$11)*Comparison!$B$7</f>
        <v>-38.114576337238169</v>
      </c>
    </row>
    <row r="653" spans="1:7">
      <c r="A653" s="18">
        <f>'Raw Data'!A653</f>
        <v>831</v>
      </c>
      <c r="B653" s="20">
        <f>'Raw Data'!C653</f>
        <v>21.713316499848347</v>
      </c>
      <c r="C653" s="20">
        <f>'Raw Data'!F653</f>
        <v>9.647852897644043</v>
      </c>
      <c r="D653" s="20">
        <f>'Raw Data'!G653</f>
        <v>-38.163173675537109</v>
      </c>
      <c r="E653" s="20">
        <f>'Raw Data'!H653</f>
        <v>7.4963916433611733</v>
      </c>
      <c r="F653" s="20">
        <f>Comparison!$B$10+(C653-Comparison!$B$10)*Comparison!$B$7</f>
        <v>9.0424341055106652</v>
      </c>
      <c r="G653" s="20">
        <f>Comparison!$B$11+(D653-Comparison!$B$11)*Comparison!$B$7</f>
        <v>-38.039767503234081</v>
      </c>
    </row>
    <row r="654" spans="1:7">
      <c r="A654" s="18">
        <f>'Raw Data'!A654</f>
        <v>832</v>
      </c>
      <c r="B654" s="20">
        <f>'Raw Data'!C654</f>
        <v>21.746665857850573</v>
      </c>
      <c r="C654" s="20">
        <f>'Raw Data'!F654</f>
        <v>9.3893871307373047</v>
      </c>
      <c r="D654" s="20">
        <f>'Raw Data'!G654</f>
        <v>-38.180995941162109</v>
      </c>
      <c r="E654" s="20">
        <f>'Raw Data'!H654</f>
        <v>7.6184929791346043</v>
      </c>
      <c r="F654" s="20">
        <f>Comparison!$B$10+(C654-Comparison!$B$10)*Comparison!$B$7</f>
        <v>8.7688943726366464</v>
      </c>
      <c r="G654" s="20">
        <f>Comparison!$B$11+(D654-Comparison!$B$11)*Comparison!$B$7</f>
        <v>-38.058629180107644</v>
      </c>
    </row>
    <row r="655" spans="1:7">
      <c r="A655" s="18">
        <f>'Raw Data'!A655</f>
        <v>833</v>
      </c>
      <c r="B655" s="20">
        <f>'Raw Data'!C655</f>
        <v>21.780015215852796</v>
      </c>
      <c r="C655" s="20">
        <f>'Raw Data'!F655</f>
        <v>6.4118666648864746</v>
      </c>
      <c r="D655" s="20">
        <f>'Raw Data'!G655</f>
        <v>-38.44268798828125</v>
      </c>
      <c r="E655" s="20">
        <f>'Raw Data'!H655</f>
        <v>7.6320901575044937</v>
      </c>
      <c r="F655" s="20">
        <f>Comparison!$B$10+(C655-Comparison!$B$10)*Comparison!$B$7</f>
        <v>5.6177221202987173</v>
      </c>
      <c r="G655" s="20">
        <f>Comparison!$B$11+(D655-Comparison!$B$11)*Comparison!$B$7</f>
        <v>-38.335583352882303</v>
      </c>
    </row>
    <row r="656" spans="1:7">
      <c r="A656" s="18">
        <f>'Raw Data'!A656</f>
        <v>834</v>
      </c>
      <c r="B656" s="20">
        <f>'Raw Data'!C656</f>
        <v>21.813364573855019</v>
      </c>
      <c r="C656" s="20">
        <f>'Raw Data'!F656</f>
        <v>5.4232039451599121</v>
      </c>
      <c r="D656" s="20">
        <f>'Raw Data'!G656</f>
        <v>-38.302322387695313</v>
      </c>
      <c r="E656" s="20">
        <f>'Raw Data'!H656</f>
        <v>7.5350188711300268</v>
      </c>
      <c r="F656" s="20">
        <f>Comparison!$B$10+(C656-Comparison!$B$10)*Comparison!$B$7</f>
        <v>4.5713996633905811</v>
      </c>
      <c r="G656" s="20">
        <f>Comparison!$B$11+(D656-Comparison!$B$11)*Comparison!$B$7</f>
        <v>-38.187031498807052</v>
      </c>
    </row>
    <row r="657" spans="1:7">
      <c r="A657" s="18">
        <f>'Raw Data'!A657</f>
        <v>835</v>
      </c>
      <c r="B657" s="20">
        <f>'Raw Data'!C657</f>
        <v>21.846713931857245</v>
      </c>
      <c r="C657" s="20">
        <f>'Raw Data'!F657</f>
        <v>4.9100594520568848</v>
      </c>
      <c r="D657" s="20">
        <f>'Raw Data'!G657</f>
        <v>-38.207202911376953</v>
      </c>
      <c r="E657" s="20">
        <f>'Raw Data'!H657</f>
        <v>7.5666008654044363</v>
      </c>
      <c r="F657" s="20">
        <f>Comparison!$B$10+(C657-Comparison!$B$10)*Comparison!$B$7</f>
        <v>4.0283281021194774</v>
      </c>
      <c r="G657" s="20">
        <f>Comparison!$B$11+(D657-Comparison!$B$11)*Comparison!$B$7</f>
        <v>-38.086364565407592</v>
      </c>
    </row>
    <row r="658" spans="1:7">
      <c r="A658" s="18">
        <f>'Raw Data'!A658</f>
        <v>836</v>
      </c>
      <c r="B658" s="20">
        <f>'Raw Data'!C658</f>
        <v>21.880063289859468</v>
      </c>
      <c r="C658" s="20">
        <f>'Raw Data'!F658</f>
        <v>4.5262651443481445</v>
      </c>
      <c r="D658" s="20">
        <f>'Raw Data'!G658</f>
        <v>-38.081661224365234</v>
      </c>
      <c r="E658" s="20">
        <f>'Raw Data'!H658</f>
        <v>7.5487664083239023</v>
      </c>
      <c r="F658" s="20">
        <f>Comparison!$B$10+(C658-Comparison!$B$10)*Comparison!$B$7</f>
        <v>3.6221505503855269</v>
      </c>
      <c r="G658" s="20">
        <f>Comparison!$B$11+(D658-Comparison!$B$11)*Comparison!$B$7</f>
        <v>-37.953501169451059</v>
      </c>
    </row>
    <row r="659" spans="1:7">
      <c r="A659" s="18">
        <f>'Raw Data'!A659</f>
        <v>837</v>
      </c>
      <c r="B659" s="20">
        <f>'Raw Data'!C659</f>
        <v>21.913412647861694</v>
      </c>
      <c r="C659" s="20">
        <f>'Raw Data'!F659</f>
        <v>3.8933894634246826</v>
      </c>
      <c r="D659" s="20">
        <f>'Raw Data'!G659</f>
        <v>-37.944850921630859</v>
      </c>
      <c r="E659" s="20">
        <f>'Raw Data'!H659</f>
        <v>7.4977746138818162</v>
      </c>
      <c r="F659" s="20">
        <f>Comparison!$B$10+(C659-Comparison!$B$10)*Comparison!$B$7</f>
        <v>2.9523649661122668</v>
      </c>
      <c r="G659" s="20">
        <f>Comparison!$B$11+(D659-Comparison!$B$11)*Comparison!$B$7</f>
        <v>-37.808711961532943</v>
      </c>
    </row>
    <row r="660" spans="1:7">
      <c r="A660" s="18">
        <f>'Raw Data'!A660</f>
        <v>838</v>
      </c>
      <c r="B660" s="20">
        <f>'Raw Data'!C660</f>
        <v>21.946762005863917</v>
      </c>
      <c r="C660" s="20">
        <f>'Raw Data'!F660</f>
        <v>2.9946737289428711</v>
      </c>
      <c r="D660" s="20">
        <f>'Raw Data'!G660</f>
        <v>-37.84423828125</v>
      </c>
      <c r="E660" s="20">
        <f>'Raw Data'!H660</f>
        <v>7.6592120985506327</v>
      </c>
      <c r="F660" s="20">
        <f>Comparison!$B$10+(C660-Comparison!$B$10)*Comparison!$B$7</f>
        <v>2.0012352869987637</v>
      </c>
      <c r="G660" s="20">
        <f>Comparison!$B$11+(D660-Comparison!$B$11)*Comparison!$B$7</f>
        <v>-37.702231497590269</v>
      </c>
    </row>
    <row r="661" spans="1:7">
      <c r="A661" s="18">
        <f>'Raw Data'!A661</f>
        <v>839</v>
      </c>
      <c r="B661" s="20">
        <f>'Raw Data'!C661</f>
        <v>21.98011136386614</v>
      </c>
      <c r="C661" s="20">
        <f>'Raw Data'!F661</f>
        <v>0.56780147552490234</v>
      </c>
      <c r="D661" s="20">
        <f>'Raw Data'!G661</f>
        <v>-38.113563537597656</v>
      </c>
      <c r="E661" s="20">
        <f>'Raw Data'!H661</f>
        <v>7.5734490891479567</v>
      </c>
      <c r="F661" s="20">
        <f>Comparison!$B$10+(C661-Comparison!$B$10)*Comparison!$B$7</f>
        <v>-0.56717443264836831</v>
      </c>
      <c r="G661" s="20">
        <f>Comparison!$B$11+(D661-Comparison!$B$11)*Comparison!$B$7</f>
        <v>-37.987264055515617</v>
      </c>
    </row>
    <row r="662" spans="1:7">
      <c r="A662" s="18">
        <f>'Raw Data'!A662</f>
        <v>840</v>
      </c>
      <c r="B662" s="20">
        <f>'Raw Data'!C662</f>
        <v>22.013460721868366</v>
      </c>
      <c r="C662" s="20">
        <f>'Raw Data'!F662</f>
        <v>-0.34660598635673523</v>
      </c>
      <c r="D662" s="20">
        <f>'Raw Data'!G662</f>
        <v>-38.171661376953125</v>
      </c>
      <c r="E662" s="20">
        <f>'Raw Data'!H662</f>
        <v>7.489472960167384</v>
      </c>
      <c r="F662" s="20">
        <f>Comparison!$B$10+(C662-Comparison!$B$10)*Comparison!$B$7</f>
        <v>-1.5349109954225213</v>
      </c>
      <c r="G662" s="20">
        <f>Comparison!$B$11+(D662-Comparison!$B$11)*Comparison!$B$7</f>
        <v>-38.048750215358154</v>
      </c>
    </row>
    <row r="663" spans="1:7">
      <c r="A663" s="18">
        <f>'Raw Data'!A663</f>
        <v>841</v>
      </c>
      <c r="B663" s="20">
        <f>'Raw Data'!C663</f>
        <v>22.046810079870589</v>
      </c>
      <c r="C663" s="20">
        <f>'Raw Data'!F663</f>
        <v>-0.91408658027648926</v>
      </c>
      <c r="D663" s="20">
        <f>'Raw Data'!G663</f>
        <v>-38.117435455322266</v>
      </c>
      <c r="E663" s="20">
        <f>'Raw Data'!H663</f>
        <v>7.5898596156253433</v>
      </c>
      <c r="F663" s="20">
        <f>Comparison!$B$10+(C663-Comparison!$B$10)*Comparison!$B$7</f>
        <v>-2.1354875898773251</v>
      </c>
      <c r="G663" s="20">
        <f>Comparison!$B$11+(D663-Comparison!$B$11)*Comparison!$B$7</f>
        <v>-37.991361787113789</v>
      </c>
    </row>
    <row r="664" spans="1:7">
      <c r="A664" s="18">
        <f>'Raw Data'!A664</f>
        <v>842</v>
      </c>
      <c r="B664" s="20">
        <f>'Raw Data'!C664</f>
        <v>22.080159437872815</v>
      </c>
      <c r="C664" s="20">
        <f>'Raw Data'!F664</f>
        <v>-1.8102813959121704</v>
      </c>
      <c r="D664" s="20">
        <f>'Raw Data'!G664</f>
        <v>-37.949371337890625</v>
      </c>
      <c r="E664" s="20">
        <f>'Raw Data'!H664</f>
        <v>7.5652304767550733</v>
      </c>
      <c r="F664" s="20">
        <f>Comparison!$B$10+(C664-Comparison!$B$10)*Comparison!$B$7</f>
        <v>-3.0839493277929684</v>
      </c>
      <c r="G664" s="20">
        <f>Comparison!$B$11+(D664-Comparison!$B$11)*Comparison!$B$7</f>
        <v>-37.813496012709138</v>
      </c>
    </row>
    <row r="665" spans="1:7">
      <c r="A665" s="18">
        <f>'Raw Data'!A665</f>
        <v>843</v>
      </c>
      <c r="B665" s="20">
        <f>'Raw Data'!C665</f>
        <v>22.113508795875038</v>
      </c>
      <c r="C665" s="20">
        <f>'Raw Data'!F665</f>
        <v>-2.6258397102355957</v>
      </c>
      <c r="D665" s="20">
        <f>'Raw Data'!G665</f>
        <v>-37.832096099853516</v>
      </c>
      <c r="E665" s="20">
        <f>'Raw Data'!H665</f>
        <v>7.5912255581569861</v>
      </c>
      <c r="F665" s="20">
        <f>Comparison!$B$10+(C665-Comparison!$B$10)*Comparison!$B$7</f>
        <v>-3.9470717680026617</v>
      </c>
      <c r="G665" s="20">
        <f>Comparison!$B$11+(D665-Comparison!$B$11)*Comparison!$B$7</f>
        <v>-37.689381172785353</v>
      </c>
    </row>
    <row r="666" spans="1:7">
      <c r="A666" s="18">
        <f>'Raw Data'!A666</f>
        <v>844</v>
      </c>
      <c r="B666" s="20">
        <f>'Raw Data'!C666</f>
        <v>22.146858153877261</v>
      </c>
      <c r="C666" s="20">
        <f>'Raw Data'!F666</f>
        <v>-3.2192404270172119</v>
      </c>
      <c r="D666" s="20">
        <f>'Raw Data'!G666</f>
        <v>-37.784423828125</v>
      </c>
      <c r="E666" s="20">
        <f>'Raw Data'!H666</f>
        <v>7.5884934272215778</v>
      </c>
      <c r="F666" s="20">
        <f>Comparison!$B$10+(C666-Comparison!$B$10)*Comparison!$B$7</f>
        <v>-4.5750801711977473</v>
      </c>
      <c r="G666" s="20">
        <f>Comparison!$B$11+(D666-Comparison!$B$11)*Comparison!$B$7</f>
        <v>-37.638928609452968</v>
      </c>
    </row>
    <row r="667" spans="1:7">
      <c r="A667" s="18">
        <f>'Raw Data'!A667</f>
        <v>845</v>
      </c>
      <c r="B667" s="20">
        <f>'Raw Data'!C667</f>
        <v>22.180207511879487</v>
      </c>
      <c r="C667" s="20">
        <f>'Raw Data'!F667</f>
        <v>-3.8732450008392334</v>
      </c>
      <c r="D667" s="20">
        <f>'Raw Data'!G667</f>
        <v>-37.740791320800781</v>
      </c>
      <c r="E667" s="20">
        <f>'Raw Data'!H667</f>
        <v>7.5074482742126314</v>
      </c>
      <c r="F667" s="20">
        <f>Comparison!$B$10+(C667-Comparison!$B$10)*Comparison!$B$7</f>
        <v>-5.2672269052223442</v>
      </c>
      <c r="G667" s="20">
        <f>Comparison!$B$11+(D667-Comparison!$B$11)*Comparison!$B$7</f>
        <v>-37.592751413374245</v>
      </c>
    </row>
    <row r="668" spans="1:7">
      <c r="A668" s="18">
        <f>'Raw Data'!A668</f>
        <v>846</v>
      </c>
      <c r="B668" s="20">
        <f>'Raw Data'!C668</f>
        <v>22.21355686988171</v>
      </c>
      <c r="C668" s="20">
        <f>'Raw Data'!F668</f>
        <v>-4.7576513290405273</v>
      </c>
      <c r="D668" s="20">
        <f>'Raw Data'!G668</f>
        <v>-37.701255798339844</v>
      </c>
      <c r="E668" s="20">
        <f>'Raw Data'!H668</f>
        <v>7.5528857900265809</v>
      </c>
      <c r="F668" s="20">
        <f>Comparison!$B$10+(C668-Comparison!$B$10)*Comparison!$B$7</f>
        <v>-6.2032126400588048</v>
      </c>
      <c r="G668" s="20">
        <f>Comparison!$B$11+(D668-Comparison!$B$11)*Comparison!$B$7</f>
        <v>-37.550910142159005</v>
      </c>
    </row>
    <row r="669" spans="1:7">
      <c r="A669" s="18">
        <f>'Raw Data'!A669</f>
        <v>847</v>
      </c>
      <c r="B669" s="20">
        <f>'Raw Data'!C669</f>
        <v>22.246906227883937</v>
      </c>
      <c r="C669" s="20">
        <f>'Raw Data'!F669</f>
        <v>-5.8023810386657715</v>
      </c>
      <c r="D669" s="20">
        <f>'Raw Data'!G669</f>
        <v>-37.570781707763672</v>
      </c>
      <c r="E669" s="20">
        <f>'Raw Data'!H669</f>
        <v>7.5267582961586736</v>
      </c>
      <c r="F669" s="20">
        <f>Comparison!$B$10+(C669-Comparison!$B$10)*Comparison!$B$7</f>
        <v>-7.3088719663074322</v>
      </c>
      <c r="G669" s="20">
        <f>Comparison!$B$11+(D669-Comparison!$B$11)*Comparison!$B$7</f>
        <v>-37.41282668023554</v>
      </c>
    </row>
    <row r="670" spans="1:7">
      <c r="A670" s="18">
        <f>'Raw Data'!A670</f>
        <v>848</v>
      </c>
      <c r="B670" s="20">
        <f>'Raw Data'!C670</f>
        <v>22.28025558588616</v>
      </c>
      <c r="C670" s="20">
        <f>'Raw Data'!F670</f>
        <v>-6.8475847244262695</v>
      </c>
      <c r="D670" s="20">
        <f>'Raw Data'!G670</f>
        <v>-37.532241821289063</v>
      </c>
      <c r="E670" s="20">
        <f>'Raw Data'!H670</f>
        <v>7.5515129124745641</v>
      </c>
      <c r="F670" s="20">
        <f>Comparison!$B$10+(C670-Comparison!$B$10)*Comparison!$B$7</f>
        <v>-8.4150329114241167</v>
      </c>
      <c r="G670" s="20">
        <f>Comparison!$B$11+(D670-Comparison!$B$11)*Comparison!$B$7</f>
        <v>-37.372039111431256</v>
      </c>
    </row>
    <row r="671" spans="1:7">
      <c r="A671" s="18">
        <f>'Raw Data'!A671</f>
        <v>849</v>
      </c>
      <c r="B671" s="20">
        <f>'Raw Data'!C671</f>
        <v>22.313604943888382</v>
      </c>
      <c r="C671" s="20">
        <f>'Raw Data'!F671</f>
        <v>-7.5480728149414063</v>
      </c>
      <c r="D671" s="20">
        <f>'Raw Data'!G671</f>
        <v>-37.49932861328125</v>
      </c>
      <c r="E671" s="20">
        <f>'Raw Data'!H671</f>
        <v>7.5212462058579037</v>
      </c>
      <c r="F671" s="20">
        <f>Comparison!$B$10+(C671-Comparison!$B$10)*Comparison!$B$7</f>
        <v>-9.1563741244369794</v>
      </c>
      <c r="G671" s="20">
        <f>Comparison!$B$11+(D671-Comparison!$B$11)*Comparison!$B$7</f>
        <v>-37.337206374259793</v>
      </c>
    </row>
    <row r="672" spans="1:7">
      <c r="A672" s="18">
        <f>'Raw Data'!A672</f>
        <v>850</v>
      </c>
      <c r="B672" s="20">
        <f>'Raw Data'!C672</f>
        <v>22.346954301890609</v>
      </c>
      <c r="C672" s="20">
        <f>'Raw Data'!F672</f>
        <v>-8.7217636108398438</v>
      </c>
      <c r="D672" s="20">
        <f>'Raw Data'!G672</f>
        <v>-37.550426483154297</v>
      </c>
      <c r="E672" s="20">
        <f>'Raw Data'!H672</f>
        <v>7.5184886452864435</v>
      </c>
      <c r="F672" s="20">
        <f>Comparison!$B$10+(C672-Comparison!$B$10)*Comparison!$B$7</f>
        <v>-10.398515668475948</v>
      </c>
      <c r="G672" s="20">
        <f>Comparison!$B$11+(D672-Comparison!$B$11)*Comparison!$B$7</f>
        <v>-37.391284319833716</v>
      </c>
    </row>
    <row r="673" spans="1:7">
      <c r="A673" s="18">
        <f>'Raw Data'!A673</f>
        <v>851</v>
      </c>
      <c r="B673" s="20">
        <f>'Raw Data'!C673</f>
        <v>22.380303659892832</v>
      </c>
      <c r="C673" s="20">
        <f>'Raw Data'!F673</f>
        <v>-9.9549131393432617</v>
      </c>
      <c r="D673" s="20">
        <f>'Raw Data'!G673</f>
        <v>-37.546428680419922</v>
      </c>
      <c r="E673" s="20">
        <f>'Raw Data'!H673</f>
        <v>7.5487664083239023</v>
      </c>
      <c r="F673" s="20">
        <f>Comparison!$B$10+(C673-Comparison!$B$10)*Comparison!$B$7</f>
        <v>-11.7035836341778</v>
      </c>
      <c r="G673" s="20">
        <f>Comparison!$B$11+(D673-Comparison!$B$11)*Comparison!$B$7</f>
        <v>-37.387053361493926</v>
      </c>
    </row>
    <row r="674" spans="1:7">
      <c r="A674" s="18">
        <f>'Raw Data'!A674</f>
        <v>852</v>
      </c>
      <c r="B674" s="20">
        <f>'Raw Data'!C674</f>
        <v>22.413653017895058</v>
      </c>
      <c r="C674" s="20">
        <f>'Raw Data'!F674</f>
        <v>-10.891696929931641</v>
      </c>
      <c r="D674" s="20">
        <f>'Raw Data'!G674</f>
        <v>-37.539962768554688</v>
      </c>
      <c r="E674" s="20">
        <f>'Raw Data'!H674</f>
        <v>7.6007802825909545</v>
      </c>
      <c r="F674" s="20">
        <f>Comparison!$B$10+(C674-Comparison!$B$10)*Comparison!$B$7</f>
        <v>-12.695001534137894</v>
      </c>
      <c r="G674" s="20">
        <f>Comparison!$B$11+(D674-Comparison!$B$11)*Comparison!$B$7</f>
        <v>-37.380210351583678</v>
      </c>
    </row>
    <row r="675" spans="1:7">
      <c r="A675" s="18">
        <f>'Raw Data'!A675</f>
        <v>853</v>
      </c>
      <c r="B675" s="20">
        <f>'Raw Data'!C675</f>
        <v>22.447002375897281</v>
      </c>
      <c r="C675" s="20">
        <f>'Raw Data'!F675</f>
        <v>-11.541750907897949</v>
      </c>
      <c r="D675" s="20">
        <f>'Raw Data'!G675</f>
        <v>-37.664520263671875</v>
      </c>
      <c r="E675" s="20">
        <f>'Raw Data'!H675</f>
        <v>7.5693408983986119</v>
      </c>
      <c r="F675" s="20">
        <f>Comparison!$B$10+(C675-Comparison!$B$10)*Comparison!$B$7</f>
        <v>-13.382967269850809</v>
      </c>
      <c r="G675" s="20">
        <f>Comparison!$B$11+(D675-Comparison!$B$11)*Comparison!$B$7</f>
        <v>-37.512032156651216</v>
      </c>
    </row>
    <row r="676" spans="1:7">
      <c r="A676" s="18">
        <f>'Raw Data'!A676</f>
        <v>854</v>
      </c>
      <c r="B676" s="20">
        <f>'Raw Data'!C676</f>
        <v>22.480351733899504</v>
      </c>
      <c r="C676" s="20">
        <f>'Raw Data'!F676</f>
        <v>-11.85385799407959</v>
      </c>
      <c r="D676" s="20">
        <f>'Raw Data'!G676</f>
        <v>-37.773933410644531</v>
      </c>
      <c r="E676" s="20">
        <f>'Raw Data'!H676</f>
        <v>7.780090877551995</v>
      </c>
      <c r="F676" s="20">
        <f>Comparison!$B$10+(C676-Comparison!$B$10)*Comparison!$B$7</f>
        <v>-13.713276734055484</v>
      </c>
      <c r="G676" s="20">
        <f>Comparison!$B$11+(D676-Comparison!$B$11)*Comparison!$B$7</f>
        <v>-37.627826380985013</v>
      </c>
    </row>
    <row r="677" spans="1:7">
      <c r="A677" s="18">
        <f>'Raw Data'!A677</f>
        <v>855</v>
      </c>
      <c r="B677" s="20">
        <f>'Raw Data'!C677</f>
        <v>22.51370109190173</v>
      </c>
      <c r="C677" s="20">
        <f>'Raw Data'!F677</f>
        <v>-15.626009941101074</v>
      </c>
      <c r="D677" s="20">
        <f>'Raw Data'!G677</f>
        <v>-39.385135650634766</v>
      </c>
      <c r="E677" s="20">
        <f>'Raw Data'!H677</f>
        <v>7.6632721105498076</v>
      </c>
      <c r="F677" s="20">
        <f>Comparison!$B$10+(C677-Comparison!$B$10)*Comparison!$B$7</f>
        <v>-17.705424120911466</v>
      </c>
      <c r="G677" s="20">
        <f>Comparison!$B$11+(D677-Comparison!$B$11)*Comparison!$B$7</f>
        <v>-39.332995446921608</v>
      </c>
    </row>
    <row r="678" spans="1:7">
      <c r="A678" s="18">
        <f>'Raw Data'!A678</f>
        <v>856</v>
      </c>
      <c r="B678" s="20">
        <f>'Raw Data'!C678</f>
        <v>22.547050449903953</v>
      </c>
      <c r="C678" s="20">
        <f>'Raw Data'!F678</f>
        <v>-14.486545562744141</v>
      </c>
      <c r="D678" s="20">
        <f>'Raw Data'!G678</f>
        <v>-39.46160888671875</v>
      </c>
      <c r="E678" s="20">
        <f>'Raw Data'!H678</f>
        <v>7.5802911260381594</v>
      </c>
      <c r="F678" s="20">
        <f>Comparison!$B$10+(C678-Comparison!$B$10)*Comparison!$B$7</f>
        <v>-16.49950511118945</v>
      </c>
      <c r="G678" s="20">
        <f>Comparison!$B$11+(D678-Comparison!$B$11)*Comparison!$B$7</f>
        <v>-39.413928673866018</v>
      </c>
    </row>
    <row r="679" spans="1:7">
      <c r="A679" s="18">
        <f>'Raw Data'!A679</f>
        <v>857</v>
      </c>
      <c r="B679" s="20">
        <f>'Raw Data'!C679</f>
        <v>22.580399807906179</v>
      </c>
      <c r="C679" s="20">
        <f>'Raw Data'!F679</f>
        <v>-15.245938301086426</v>
      </c>
      <c r="D679" s="20">
        <f>'Raw Data'!G679</f>
        <v>-40.524188995361328</v>
      </c>
      <c r="E679" s="20">
        <f>'Raw Data'!H679</f>
        <v>7.8053704185874366</v>
      </c>
      <c r="F679" s="20">
        <f>Comparison!$B$10+(C679-Comparison!$B$10)*Comparison!$B$7</f>
        <v>-17.303186346343395</v>
      </c>
      <c r="G679" s="20">
        <f>Comparison!$B$11+(D679-Comparison!$B$11)*Comparison!$B$7</f>
        <v>-40.538479451146372</v>
      </c>
    </row>
    <row r="680" spans="1:7">
      <c r="A680" s="18">
        <f>'Raw Data'!A680</f>
        <v>858</v>
      </c>
      <c r="B680" s="20">
        <f>'Raw Data'!C680</f>
        <v>22.613749165908402</v>
      </c>
      <c r="C680" s="20">
        <f>'Raw Data'!F680</f>
        <v>-14.151363372802734</v>
      </c>
      <c r="D680" s="20">
        <f>'Raw Data'!G680</f>
        <v>-41.062824249267578</v>
      </c>
      <c r="E680" s="20">
        <f>'Raw Data'!H680</f>
        <v>7.6754392610174982</v>
      </c>
      <c r="F680" s="20">
        <f>Comparison!$B$10+(C680-Comparison!$B$10)*Comparison!$B$7</f>
        <v>-16.144774781529264</v>
      </c>
      <c r="G680" s="20">
        <f>Comparison!$B$11+(D680-Comparison!$B$11)*Comparison!$B$7</f>
        <v>-41.108528418301113</v>
      </c>
    </row>
    <row r="681" spans="1:7">
      <c r="A681" s="18">
        <f>'Raw Data'!A681</f>
        <v>859</v>
      </c>
      <c r="B681" s="20">
        <f>'Raw Data'!C681</f>
        <v>22.647098523910625</v>
      </c>
      <c r="C681" s="20">
        <f>'Raw Data'!F681</f>
        <v>-14.215549468994141</v>
      </c>
      <c r="D681" s="20">
        <f>'Raw Data'!G681</f>
        <v>-41.933540344238281</v>
      </c>
      <c r="E681" s="20">
        <f>'Raw Data'!H681</f>
        <v>7.6239347605278427</v>
      </c>
      <c r="F681" s="20">
        <f>Comparison!$B$10+(C681-Comparison!$B$10)*Comparison!$B$7</f>
        <v>-16.212704271057213</v>
      </c>
      <c r="G681" s="20">
        <f>Comparison!$B$11+(D681-Comparison!$B$11)*Comparison!$B$7</f>
        <v>-42.030025492663519</v>
      </c>
    </row>
    <row r="682" spans="1:7">
      <c r="A682" s="18">
        <f>'Raw Data'!A682</f>
        <v>860</v>
      </c>
      <c r="B682" s="20">
        <f>'Raw Data'!C682</f>
        <v>22.680447881912851</v>
      </c>
      <c r="C682" s="20">
        <f>'Raw Data'!F682</f>
        <v>-13.963865280151367</v>
      </c>
      <c r="D682" s="20">
        <f>'Raw Data'!G682</f>
        <v>-42.565834045410156</v>
      </c>
      <c r="E682" s="20">
        <f>'Raw Data'!H682</f>
        <v>7.6875871545503252</v>
      </c>
      <c r="F682" s="20">
        <f>Comparison!$B$10+(C682-Comparison!$B$10)*Comparison!$B$7</f>
        <v>-15.946341624240979</v>
      </c>
      <c r="G682" s="20">
        <f>Comparison!$B$11+(D682-Comparison!$B$11)*Comparison!$B$7</f>
        <v>-42.699195155580178</v>
      </c>
    </row>
    <row r="683" spans="1:7">
      <c r="A683" s="18">
        <f>'Raw Data'!A683</f>
        <v>861</v>
      </c>
      <c r="B683" s="20">
        <f>'Raw Data'!C683</f>
        <v>22.713797239915074</v>
      </c>
      <c r="C683" s="20">
        <f>'Raw Data'!F683</f>
        <v>-12.67519474029541</v>
      </c>
      <c r="D683" s="20">
        <f>'Raw Data'!G683</f>
        <v>-42.718704223632813</v>
      </c>
      <c r="E683" s="20">
        <f>'Raw Data'!H683</f>
        <v>7.5074482742126314</v>
      </c>
      <c r="F683" s="20">
        <f>Comparison!$B$10+(C683-Comparison!$B$10)*Comparison!$B$7</f>
        <v>-14.582514609725713</v>
      </c>
      <c r="G683" s="20">
        <f>Comparison!$B$11+(D683-Comparison!$B$11)*Comparison!$B$7</f>
        <v>-42.860980865989241</v>
      </c>
    </row>
    <row r="684" spans="1:7">
      <c r="A684" s="18">
        <f>'Raw Data'!A684</f>
        <v>862</v>
      </c>
      <c r="B684" s="20">
        <f>'Raw Data'!C684</f>
        <v>22.7471465979173</v>
      </c>
      <c r="C684" s="20">
        <f>'Raw Data'!F684</f>
        <v>-11.744038581848145</v>
      </c>
      <c r="D684" s="20">
        <f>'Raw Data'!G684</f>
        <v>-42.810466766357422</v>
      </c>
      <c r="E684" s="20">
        <f>'Raw Data'!H684</f>
        <v>7.5184886452864435</v>
      </c>
      <c r="F684" s="20">
        <f>Comparison!$B$10+(C684-Comparison!$B$10)*Comparison!$B$7</f>
        <v>-13.597052550691927</v>
      </c>
      <c r="G684" s="20">
        <f>Comparison!$B$11+(D684-Comparison!$B$11)*Comparison!$B$7</f>
        <v>-42.958095086278952</v>
      </c>
    </row>
    <row r="685" spans="1:7">
      <c r="A685" s="18">
        <f>'Raw Data'!A685</f>
        <v>863</v>
      </c>
      <c r="B685" s="20">
        <f>'Raw Data'!C685</f>
        <v>22.780495955919523</v>
      </c>
      <c r="C685" s="20">
        <f>'Raw Data'!F685</f>
        <v>-10.890717506408691</v>
      </c>
      <c r="D685" s="20">
        <f>'Raw Data'!G685</f>
        <v>-42.879951477050781</v>
      </c>
      <c r="E685" s="20">
        <f>'Raw Data'!H685</f>
        <v>7.5129704877391674</v>
      </c>
      <c r="F685" s="20">
        <f>Comparison!$B$10+(C685-Comparison!$B$10)*Comparison!$B$7</f>
        <v>-12.693964989716392</v>
      </c>
      <c r="G685" s="20">
        <f>Comparison!$B$11+(D685-Comparison!$B$11)*Comparison!$B$7</f>
        <v>-43.031632210476708</v>
      </c>
    </row>
    <row r="686" spans="1:7">
      <c r="A686" s="18">
        <f>'Raw Data'!A686</f>
        <v>864</v>
      </c>
      <c r="B686" s="20">
        <f>'Raw Data'!C686</f>
        <v>22.813845313921746</v>
      </c>
      <c r="C686" s="20">
        <f>'Raw Data'!F686</f>
        <v>-9.9235992431640625</v>
      </c>
      <c r="D686" s="20">
        <f>'Raw Data'!G686</f>
        <v>-42.972694396972656</v>
      </c>
      <c r="E686" s="20">
        <f>'Raw Data'!H686</f>
        <v>7.4867036966376359</v>
      </c>
      <c r="F686" s="20">
        <f>Comparison!$B$10+(C686-Comparison!$B$10)*Comparison!$B$7</f>
        <v>-11.670443482200948</v>
      </c>
      <c r="G686" s="20">
        <f>Comparison!$B$11+(D686-Comparison!$B$11)*Comparison!$B$7</f>
        <v>-43.129783984481428</v>
      </c>
    </row>
    <row r="687" spans="1:7">
      <c r="A687" s="18">
        <f>'Raw Data'!A687</f>
        <v>865</v>
      </c>
      <c r="B687" s="20">
        <f>'Raw Data'!C687</f>
        <v>22.847194671923972</v>
      </c>
      <c r="C687" s="20">
        <f>'Raw Data'!F687</f>
        <v>-9.1942310333251953</v>
      </c>
      <c r="D687" s="20">
        <f>'Raw Data'!G687</f>
        <v>-43.010688781738281</v>
      </c>
      <c r="E687" s="20">
        <f>'Raw Data'!H687</f>
        <v>7.4672900963088642</v>
      </c>
      <c r="F687" s="20">
        <f>Comparison!$B$10+(C687-Comparison!$B$10)*Comparison!$B$7</f>
        <v>-10.898537834215798</v>
      </c>
      <c r="G687" s="20">
        <f>Comparison!$B$11+(D687-Comparison!$B$11)*Comparison!$B$7</f>
        <v>-43.169994237405376</v>
      </c>
    </row>
    <row r="688" spans="1:7">
      <c r="A688" s="18">
        <f>'Raw Data'!A688</f>
        <v>866</v>
      </c>
      <c r="B688" s="20">
        <f>'Raw Data'!C688</f>
        <v>22.880544029926195</v>
      </c>
      <c r="C688" s="20">
        <f>'Raw Data'!F688</f>
        <v>-8.2963943481445313</v>
      </c>
      <c r="D688" s="20">
        <f>'Raw Data'!G688</f>
        <v>-43.102554321289063</v>
      </c>
      <c r="E688" s="20">
        <f>'Raw Data'!H688</f>
        <v>7.5775550526315625</v>
      </c>
      <c r="F688" s="20">
        <f>Comparison!$B$10+(C688-Comparison!$B$10)*Comparison!$B$7</f>
        <v>-9.9483384713832343</v>
      </c>
      <c r="G688" s="20">
        <f>Comparison!$B$11+(D688-Comparison!$B$11)*Comparison!$B$7</f>
        <v>-43.267217461392768</v>
      </c>
    </row>
    <row r="689" spans="1:7">
      <c r="A689" s="18">
        <f>'Raw Data'!A689</f>
        <v>867</v>
      </c>
      <c r="B689" s="20">
        <f>'Raw Data'!C689</f>
        <v>22.913893387928422</v>
      </c>
      <c r="C689" s="20">
        <f>'Raw Data'!F689</f>
        <v>-7.3268070220947266</v>
      </c>
      <c r="D689" s="20">
        <f>'Raw Data'!G689</f>
        <v>-43.255710601806641</v>
      </c>
      <c r="E689" s="20">
        <f>'Raw Data'!H689</f>
        <v>7.4922412001289125</v>
      </c>
      <c r="F689" s="20">
        <f>Comparison!$B$10+(C689-Comparison!$B$10)*Comparison!$B$7</f>
        <v>-8.9222039030038331</v>
      </c>
      <c r="G689" s="20">
        <f>Comparison!$B$11+(D689-Comparison!$B$11)*Comparison!$B$7</f>
        <v>-43.429305959850957</v>
      </c>
    </row>
    <row r="690" spans="1:7">
      <c r="A690" s="18">
        <f>'Raw Data'!A690</f>
        <v>868</v>
      </c>
      <c r="B690" s="20">
        <f>'Raw Data'!C690</f>
        <v>22.947242745930645</v>
      </c>
      <c r="C690" s="20">
        <f>'Raw Data'!F690</f>
        <v>-6.8885784149169922</v>
      </c>
      <c r="D690" s="20">
        <f>'Raw Data'!G690</f>
        <v>-43.340427398681641</v>
      </c>
      <c r="E690" s="20">
        <f>'Raw Data'!H690</f>
        <v>7.4977746138818162</v>
      </c>
      <c r="F690" s="20">
        <f>Comparison!$B$10+(C690-Comparison!$B$10)*Comparison!$B$7</f>
        <v>-8.4584173923963988</v>
      </c>
      <c r="G690" s="20">
        <f>Comparison!$B$11+(D690-Comparison!$B$11)*Comparison!$B$7</f>
        <v>-43.518963519784187</v>
      </c>
    </row>
    <row r="691" spans="1:7">
      <c r="A691" s="18">
        <f>'Raw Data'!A691</f>
        <v>869</v>
      </c>
      <c r="B691" s="20">
        <f>'Raw Data'!C691</f>
        <v>22.980592103932867</v>
      </c>
      <c r="C691" s="20">
        <f>'Raw Data'!F691</f>
        <v>-6.2218899726867676</v>
      </c>
      <c r="D691" s="20">
        <f>'Raw Data'!G691</f>
        <v>-43.471935272216797</v>
      </c>
      <c r="E691" s="20">
        <f>'Raw Data'!H691</f>
        <v>7.5184886452864435</v>
      </c>
      <c r="F691" s="20">
        <f>Comparison!$B$10+(C691-Comparison!$B$10)*Comparison!$B$7</f>
        <v>-7.7528470548605455</v>
      </c>
      <c r="G691" s="20">
        <f>Comparison!$B$11+(D691-Comparison!$B$11)*Comparison!$B$7</f>
        <v>-43.658141055858501</v>
      </c>
    </row>
    <row r="692" spans="1:7">
      <c r="A692" s="18">
        <f>'Raw Data'!A692</f>
        <v>870</v>
      </c>
      <c r="B692" s="20">
        <f>'Raw Data'!C692</f>
        <v>23.013941461935094</v>
      </c>
      <c r="C692" s="20">
        <f>'Raw Data'!F692</f>
        <v>-5.4592814445495605</v>
      </c>
      <c r="D692" s="20">
        <f>'Raw Data'!G692</f>
        <v>-43.540599822998047</v>
      </c>
      <c r="E692" s="20">
        <f>'Raw Data'!H692</f>
        <v>7.5720799398844596</v>
      </c>
      <c r="F692" s="20">
        <f>Comparison!$B$10+(C692-Comparison!$B$10)*Comparison!$B$7</f>
        <v>-6.9457624820344286</v>
      </c>
      <c r="G692" s="20">
        <f>Comparison!$B$11+(D692-Comparison!$B$11)*Comparison!$B$7</f>
        <v>-43.730810187648764</v>
      </c>
    </row>
    <row r="693" spans="1:7">
      <c r="A693" s="18">
        <f>'Raw Data'!A693</f>
        <v>871</v>
      </c>
      <c r="B693" s="20">
        <f>'Raw Data'!C693</f>
        <v>23.047290819937317</v>
      </c>
      <c r="C693" s="20">
        <f>'Raw Data'!F693</f>
        <v>-3.6457281112670898</v>
      </c>
      <c r="D693" s="20">
        <f>'Raw Data'!G693</f>
        <v>-43.381210327148438</v>
      </c>
      <c r="E693" s="20">
        <f>'Raw Data'!H693</f>
        <v>7.5088292083315888</v>
      </c>
      <c r="F693" s="20">
        <f>Comparison!$B$10+(C693-Comparison!$B$10)*Comparison!$B$7</f>
        <v>-5.0264410172391685</v>
      </c>
      <c r="G693" s="20">
        <f>Comparison!$B$11+(D693-Comparison!$B$11)*Comparison!$B$7</f>
        <v>-43.562124946893618</v>
      </c>
    </row>
    <row r="694" spans="1:7">
      <c r="A694" s="18">
        <f>'Raw Data'!A694</f>
        <v>872</v>
      </c>
      <c r="B694" s="20">
        <f>'Raw Data'!C694</f>
        <v>23.080640177939543</v>
      </c>
      <c r="C694" s="20">
        <f>'Raw Data'!F694</f>
        <v>-1.9081379175186157</v>
      </c>
      <c r="D694" s="20">
        <f>'Raw Data'!G694</f>
        <v>-43.253231048583984</v>
      </c>
      <c r="E694" s="20">
        <f>'Raw Data'!H694</f>
        <v>7.5267582961586736</v>
      </c>
      <c r="F694" s="20">
        <f>Comparison!$B$10+(C694-Comparison!$B$10)*Comparison!$B$7</f>
        <v>-3.1875129335290637</v>
      </c>
      <c r="G694" s="20">
        <f>Comparison!$B$11+(D694-Comparison!$B$11)*Comparison!$B$7</f>
        <v>-43.42668179675853</v>
      </c>
    </row>
    <row r="695" spans="1:7">
      <c r="A695" s="18">
        <f>'Raw Data'!A695</f>
        <v>873</v>
      </c>
      <c r="B695" s="20">
        <f>'Raw Data'!C695</f>
        <v>23.113989535941766</v>
      </c>
      <c r="C695" s="20">
        <f>'Raw Data'!F695</f>
        <v>-0.74807024002075195</v>
      </c>
      <c r="D695" s="20">
        <f>'Raw Data'!G695</f>
        <v>-43.222202301025391</v>
      </c>
      <c r="E695" s="20">
        <f>'Raw Data'!H695</f>
        <v>7.53777038441185</v>
      </c>
      <c r="F695" s="20">
        <f>Comparison!$B$10+(C695-Comparison!$B$10)*Comparison!$B$7</f>
        <v>-1.9597890209342985</v>
      </c>
      <c r="G695" s="20">
        <f>Comparison!$B$11+(D695-Comparison!$B$11)*Comparison!$B$7</f>
        <v>-43.393843423537305</v>
      </c>
    </row>
    <row r="696" spans="1:7">
      <c r="A696" s="18">
        <f>'Raw Data'!A696</f>
        <v>874</v>
      </c>
      <c r="B696" s="20">
        <f>'Raw Data'!C696</f>
        <v>23.147338893943989</v>
      </c>
      <c r="C696" s="20">
        <f>'Raw Data'!F696</f>
        <v>0.35032874345779419</v>
      </c>
      <c r="D696" s="20">
        <f>'Raw Data'!G696</f>
        <v>-43.157749176025391</v>
      </c>
      <c r="E696" s="20">
        <f>'Raw Data'!H696</f>
        <v>7.5129704877391674</v>
      </c>
      <c r="F696" s="20">
        <f>Comparison!$B$10+(C696-Comparison!$B$10)*Comparison!$B$7</f>
        <v>-0.79733037843938348</v>
      </c>
      <c r="G696" s="20">
        <f>Comparison!$B$11+(D696-Comparison!$B$11)*Comparison!$B$7</f>
        <v>-43.325631331830181</v>
      </c>
    </row>
    <row r="697" spans="1:7">
      <c r="A697" s="18">
        <f>'Raw Data'!A697</f>
        <v>875</v>
      </c>
      <c r="B697" s="20">
        <f>'Raw Data'!C697</f>
        <v>23.180688251946215</v>
      </c>
      <c r="C697" s="20">
        <f>'Raw Data'!F697</f>
        <v>1.630568265914917</v>
      </c>
      <c r="D697" s="20">
        <f>'Raw Data'!G697</f>
        <v>-42.983364105224609</v>
      </c>
      <c r="E697" s="20">
        <f>'Raw Data'!H697</f>
        <v>7.5898596156253433</v>
      </c>
      <c r="F697" s="20">
        <f>Comparison!$B$10+(C697-Comparison!$B$10)*Comparison!$B$7</f>
        <v>0.55757391383404098</v>
      </c>
      <c r="G697" s="20">
        <f>Comparison!$B$11+(D697-Comparison!$B$11)*Comparison!$B$7</f>
        <v>-43.141075960126834</v>
      </c>
    </row>
    <row r="698" spans="1:7">
      <c r="A698" s="18">
        <f>'Raw Data'!A698</f>
        <v>876</v>
      </c>
      <c r="B698" s="20">
        <f>'Raw Data'!C698</f>
        <v>23.214037609948438</v>
      </c>
      <c r="C698" s="20">
        <f>'Raw Data'!F698</f>
        <v>2.9192330837249756</v>
      </c>
      <c r="D698" s="20">
        <f>'Raw Data'!G698</f>
        <v>-42.984062194824219</v>
      </c>
      <c r="E698" s="20">
        <f>'Raw Data'!H698</f>
        <v>7.5060670860353254</v>
      </c>
      <c r="F698" s="20">
        <f>Comparison!$B$10+(C698-Comparison!$B$10)*Comparison!$B$7</f>
        <v>1.9213948725883192</v>
      </c>
      <c r="G698" s="20">
        <f>Comparison!$B$11+(D698-Comparison!$B$11)*Comparison!$B$7</f>
        <v>-43.141814762966703</v>
      </c>
    </row>
    <row r="699" spans="1:7">
      <c r="A699" s="18">
        <f>'Raw Data'!A699</f>
        <v>877</v>
      </c>
      <c r="B699" s="20">
        <f>'Raw Data'!C699</f>
        <v>23.247386967950664</v>
      </c>
      <c r="C699" s="20">
        <f>'Raw Data'!F699</f>
        <v>4.0703082084655762</v>
      </c>
      <c r="D699" s="20">
        <f>'Raw Data'!G699</f>
        <v>-43.003101348876953</v>
      </c>
      <c r="E699" s="20">
        <f>'Raw Data'!H699</f>
        <v>7.4922412001289125</v>
      </c>
      <c r="F699" s="20">
        <f>Comparison!$B$10+(C699-Comparison!$B$10)*Comparison!$B$7</f>
        <v>3.1396017783139918</v>
      </c>
      <c r="G699" s="20">
        <f>Comparison!$B$11+(D699-Comparison!$B$11)*Comparison!$B$7</f>
        <v>-43.161964298342546</v>
      </c>
    </row>
    <row r="700" spans="1:7">
      <c r="A700" s="18">
        <f>'Raw Data'!A700</f>
        <v>878</v>
      </c>
      <c r="B700" s="20">
        <f>'Raw Data'!C700</f>
        <v>23.280736325952887</v>
      </c>
      <c r="C700" s="20">
        <f>'Raw Data'!F700</f>
        <v>4.8063821792602539</v>
      </c>
      <c r="D700" s="20">
        <f>'Raw Data'!G700</f>
        <v>-43.01129150390625</v>
      </c>
      <c r="E700" s="20">
        <f>'Raw Data'!H700</f>
        <v>7.5226246070801173</v>
      </c>
      <c r="F700" s="20">
        <f>Comparison!$B$10+(C700-Comparison!$B$10)*Comparison!$B$7</f>
        <v>3.9186042735239113</v>
      </c>
      <c r="G700" s="20">
        <f>Comparison!$B$11+(D700-Comparison!$B$11)*Comparison!$B$7</f>
        <v>-43.170632110895532</v>
      </c>
    </row>
    <row r="701" spans="1:7">
      <c r="A701" s="18">
        <f>'Raw Data'!A701</f>
        <v>879</v>
      </c>
      <c r="B701" s="20">
        <f>'Raw Data'!C701</f>
        <v>23.31408568395511</v>
      </c>
      <c r="C701" s="20">
        <f>'Raw Data'!F701</f>
        <v>5.900177001953125</v>
      </c>
      <c r="D701" s="20">
        <f>'Raw Data'!G701</f>
        <v>-43.055744171142578</v>
      </c>
      <c r="E701" s="20">
        <f>'Raw Data'!H701</f>
        <v>7.5925912549492098</v>
      </c>
      <c r="F701" s="20">
        <f>Comparison!$B$10+(C701-Comparison!$B$10)*Comparison!$B$7</f>
        <v>5.0761902362574194</v>
      </c>
      <c r="G701" s="20">
        <f>Comparison!$B$11+(D701-Comparison!$B$11)*Comparison!$B$7</f>
        <v>-43.217677299381755</v>
      </c>
    </row>
    <row r="702" spans="1:7">
      <c r="A702" s="18">
        <f>'Raw Data'!A702</f>
        <v>880</v>
      </c>
      <c r="B702" s="20">
        <f>'Raw Data'!C702</f>
        <v>23.347435041957336</v>
      </c>
      <c r="C702" s="20">
        <f>'Raw Data'!F702</f>
        <v>6.8922309875488281</v>
      </c>
      <c r="D702" s="20">
        <f>'Raw Data'!G702</f>
        <v>-43.082366943359375</v>
      </c>
      <c r="E702" s="20">
        <f>'Raw Data'!H702</f>
        <v>7.5446447774360612</v>
      </c>
      <c r="F702" s="20">
        <f>Comparison!$B$10+(C702-Comparison!$B$10)*Comparison!$B$7</f>
        <v>6.1261017408411966</v>
      </c>
      <c r="G702" s="20">
        <f>Comparison!$B$11+(D702-Comparison!$B$11)*Comparison!$B$7</f>
        <v>-43.245852736646434</v>
      </c>
    </row>
    <row r="703" spans="1:7">
      <c r="A703" s="18">
        <f>'Raw Data'!A703</f>
        <v>881</v>
      </c>
      <c r="B703" s="20">
        <f>'Raw Data'!C703</f>
        <v>23.380784399959559</v>
      </c>
      <c r="C703" s="20">
        <f>'Raw Data'!F703</f>
        <v>7.5710372924804688</v>
      </c>
      <c r="D703" s="20">
        <f>'Raw Data'!G703</f>
        <v>-43.080833435058594</v>
      </c>
      <c r="E703" s="20">
        <f>'Raw Data'!H703</f>
        <v>7.4880884564195043</v>
      </c>
      <c r="F703" s="20">
        <f>Comparison!$B$10+(C703-Comparison!$B$10)*Comparison!$B$7</f>
        <v>6.8444966661977862</v>
      </c>
      <c r="G703" s="20">
        <f>Comparison!$B$11+(D703-Comparison!$B$11)*Comparison!$B$7</f>
        <v>-43.244229792703116</v>
      </c>
    </row>
    <row r="704" spans="1:7">
      <c r="A704" s="18">
        <f>'Raw Data'!A704</f>
        <v>882</v>
      </c>
      <c r="B704" s="20">
        <f>'Raw Data'!C704</f>
        <v>23.414133757961785</v>
      </c>
      <c r="C704" s="20">
        <f>'Raw Data'!F704</f>
        <v>8.557225227355957</v>
      </c>
      <c r="D704" s="20">
        <f>'Raw Data'!G704</f>
        <v>-43.031948089599609</v>
      </c>
      <c r="E704" s="20">
        <f>'Raw Data'!H704</f>
        <v>7.5884934272215778</v>
      </c>
      <c r="F704" s="20">
        <f>Comparison!$B$10+(C704-Comparison!$B$10)*Comparison!$B$7</f>
        <v>7.8882000064809805</v>
      </c>
      <c r="G704" s="20">
        <f>Comparison!$B$11+(D704-Comparison!$B$11)*Comparison!$B$7</f>
        <v>-43.192493408042438</v>
      </c>
    </row>
    <row r="705" spans="1:7">
      <c r="A705" s="18">
        <f>'Raw Data'!A705</f>
        <v>883</v>
      </c>
      <c r="B705" s="20">
        <f>'Raw Data'!C705</f>
        <v>23.447483115964008</v>
      </c>
      <c r="C705" s="20">
        <f>'Raw Data'!F705</f>
        <v>9.4002704620361328</v>
      </c>
      <c r="D705" s="20">
        <f>'Raw Data'!G705</f>
        <v>-43.053466796875</v>
      </c>
      <c r="E705" s="20">
        <f>'Raw Data'!H705</f>
        <v>7.5501397852857473</v>
      </c>
      <c r="F705" s="20">
        <f>Comparison!$B$10+(C705-Comparison!$B$10)*Comparison!$B$7</f>
        <v>8.7804124300254038</v>
      </c>
      <c r="G705" s="20">
        <f>Comparison!$B$11+(D705-Comparison!$B$11)*Comparison!$B$7</f>
        <v>-43.215267106510709</v>
      </c>
    </row>
    <row r="706" spans="1:7">
      <c r="A706" s="18">
        <f>'Raw Data'!A706</f>
        <v>884</v>
      </c>
      <c r="B706" s="20">
        <f>'Raw Data'!C706</f>
        <v>23.480832473966231</v>
      </c>
      <c r="C706" s="20">
        <f>'Raw Data'!F706</f>
        <v>10.443286895751953</v>
      </c>
      <c r="D706" s="20">
        <f>'Raw Data'!G706</f>
        <v>-43.261993408203125</v>
      </c>
      <c r="E706" s="20">
        <f>'Raw Data'!H706</f>
        <v>7.5652304767550733</v>
      </c>
      <c r="F706" s="20">
        <f>Comparison!$B$10+(C706-Comparison!$B$10)*Comparison!$B$7</f>
        <v>9.8842585605065167</v>
      </c>
      <c r="G706" s="20">
        <f>Comparison!$B$11+(D706-Comparison!$B$11)*Comparison!$B$7</f>
        <v>-43.435955185409767</v>
      </c>
    </row>
    <row r="707" spans="1:7">
      <c r="A707" s="18">
        <f>'Raw Data'!A707</f>
        <v>885</v>
      </c>
      <c r="B707" s="20">
        <f>'Raw Data'!C707</f>
        <v>23.514181831968457</v>
      </c>
      <c r="C707" s="20">
        <f>'Raw Data'!F707</f>
        <v>11.196972846984863</v>
      </c>
      <c r="D707" s="20">
        <f>'Raw Data'!G707</f>
        <v>-43.213573455810547</v>
      </c>
      <c r="E707" s="20">
        <f>'Raw Data'!H707</f>
        <v>7.5857603122662898</v>
      </c>
      <c r="F707" s="20">
        <f>Comparison!$B$10+(C707-Comparison!$B$10)*Comparison!$B$7</f>
        <v>10.681900183373887</v>
      </c>
      <c r="G707" s="20">
        <f>Comparison!$B$11+(D707-Comparison!$B$11)*Comparison!$B$7</f>
        <v>-43.384711335975666</v>
      </c>
    </row>
    <row r="708" spans="1:7">
      <c r="A708" s="18">
        <f>'Raw Data'!A708</f>
        <v>886</v>
      </c>
      <c r="B708" s="20">
        <f>'Raw Data'!C708</f>
        <v>23.54753118997068</v>
      </c>
      <c r="C708" s="20">
        <f>'Raw Data'!F708</f>
        <v>11.937195777893066</v>
      </c>
      <c r="D708" s="20">
        <f>'Raw Data'!G708</f>
        <v>-43.174957275390625</v>
      </c>
      <c r="E708" s="20">
        <f>'Raw Data'!H708</f>
        <v>7.5816587924680601</v>
      </c>
      <c r="F708" s="20">
        <f>Comparison!$B$10+(C708-Comparison!$B$10)*Comparison!$B$7</f>
        <v>11.465293609942881</v>
      </c>
      <c r="G708" s="20">
        <f>Comparison!$B$11+(D708-Comparison!$B$11)*Comparison!$B$7</f>
        <v>-43.343843023691619</v>
      </c>
    </row>
    <row r="709" spans="1:7">
      <c r="A709" s="18">
        <f>'Raw Data'!A709</f>
        <v>887</v>
      </c>
      <c r="B709" s="20">
        <f>'Raw Data'!C709</f>
        <v>23.580880547972907</v>
      </c>
      <c r="C709" s="20">
        <f>'Raw Data'!F709</f>
        <v>12.905876159667969</v>
      </c>
      <c r="D709" s="20">
        <f>'Raw Data'!G709</f>
        <v>-43.157447814941406</v>
      </c>
      <c r="E709" s="20">
        <f>'Raw Data'!H709</f>
        <v>7.6171319263360466</v>
      </c>
      <c r="F709" s="20">
        <f>Comparison!$B$10+(C709-Comparison!$B$10)*Comparison!$B$7</f>
        <v>12.490468340206551</v>
      </c>
      <c r="G709" s="20">
        <f>Comparison!$B$11+(D709-Comparison!$B$11)*Comparison!$B$7</f>
        <v>-43.325312395085099</v>
      </c>
    </row>
    <row r="710" spans="1:7">
      <c r="A710" s="18">
        <f>'Raw Data'!A710</f>
        <v>888</v>
      </c>
      <c r="B710" s="20">
        <f>'Raw Data'!C710</f>
        <v>23.614229905975129</v>
      </c>
      <c r="C710" s="20">
        <f>'Raw Data'!F710</f>
        <v>14.395663261413574</v>
      </c>
      <c r="D710" s="20">
        <f>'Raw Data'!G710</f>
        <v>-43.115081787109375</v>
      </c>
      <c r="E710" s="20">
        <f>'Raw Data'!H710</f>
        <v>7.5884934272215778</v>
      </c>
      <c r="F710" s="20">
        <f>Comparison!$B$10+(C710-Comparison!$B$10)*Comparison!$B$7</f>
        <v>14.067141223148505</v>
      </c>
      <c r="G710" s="20">
        <f>Comparison!$B$11+(D710-Comparison!$B$11)*Comparison!$B$7</f>
        <v>-43.280475540770503</v>
      </c>
    </row>
    <row r="711" spans="1:7">
      <c r="A711" s="18">
        <f>'Raw Data'!A711</f>
        <v>889</v>
      </c>
      <c r="B711" s="20">
        <f>'Raw Data'!C711</f>
        <v>23.647579263977352</v>
      </c>
      <c r="C711" s="20">
        <f>'Raw Data'!F711</f>
        <v>15.826153755187988</v>
      </c>
      <c r="D711" s="20">
        <f>'Raw Data'!G711</f>
        <v>-43.056606292724609</v>
      </c>
      <c r="E711" s="20">
        <f>'Raw Data'!H711</f>
        <v>7.598051587373746</v>
      </c>
      <c r="F711" s="20">
        <f>Comparison!$B$10+(C711-Comparison!$B$10)*Comparison!$B$7</f>
        <v>15.58105926432208</v>
      </c>
      <c r="G711" s="20">
        <f>Comparison!$B$11+(D711-Comparison!$B$11)*Comparison!$B$7</f>
        <v>-43.21858970070312</v>
      </c>
    </row>
    <row r="712" spans="1:7">
      <c r="A712" s="18">
        <f>'Raw Data'!A712</f>
        <v>890</v>
      </c>
      <c r="B712" s="20">
        <f>'Raw Data'!C712</f>
        <v>23.680928621979579</v>
      </c>
      <c r="C712" s="20">
        <f>'Raw Data'!F712</f>
        <v>16.751365661621094</v>
      </c>
      <c r="D712" s="20">
        <f>'Raw Data'!G712</f>
        <v>-43.069480895996094</v>
      </c>
      <c r="E712" s="20">
        <f>'Raw Data'!H712</f>
        <v>7.5556307967645031</v>
      </c>
      <c r="F712" s="20">
        <f>Comparison!$B$10+(C712-Comparison!$B$10)*Comparison!$B$7</f>
        <v>16.560230396988526</v>
      </c>
      <c r="G712" s="20">
        <f>Comparison!$B$11+(D712-Comparison!$B$11)*Comparison!$B$7</f>
        <v>-43.232215162913796</v>
      </c>
    </row>
    <row r="713" spans="1:7">
      <c r="A713" s="18">
        <f>'Raw Data'!A713</f>
        <v>891</v>
      </c>
      <c r="B713" s="20">
        <f>'Raw Data'!C713</f>
        <v>23.714277979981802</v>
      </c>
      <c r="C713" s="20">
        <f>'Raw Data'!F713</f>
        <v>17.856821060180664</v>
      </c>
      <c r="D713" s="20">
        <f>'Raw Data'!G713</f>
        <v>-43.225490570068359</v>
      </c>
      <c r="E713" s="20">
        <f>'Raw Data'!H713</f>
        <v>7.6103230111231834</v>
      </c>
      <c r="F713" s="20">
        <f>Comparison!$B$10+(C713-Comparison!$B$10)*Comparison!$B$7</f>
        <v>17.73015699131092</v>
      </c>
      <c r="G713" s="20">
        <f>Comparison!$B$11+(D713-Comparison!$B$11)*Comparison!$B$7</f>
        <v>-43.397323467515264</v>
      </c>
    </row>
    <row r="714" spans="1:7">
      <c r="A714" s="18">
        <f>'Raw Data'!A714</f>
        <v>892</v>
      </c>
      <c r="B714" s="20">
        <f>'Raw Data'!C714</f>
        <v>23.747627337984028</v>
      </c>
      <c r="C714" s="20">
        <f>'Raw Data'!F714</f>
        <v>19.079261779785156</v>
      </c>
      <c r="D714" s="20">
        <f>'Raw Data'!G714</f>
        <v>-43.277004241943359</v>
      </c>
      <c r="E714" s="20">
        <f>'Raw Data'!H714</f>
        <v>7.5556307967645031</v>
      </c>
      <c r="F714" s="20">
        <f>Comparison!$B$10+(C714-Comparison!$B$10)*Comparison!$B$7</f>
        <v>19.023891600333982</v>
      </c>
      <c r="G714" s="20">
        <f>Comparison!$B$11+(D714-Comparison!$B$11)*Comparison!$B$7</f>
        <v>-43.451841465053917</v>
      </c>
    </row>
    <row r="715" spans="1:7">
      <c r="A715" s="18">
        <f>'Raw Data'!A715</f>
        <v>893</v>
      </c>
      <c r="B715" s="20">
        <f>'Raw Data'!C715</f>
        <v>23.780976695986251</v>
      </c>
      <c r="C715" s="20">
        <f>'Raw Data'!F715</f>
        <v>19.531339645385742</v>
      </c>
      <c r="D715" s="20">
        <f>'Raw Data'!G715</f>
        <v>-43.286956787109375</v>
      </c>
      <c r="E715" s="20">
        <f>'Raw Data'!H715</f>
        <v>7.5432704000173461</v>
      </c>
      <c r="F715" s="20">
        <f>Comparison!$B$10+(C715-Comparison!$B$10)*Comparison!$B$7</f>
        <v>19.50233507110611</v>
      </c>
      <c r="G715" s="20">
        <f>Comparison!$B$11+(D715-Comparison!$B$11)*Comparison!$B$7</f>
        <v>-43.462374451989511</v>
      </c>
    </row>
    <row r="716" spans="1:7">
      <c r="A716" s="18">
        <f>'Raw Data'!A716</f>
        <v>894</v>
      </c>
      <c r="B716" s="20">
        <f>'Raw Data'!C716</f>
        <v>23.814326053988474</v>
      </c>
      <c r="C716" s="20">
        <f>'Raw Data'!F716</f>
        <v>20.178766250610352</v>
      </c>
      <c r="D716" s="20">
        <f>'Raw Data'!G716</f>
        <v>-43.197902679443359</v>
      </c>
      <c r="E716" s="20">
        <f>'Raw Data'!H716</f>
        <v>7.6348066872781866</v>
      </c>
      <c r="F716" s="20">
        <f>Comparison!$B$10+(C716-Comparison!$B$10)*Comparison!$B$7</f>
        <v>20.187520203234552</v>
      </c>
      <c r="G716" s="20">
        <f>Comparison!$B$11+(D716-Comparison!$B$11)*Comparison!$B$7</f>
        <v>-43.368126625231533</v>
      </c>
    </row>
    <row r="717" spans="1:7">
      <c r="A717" s="18">
        <f>'Raw Data'!A717</f>
        <v>895</v>
      </c>
      <c r="B717" s="20">
        <f>'Raw Data'!C717</f>
        <v>23.8476754119907</v>
      </c>
      <c r="C717" s="20">
        <f>'Raw Data'!F717</f>
        <v>21.285751342773438</v>
      </c>
      <c r="D717" s="20">
        <f>'Raw Data'!G717</f>
        <v>-43.248935699462891</v>
      </c>
      <c r="E717" s="20">
        <f>'Raw Data'!H717</f>
        <v>7.6388796705965873</v>
      </c>
      <c r="F717" s="20">
        <f>Comparison!$B$10+(C717-Comparison!$B$10)*Comparison!$B$7</f>
        <v>21.359065704326269</v>
      </c>
      <c r="G717" s="20">
        <f>Comparison!$B$11+(D717-Comparison!$B$11)*Comparison!$B$7</f>
        <v>-43.422135938847646</v>
      </c>
    </row>
    <row r="718" spans="1:7">
      <c r="A718" s="18">
        <f>'Raw Data'!A718</f>
        <v>896</v>
      </c>
      <c r="B718" s="20">
        <f>'Raw Data'!C718</f>
        <v>23.881024769992923</v>
      </c>
      <c r="C718" s="20">
        <f>'Raw Data'!F718</f>
        <v>22.262939453125</v>
      </c>
      <c r="D718" s="20">
        <f>'Raw Data'!G718</f>
        <v>-43.266502380371094</v>
      </c>
      <c r="E718" s="20">
        <f>'Raw Data'!H718</f>
        <v>7.5994160574552083</v>
      </c>
      <c r="F718" s="20">
        <f>Comparison!$B$10+(C718-Comparison!$B$10)*Comparison!$B$7</f>
        <v>22.393244341877455</v>
      </c>
      <c r="G718" s="20">
        <f>Comparison!$B$11+(D718-Comparison!$B$11)*Comparison!$B$7</f>
        <v>-43.440727125063994</v>
      </c>
    </row>
    <row r="719" spans="1:7">
      <c r="A719" s="18">
        <f>'Raw Data'!A719</f>
        <v>897</v>
      </c>
      <c r="B719" s="20">
        <f>'Raw Data'!C719</f>
        <v>23.914374127995149</v>
      </c>
      <c r="C719" s="20">
        <f>'Raw Data'!F719</f>
        <v>23.047138214111328</v>
      </c>
      <c r="D719" s="20">
        <f>'Raw Data'!G719</f>
        <v>-43.250347137451172</v>
      </c>
      <c r="E719" s="20">
        <f>'Raw Data'!H719</f>
        <v>7.6443069392532443</v>
      </c>
      <c r="F719" s="20">
        <f>Comparison!$B$10+(C719-Comparison!$B$10)*Comparison!$B$7</f>
        <v>23.223178310184124</v>
      </c>
      <c r="G719" s="20">
        <f>Comparison!$B$11+(D719-Comparison!$B$11)*Comparison!$B$7</f>
        <v>-43.42362969322334</v>
      </c>
    </row>
    <row r="720" spans="1:7">
      <c r="A720" s="18">
        <f>'Raw Data'!A720</f>
        <v>898</v>
      </c>
      <c r="B720" s="20">
        <f>'Raw Data'!C720</f>
        <v>23.947723485997372</v>
      </c>
      <c r="C720" s="20">
        <f>'Raw Data'!F720</f>
        <v>24.119667053222656</v>
      </c>
      <c r="D720" s="20">
        <f>'Raw Data'!G720</f>
        <v>-43.309856414794922</v>
      </c>
      <c r="E720" s="20">
        <f>'Raw Data'!H720</f>
        <v>7.5953219118456046</v>
      </c>
      <c r="F720" s="20">
        <f>Comparison!$B$10+(C720-Comparison!$B$10)*Comparison!$B$7</f>
        <v>24.358258037226094</v>
      </c>
      <c r="G720" s="20">
        <f>Comparison!$B$11+(D720-Comparison!$B$11)*Comparison!$B$7</f>
        <v>-43.486609607441565</v>
      </c>
    </row>
    <row r="721" spans="1:7">
      <c r="A721" s="18">
        <f>'Raw Data'!A721</f>
        <v>899</v>
      </c>
      <c r="B721" s="20">
        <f>'Raw Data'!C721</f>
        <v>23.981072843999595</v>
      </c>
      <c r="C721" s="20">
        <f>'Raw Data'!F721</f>
        <v>25.381507873535156</v>
      </c>
      <c r="D721" s="20">
        <f>'Raw Data'!G721</f>
        <v>-43.34954833984375</v>
      </c>
      <c r="E721" s="20">
        <f>'Raw Data'!H721</f>
        <v>7.5830262122271224</v>
      </c>
      <c r="F721" s="20">
        <f>Comparison!$B$10+(C721-Comparison!$B$10)*Comparison!$B$7</f>
        <v>25.693690597787807</v>
      </c>
      <c r="G721" s="20">
        <f>Comparison!$B$11+(D721-Comparison!$B$11)*Comparison!$B$7</f>
        <v>-43.528616402790327</v>
      </c>
    </row>
    <row r="722" spans="1:7">
      <c r="A722" s="18">
        <f>'Raw Data'!A722</f>
        <v>900</v>
      </c>
      <c r="B722" s="20">
        <f>'Raw Data'!C722</f>
        <v>24.014422202001821</v>
      </c>
      <c r="C722" s="20">
        <f>'Raw Data'!F722</f>
        <v>26.225191116333008</v>
      </c>
      <c r="D722" s="20">
        <f>'Raw Data'!G722</f>
        <v>-43.380496978759766</v>
      </c>
      <c r="E722" s="20">
        <f>'Raw Data'!H722</f>
        <v>7.5570029262222453</v>
      </c>
      <c r="F722" s="20">
        <f>Comparison!$B$10+(C722-Comparison!$B$10)*Comparison!$B$7</f>
        <v>26.586578238681781</v>
      </c>
      <c r="G722" s="20">
        <f>Comparison!$B$11+(D722-Comparison!$B$11)*Comparison!$B$7</f>
        <v>-43.561369995357794</v>
      </c>
    </row>
    <row r="723" spans="1:7">
      <c r="A723" s="18">
        <f>'Raw Data'!A723</f>
        <v>901</v>
      </c>
      <c r="B723" s="20">
        <f>'Raw Data'!C723</f>
        <v>24.047771560004044</v>
      </c>
      <c r="C723" s="20">
        <f>'Raw Data'!F723</f>
        <v>26.939353942871094</v>
      </c>
      <c r="D723" s="20">
        <f>'Raw Data'!G723</f>
        <v>-43.491256713867188</v>
      </c>
      <c r="E723" s="20">
        <f>'Raw Data'!H723</f>
        <v>7.5129704877391674</v>
      </c>
      <c r="F723" s="20">
        <f>Comparison!$B$10+(C723-Comparison!$B$10)*Comparison!$B$7</f>
        <v>27.342391711149375</v>
      </c>
      <c r="G723" s="20">
        <f>Comparison!$B$11+(D723-Comparison!$B$11)*Comparison!$B$7</f>
        <v>-43.678589342109483</v>
      </c>
    </row>
    <row r="724" spans="1:7">
      <c r="A724" s="18">
        <f>'Raw Data'!A724</f>
        <v>902</v>
      </c>
      <c r="B724" s="20">
        <f>'Raw Data'!C724</f>
        <v>24.08112091800627</v>
      </c>
      <c r="C724" s="20">
        <f>'Raw Data'!F724</f>
        <v>28.180610656738281</v>
      </c>
      <c r="D724" s="20">
        <f>'Raw Data'!G724</f>
        <v>-43.584381103515625</v>
      </c>
      <c r="E724" s="20">
        <f>'Raw Data'!H724</f>
        <v>7.6456631544576092</v>
      </c>
      <c r="F724" s="20">
        <f>Comparison!$B$10+(C724-Comparison!$B$10)*Comparison!$B$7</f>
        <v>28.656039680869963</v>
      </c>
      <c r="G724" s="20">
        <f>Comparison!$B$11+(D724-Comparison!$B$11)*Comparison!$B$7</f>
        <v>-43.777144833513034</v>
      </c>
    </row>
    <row r="725" spans="1:7">
      <c r="A725" s="18">
        <f>'Raw Data'!A725</f>
        <v>903</v>
      </c>
      <c r="B725" s="20">
        <f>'Raw Data'!C725</f>
        <v>24.114470276008493</v>
      </c>
      <c r="C725" s="20">
        <f>'Raw Data'!F725</f>
        <v>29.43608283996582</v>
      </c>
      <c r="D725" s="20">
        <f>'Raw Data'!G725</f>
        <v>-43.7056884765625</v>
      </c>
      <c r="E725" s="20">
        <f>'Raw Data'!H725</f>
        <v>7.5775550526315625</v>
      </c>
      <c r="F725" s="20">
        <f>Comparison!$B$10+(C725-Comparison!$B$10)*Comparison!$B$7</f>
        <v>29.984732179458128</v>
      </c>
      <c r="G725" s="20">
        <f>Comparison!$B$11+(D725-Comparison!$B$11)*Comparison!$B$7</f>
        <v>-43.905526966342499</v>
      </c>
    </row>
    <row r="726" spans="1:7">
      <c r="A726" s="18">
        <f>'Raw Data'!A726</f>
        <v>904</v>
      </c>
      <c r="B726" s="20">
        <f>'Raw Data'!C726</f>
        <v>24.147819634010716</v>
      </c>
      <c r="C726" s="20">
        <f>'Raw Data'!F726</f>
        <v>30.007329940795898</v>
      </c>
      <c r="D726" s="20">
        <f>'Raw Data'!G726</f>
        <v>-43.775890350341797</v>
      </c>
      <c r="E726" s="20">
        <f>'Raw Data'!H726</f>
        <v>7.5350188711300268</v>
      </c>
      <c r="F726" s="20">
        <f>Comparison!$B$10+(C726-Comparison!$B$10)*Comparison!$B$7</f>
        <v>30.589294947039257</v>
      </c>
      <c r="G726" s="20">
        <f>Comparison!$B$11+(D726-Comparison!$B$11)*Comparison!$B$7</f>
        <v>-43.979823079250068</v>
      </c>
    </row>
    <row r="727" spans="1:7">
      <c r="A727" s="18">
        <f>'Raw Data'!A727</f>
        <v>905</v>
      </c>
      <c r="B727" s="20">
        <f>'Raw Data'!C727</f>
        <v>24.181168992012942</v>
      </c>
      <c r="C727" s="20">
        <f>'Raw Data'!F727</f>
        <v>31.290660858154297</v>
      </c>
      <c r="D727" s="20">
        <f>'Raw Data'!G727</f>
        <v>-43.773586273193359</v>
      </c>
      <c r="E727" s="20">
        <f>'Raw Data'!H727</f>
        <v>7.5720799398844596</v>
      </c>
      <c r="F727" s="20">
        <f>Comparison!$B$10+(C727-Comparison!$B$10)*Comparison!$B$7</f>
        <v>31.947470927264334</v>
      </c>
      <c r="G727" s="20">
        <f>Comparison!$B$11+(D727-Comparison!$B$11)*Comparison!$B$7</f>
        <v>-43.977384626161104</v>
      </c>
    </row>
    <row r="728" spans="1:7">
      <c r="A728" s="18">
        <f>'Raw Data'!A728</f>
        <v>906</v>
      </c>
      <c r="B728" s="20">
        <f>'Raw Data'!C728</f>
        <v>24.214518350015165</v>
      </c>
      <c r="C728" s="20">
        <f>'Raw Data'!F728</f>
        <v>31.960201263427734</v>
      </c>
      <c r="D728" s="20">
        <f>'Raw Data'!G728</f>
        <v>-43.633514404296875</v>
      </c>
      <c r="E728" s="20">
        <f>'Raw Data'!H728</f>
        <v>7.5693408983986119</v>
      </c>
      <c r="F728" s="20">
        <f>Comparison!$B$10+(C728-Comparison!$B$10)*Comparison!$B$7</f>
        <v>32.656059557003225</v>
      </c>
      <c r="G728" s="20">
        <f>Comparison!$B$11+(D728-Comparison!$B$11)*Comparison!$B$7</f>
        <v>-43.829143634482953</v>
      </c>
    </row>
    <row r="729" spans="1:7">
      <c r="A729" s="18">
        <f>'Raw Data'!A729</f>
        <v>907</v>
      </c>
      <c r="B729" s="20">
        <f>'Raw Data'!C729</f>
        <v>24.247867708017392</v>
      </c>
      <c r="C729" s="20">
        <f>'Raw Data'!F729</f>
        <v>32.878013610839844</v>
      </c>
      <c r="D729" s="20">
        <f>'Raw Data'!G729</f>
        <v>-43.636611938476563</v>
      </c>
      <c r="E729" s="20">
        <f>'Raw Data'!H729</f>
        <v>7.5953219118456046</v>
      </c>
      <c r="F729" s="20">
        <f>Comparison!$B$10+(C729-Comparison!$B$10)*Comparison!$B$7</f>
        <v>33.62739958142577</v>
      </c>
      <c r="G729" s="20">
        <f>Comparison!$B$11+(D729-Comparison!$B$11)*Comparison!$B$7</f>
        <v>-43.832421819761493</v>
      </c>
    </row>
    <row r="730" spans="1:7">
      <c r="A730" s="18">
        <f>'Raw Data'!A730</f>
        <v>908</v>
      </c>
      <c r="B730" s="20">
        <f>'Raw Data'!C730</f>
        <v>24.281217066019614</v>
      </c>
      <c r="C730" s="20">
        <f>'Raw Data'!F730</f>
        <v>33.747455596923828</v>
      </c>
      <c r="D730" s="20">
        <f>'Raw Data'!G730</f>
        <v>-43.737113952636719</v>
      </c>
      <c r="E730" s="20">
        <f>'Raw Data'!H730</f>
        <v>7.563859839824401</v>
      </c>
      <c r="F730" s="20">
        <f>Comparison!$B$10+(C730-Comparison!$B$10)*Comparison!$B$7</f>
        <v>34.547548239676068</v>
      </c>
      <c r="G730" s="20">
        <f>Comparison!$B$11+(D730-Comparison!$B$11)*Comparison!$B$7</f>
        <v>-43.938785205658512</v>
      </c>
    </row>
    <row r="731" spans="1:7">
      <c r="A731" s="18">
        <f>'Raw Data'!A731</f>
        <v>909</v>
      </c>
      <c r="B731" s="20">
        <f>'Raw Data'!C731</f>
        <v>24.314566424021837</v>
      </c>
      <c r="C731" s="20">
        <f>'Raw Data'!F731</f>
        <v>35.211891174316406</v>
      </c>
      <c r="D731" s="20">
        <f>'Raw Data'!G731</f>
        <v>-43.721023559570313</v>
      </c>
      <c r="E731" s="20">
        <f>'Raw Data'!H731</f>
        <v>7.7010623395711377</v>
      </c>
      <c r="F731" s="20">
        <f>Comparison!$B$10+(C731-Comparison!$B$10)*Comparison!$B$7</f>
        <v>36.097391073584959</v>
      </c>
      <c r="G731" s="20">
        <f>Comparison!$B$11+(D731-Comparison!$B$11)*Comparison!$B$7</f>
        <v>-43.92175640577566</v>
      </c>
    </row>
    <row r="732" spans="1:7">
      <c r="A732" s="18">
        <f>'Raw Data'!A732</f>
        <v>910</v>
      </c>
      <c r="B732" s="20">
        <f>'Raw Data'!C732</f>
        <v>24.347915782024064</v>
      </c>
      <c r="C732" s="20">
        <f>'Raw Data'!F732</f>
        <v>36.059131622314453</v>
      </c>
      <c r="D732" s="20">
        <f>'Raw Data'!G732</f>
        <v>-43.666294097900391</v>
      </c>
      <c r="E732" s="20">
        <f>'Raw Data'!H732</f>
        <v>7.619853788822895</v>
      </c>
      <c r="F732" s="20">
        <f>Comparison!$B$10+(C732-Comparison!$B$10)*Comparison!$B$7</f>
        <v>36.994043379223065</v>
      </c>
      <c r="G732" s="20">
        <f>Comparison!$B$11+(D732-Comparison!$B$11)*Comparison!$B$7</f>
        <v>-43.863835070564832</v>
      </c>
    </row>
    <row r="733" spans="1:7">
      <c r="A733" s="18">
        <f>'Raw Data'!A733</f>
        <v>911</v>
      </c>
      <c r="B733" s="20">
        <f>'Raw Data'!C733</f>
        <v>24.381265140026287</v>
      </c>
      <c r="C733" s="20">
        <f>'Raw Data'!F733</f>
        <v>36.876987457275391</v>
      </c>
      <c r="D733" s="20">
        <f>'Raw Data'!G733</f>
        <v>-43.714702606201172</v>
      </c>
      <c r="E733" s="20">
        <f>'Raw Data'!H733</f>
        <v>7.5556307967645031</v>
      </c>
      <c r="F733" s="20">
        <f>Comparison!$B$10+(C733-Comparison!$B$10)*Comparison!$B$7</f>
        <v>37.859597333628926</v>
      </c>
      <c r="G733" s="20">
        <f>Comparison!$B$11+(D733-Comparison!$B$11)*Comparison!$B$7</f>
        <v>-43.915066808476965</v>
      </c>
    </row>
    <row r="734" spans="1:7">
      <c r="A734" s="18">
        <f>'Raw Data'!A734</f>
        <v>912</v>
      </c>
      <c r="B734" s="20">
        <f>'Raw Data'!C734</f>
        <v>24.414614498028513</v>
      </c>
      <c r="C734" s="20">
        <f>'Raw Data'!F734</f>
        <v>37.588558197021484</v>
      </c>
      <c r="D734" s="20">
        <f>'Raw Data'!G734</f>
        <v>-43.586715698242188</v>
      </c>
      <c r="E734" s="20">
        <f>'Raw Data'!H734</f>
        <v>7.6348066872781866</v>
      </c>
      <c r="F734" s="20">
        <f>Comparison!$B$10+(C734-Comparison!$B$10)*Comparison!$B$7</f>
        <v>38.612667546371441</v>
      </c>
      <c r="G734" s="20">
        <f>Comparison!$B$11+(D734-Comparison!$B$11)*Comparison!$B$7</f>
        <v>-43.779615583993902</v>
      </c>
    </row>
    <row r="735" spans="1:7">
      <c r="A735" s="18">
        <f>'Raw Data'!A735</f>
        <v>913</v>
      </c>
      <c r="B735" s="20">
        <f>'Raw Data'!C735</f>
        <v>24.447963856030736</v>
      </c>
      <c r="C735" s="20">
        <f>'Raw Data'!F735</f>
        <v>38.584934234619141</v>
      </c>
      <c r="D735" s="20">
        <f>'Raw Data'!G735</f>
        <v>-43.543300628662109</v>
      </c>
      <c r="E735" s="20">
        <f>'Raw Data'!H735</f>
        <v>7.6307315299623522</v>
      </c>
      <c r="F735" s="20">
        <f>Comparison!$B$10+(C735-Comparison!$B$10)*Comparison!$B$7</f>
        <v>39.667153169084017</v>
      </c>
      <c r="G735" s="20">
        <f>Comparison!$B$11+(D735-Comparison!$B$11)*Comparison!$B$7</f>
        <v>-43.733668506832515</v>
      </c>
    </row>
    <row r="736" spans="1:7">
      <c r="A736" s="18">
        <f>'Raw Data'!A736</f>
        <v>914</v>
      </c>
      <c r="B736" s="20">
        <f>'Raw Data'!C736</f>
        <v>24.481313214032959</v>
      </c>
      <c r="C736" s="20">
        <f>'Raw Data'!F736</f>
        <v>39.503158569335938</v>
      </c>
      <c r="D736" s="20">
        <f>'Raw Data'!G736</f>
        <v>-43.396091461181641</v>
      </c>
      <c r="E736" s="20">
        <f>'Raw Data'!H736</f>
        <v>7.7640824431469895</v>
      </c>
      <c r="F736" s="20">
        <f>Comparison!$B$10+(C736-Comparison!$B$10)*Comparison!$B$7</f>
        <v>40.638929208297306</v>
      </c>
      <c r="G736" s="20">
        <f>Comparison!$B$11+(D736-Comparison!$B$11)*Comparison!$B$7</f>
        <v>-43.577873962622164</v>
      </c>
    </row>
    <row r="737" spans="1:7">
      <c r="A737" s="18">
        <f>'Raw Data'!A737</f>
        <v>915</v>
      </c>
      <c r="B737" s="20">
        <f>'Raw Data'!C737</f>
        <v>24.514662572035185</v>
      </c>
      <c r="C737" s="20">
        <f>'Raw Data'!F737</f>
        <v>40.160820007324219</v>
      </c>
      <c r="D737" s="20">
        <f>'Raw Data'!G737</f>
        <v>-43.318931579589844</v>
      </c>
      <c r="E737" s="20">
        <f>'Raw Data'!H737</f>
        <v>7.6375222508309886</v>
      </c>
      <c r="F737" s="20">
        <f>Comparison!$B$10+(C737-Comparison!$B$10)*Comparison!$B$7</f>
        <v>41.334946078236484</v>
      </c>
      <c r="G737" s="20">
        <f>Comparison!$B$11+(D737-Comparison!$B$11)*Comparison!$B$7</f>
        <v>-43.496214044359846</v>
      </c>
    </row>
    <row r="738" spans="1:7">
      <c r="A738" s="18">
        <f>'Raw Data'!A738</f>
        <v>916</v>
      </c>
      <c r="B738" s="20">
        <f>'Raw Data'!C738</f>
        <v>24.548011930037408</v>
      </c>
      <c r="C738" s="20">
        <f>'Raw Data'!F738</f>
        <v>40.939937591552734</v>
      </c>
      <c r="D738" s="20">
        <f>'Raw Data'!G738</f>
        <v>-43.181385040283203</v>
      </c>
      <c r="E738" s="20">
        <f>'Raw Data'!H738</f>
        <v>7.5418957721426034</v>
      </c>
      <c r="F738" s="20">
        <f>Comparison!$B$10+(C738-Comparison!$B$10)*Comparison!$B$7</f>
        <v>42.159502530790675</v>
      </c>
      <c r="G738" s="20">
        <f>Comparison!$B$11+(D738-Comparison!$B$11)*Comparison!$B$7</f>
        <v>-43.350645661861982</v>
      </c>
    </row>
    <row r="739" spans="1:7">
      <c r="A739" s="18">
        <f>'Raw Data'!A739</f>
        <v>917</v>
      </c>
      <c r="B739" s="20">
        <f>'Raw Data'!C739</f>
        <v>24.581361288039634</v>
      </c>
      <c r="C739" s="20">
        <f>'Raw Data'!F739</f>
        <v>42.407508850097656</v>
      </c>
      <c r="D739" s="20">
        <f>'Raw Data'!G739</f>
        <v>-43.367454528808594</v>
      </c>
      <c r="E739" s="20">
        <f>'Raw Data'!H739</f>
        <v>7.5666008654044363</v>
      </c>
      <c r="F739" s="20">
        <f>Comparison!$B$10+(C739-Comparison!$B$10)*Comparison!$B$7</f>
        <v>43.712663921717983</v>
      </c>
      <c r="G739" s="20">
        <f>Comparison!$B$11+(D739-Comparison!$B$11)*Comparison!$B$7</f>
        <v>-43.547566897491635</v>
      </c>
    </row>
    <row r="740" spans="1:7">
      <c r="A740" s="18">
        <f>'Raw Data'!A740</f>
        <v>918</v>
      </c>
      <c r="B740" s="20">
        <f>'Raw Data'!C740</f>
        <v>24.614710646041857</v>
      </c>
      <c r="C740" s="20">
        <f>'Raw Data'!F740</f>
        <v>43.336761474609375</v>
      </c>
      <c r="D740" s="20">
        <f>'Raw Data'!G740</f>
        <v>-43.346645355224609</v>
      </c>
      <c r="E740" s="20">
        <f>'Raw Data'!H740</f>
        <v>7.5898596156253433</v>
      </c>
      <c r="F740" s="20">
        <f>Comparison!$B$10+(C740-Comparison!$B$10)*Comparison!$B$7</f>
        <v>44.696111430931587</v>
      </c>
      <c r="G740" s="20">
        <f>Comparison!$B$11+(D740-Comparison!$B$11)*Comparison!$B$7</f>
        <v>-43.525544113385195</v>
      </c>
    </row>
    <row r="741" spans="1:7">
      <c r="A741" s="18">
        <f>'Raw Data'!A741</f>
        <v>919</v>
      </c>
      <c r="B741" s="20">
        <f>'Raw Data'!C741</f>
        <v>24.64806000404408</v>
      </c>
      <c r="C741" s="20">
        <f>'Raw Data'!F741</f>
        <v>44.497428894042969</v>
      </c>
      <c r="D741" s="20">
        <f>'Raw Data'!G741</f>
        <v>-43.266208648681641</v>
      </c>
      <c r="E741" s="20">
        <f>'Raw Data'!H741</f>
        <v>7.53777038441185</v>
      </c>
      <c r="F741" s="20">
        <f>Comparison!$B$10+(C741-Comparison!$B$10)*Comparison!$B$7</f>
        <v>45.924470062974336</v>
      </c>
      <c r="G741" s="20">
        <f>Comparison!$B$11+(D741-Comparison!$B$11)*Comparison!$B$7</f>
        <v>-43.440416262666886</v>
      </c>
    </row>
    <row r="742" spans="1:7">
      <c r="A742" s="18">
        <f>'Raw Data'!A742</f>
        <v>920</v>
      </c>
      <c r="B742" s="20">
        <f>'Raw Data'!C742</f>
        <v>24.681409362046306</v>
      </c>
      <c r="C742" s="20">
        <f>'Raw Data'!F742</f>
        <v>45.16015625</v>
      </c>
      <c r="D742" s="20">
        <f>'Raw Data'!G742</f>
        <v>-43.046600341796875</v>
      </c>
      <c r="E742" s="20">
        <f>'Raw Data'!H742</f>
        <v>7.613047307974762</v>
      </c>
      <c r="F742" s="20">
        <f>Comparison!$B$10+(C742-Comparison!$B$10)*Comparison!$B$7</f>
        <v>46.625848299970038</v>
      </c>
      <c r="G742" s="20">
        <f>Comparison!$B$11+(D742-Comparison!$B$11)*Comparison!$B$7</f>
        <v>-43.208000193331685</v>
      </c>
    </row>
    <row r="743" spans="1:7">
      <c r="A743" s="18">
        <f>'Raw Data'!A743</f>
        <v>921</v>
      </c>
      <c r="B743" s="20">
        <f>'Raw Data'!C743</f>
        <v>24.714758720048529</v>
      </c>
      <c r="C743" s="20">
        <f>'Raw Data'!F743</f>
        <v>45.46917724609375</v>
      </c>
      <c r="D743" s="20">
        <f>'Raw Data'!G743</f>
        <v>-42.691810607910156</v>
      </c>
      <c r="E743" s="20">
        <f>'Raw Data'!H743</f>
        <v>7.6035079985526526</v>
      </c>
      <c r="F743" s="20">
        <f>Comparison!$B$10+(C743-Comparison!$B$10)*Comparison!$B$7</f>
        <v>46.952891690418134</v>
      </c>
      <c r="G743" s="20">
        <f>Comparison!$B$11+(D743-Comparison!$B$11)*Comparison!$B$7</f>
        <v>-42.832518789371385</v>
      </c>
    </row>
    <row r="744" spans="1:7">
      <c r="A744" s="18">
        <f>'Raw Data'!A744</f>
        <v>922</v>
      </c>
      <c r="B744" s="20">
        <f>'Raw Data'!C744</f>
        <v>24.748108078050755</v>
      </c>
      <c r="C744" s="20">
        <f>'Raw Data'!F744</f>
        <v>46.434310913085938</v>
      </c>
      <c r="D744" s="20">
        <f>'Raw Data'!G744</f>
        <v>-42.599700927734375</v>
      </c>
      <c r="E744" s="20">
        <f>'Raw Data'!H744</f>
        <v>7.5720799398844596</v>
      </c>
      <c r="F744" s="20">
        <f>Comparison!$B$10+(C744-Comparison!$B$10)*Comparison!$B$7</f>
        <v>47.974312858166144</v>
      </c>
      <c r="G744" s="20">
        <f>Comparison!$B$11+(D744-Comparison!$B$11)*Comparison!$B$7</f>
        <v>-42.735037186248732</v>
      </c>
    </row>
    <row r="745" spans="1:7">
      <c r="A745" s="18">
        <f>'Raw Data'!A745</f>
        <v>923</v>
      </c>
      <c r="B745" s="20">
        <f>'Raw Data'!C745</f>
        <v>24.781457436052978</v>
      </c>
      <c r="C745" s="20">
        <f>'Raw Data'!F745</f>
        <v>47.386726379394531</v>
      </c>
      <c r="D745" s="20">
        <f>'Raw Data'!G745</f>
        <v>-42.505294799804688</v>
      </c>
      <c r="E745" s="20">
        <f>'Raw Data'!H745</f>
        <v>7.613047307974762</v>
      </c>
      <c r="F745" s="20">
        <f>Comparison!$B$10+(C745-Comparison!$B$10)*Comparison!$B$7</f>
        <v>48.982274087836991</v>
      </c>
      <c r="G745" s="20">
        <f>Comparison!$B$11+(D745-Comparison!$B$11)*Comparison!$B$7</f>
        <v>-42.635125204385098</v>
      </c>
    </row>
    <row r="746" spans="1:7">
      <c r="A746" s="18">
        <f>'Raw Data'!A746</f>
        <v>924</v>
      </c>
      <c r="B746" s="20">
        <f>'Raw Data'!C746</f>
        <v>24.814806794055201</v>
      </c>
      <c r="C746" s="20">
        <f>'Raw Data'!F746</f>
        <v>47.615497589111328</v>
      </c>
      <c r="D746" s="20">
        <f>'Raw Data'!G746</f>
        <v>-42.220306396484375</v>
      </c>
      <c r="E746" s="20">
        <f>'Raw Data'!H746</f>
        <v>7.6089604969217488</v>
      </c>
      <c r="F746" s="20">
        <f>Comparison!$B$10+(C746-Comparison!$B$10)*Comparison!$B$7</f>
        <v>49.224387449092212</v>
      </c>
      <c r="G746" s="20">
        <f>Comparison!$B$11+(D746-Comparison!$B$11)*Comparison!$B$7</f>
        <v>-42.33351601006359</v>
      </c>
    </row>
    <row r="747" spans="1:7">
      <c r="A747" s="18">
        <f>'Raw Data'!A747</f>
        <v>925</v>
      </c>
      <c r="B747" s="20">
        <f>'Raw Data'!C747</f>
        <v>24.848156152057427</v>
      </c>
      <c r="C747" s="20">
        <f>'Raw Data'!F747</f>
        <v>48.364921569824219</v>
      </c>
      <c r="D747" s="20">
        <f>'Raw Data'!G747</f>
        <v>-42.023406982421875</v>
      </c>
      <c r="E747" s="20">
        <f>'Raw Data'!H747</f>
        <v>7.6632721105498076</v>
      </c>
      <c r="F747" s="20">
        <f>Comparison!$B$10+(C747-Comparison!$B$10)*Comparison!$B$7</f>
        <v>50.017518539321102</v>
      </c>
      <c r="G747" s="20">
        <f>Comparison!$B$11+(D747-Comparison!$B$11)*Comparison!$B$7</f>
        <v>-42.125133237481023</v>
      </c>
    </row>
    <row r="748" spans="1:7">
      <c r="A748" s="18">
        <f>'Raw Data'!A748</f>
        <v>926</v>
      </c>
      <c r="B748" s="20">
        <f>'Raw Data'!C748</f>
        <v>24.88150551005965</v>
      </c>
      <c r="C748" s="20">
        <f>'Raw Data'!F748</f>
        <v>49.676197052001953</v>
      </c>
      <c r="D748" s="20">
        <f>'Raw Data'!G748</f>
        <v>-42.082057952880859</v>
      </c>
      <c r="E748" s="20">
        <f>'Raw Data'!H748</f>
        <v>7.705100299652627</v>
      </c>
      <c r="F748" s="20">
        <f>Comparison!$B$10+(C748-Comparison!$B$10)*Comparison!$B$7</f>
        <v>51.405268837597816</v>
      </c>
      <c r="G748" s="20">
        <f>Comparison!$B$11+(D748-Comparison!$B$11)*Comparison!$B$7</f>
        <v>-42.18720478755187</v>
      </c>
    </row>
    <row r="749" spans="1:7">
      <c r="A749" s="18">
        <f>'Raw Data'!A749</f>
        <v>927</v>
      </c>
      <c r="B749" s="20">
        <f>'Raw Data'!C749</f>
        <v>24.914854868061877</v>
      </c>
      <c r="C749" s="20">
        <f>'Raw Data'!F749</f>
        <v>50.830036163330078</v>
      </c>
      <c r="D749" s="20">
        <f>'Raw Data'!G749</f>
        <v>-41.952785491943359</v>
      </c>
      <c r="E749" s="20">
        <f>'Raw Data'!H749</f>
        <v>7.7172015029377929</v>
      </c>
      <c r="F749" s="20">
        <f>Comparison!$B$10+(C749-Comparison!$B$10)*Comparison!$B$7</f>
        <v>52.62640092820142</v>
      </c>
      <c r="G749" s="20">
        <f>Comparison!$B$11+(D749-Comparison!$B$11)*Comparison!$B$7</f>
        <v>-42.05039303543473</v>
      </c>
    </row>
    <row r="750" spans="1:7">
      <c r="A750" s="18">
        <f>'Raw Data'!A750</f>
        <v>928</v>
      </c>
      <c r="B750" s="20">
        <f>'Raw Data'!C750</f>
        <v>24.948204226064099</v>
      </c>
      <c r="C750" s="20">
        <f>'Raw Data'!F750</f>
        <v>51.487388610839844</v>
      </c>
      <c r="D750" s="20">
        <f>'Raw Data'!G750</f>
        <v>-41.605354309082031</v>
      </c>
      <c r="E750" s="20">
        <f>'Raw Data'!H750</f>
        <v>7.6727371172051821</v>
      </c>
      <c r="F750" s="20">
        <f>Comparison!$B$10+(C750-Comparison!$B$10)*Comparison!$B$7</f>
        <v>53.322090787047543</v>
      </c>
      <c r="G750" s="20">
        <f>Comparison!$B$11+(D750-Comparison!$B$11)*Comparison!$B$7</f>
        <v>-41.682699340097962</v>
      </c>
    </row>
    <row r="751" spans="1:7">
      <c r="A751" s="18">
        <f>'Raw Data'!A751</f>
        <v>929</v>
      </c>
      <c r="B751" s="20">
        <f>'Raw Data'!C751</f>
        <v>24.981553584066322</v>
      </c>
      <c r="C751" s="20">
        <f>'Raw Data'!F751</f>
        <v>52.554466247558594</v>
      </c>
      <c r="D751" s="20">
        <f>'Raw Data'!G751</f>
        <v>-41.205726623535156</v>
      </c>
      <c r="E751" s="20">
        <f>'Raw Data'!H751</f>
        <v>7.6388796705965873</v>
      </c>
      <c r="F751" s="20">
        <f>Comparison!$B$10+(C751-Comparison!$B$10)*Comparison!$B$7</f>
        <v>54.451401392460163</v>
      </c>
      <c r="G751" s="20">
        <f>Comparison!$B$11+(D751-Comparison!$B$11)*Comparison!$B$7</f>
        <v>-41.259764993078619</v>
      </c>
    </row>
    <row r="752" spans="1:7">
      <c r="A752" s="18">
        <f>'Raw Data'!A752</f>
        <v>930</v>
      </c>
      <c r="B752" s="20">
        <f>'Raw Data'!C752</f>
        <v>25.014902942068549</v>
      </c>
      <c r="C752" s="20">
        <f>'Raw Data'!F752</f>
        <v>52.017070770263672</v>
      </c>
      <c r="D752" s="20">
        <f>'Raw Data'!G752</f>
        <v>-40.091121673583984</v>
      </c>
      <c r="E752" s="20">
        <f>'Raw Data'!H752</f>
        <v>7.7947363940056915</v>
      </c>
      <c r="F752" s="20">
        <f>Comparison!$B$10+(C752-Comparison!$B$10)*Comparison!$B$7</f>
        <v>53.882664506851633</v>
      </c>
      <c r="G752" s="20">
        <f>Comparison!$B$11+(D752-Comparison!$B$11)*Comparison!$B$7</f>
        <v>-40.080155236945174</v>
      </c>
    </row>
    <row r="753" spans="1:7">
      <c r="A753" s="18">
        <f>'Raw Data'!A753</f>
        <v>931</v>
      </c>
      <c r="B753" s="20">
        <f>'Raw Data'!C753</f>
        <v>25.048252300070772</v>
      </c>
      <c r="C753" s="20">
        <f>'Raw Data'!F753</f>
        <v>53.629657745361328</v>
      </c>
      <c r="D753" s="20">
        <f>'Raw Data'!G753</f>
        <v>-39.78961181640625</v>
      </c>
      <c r="E753" s="20">
        <f>'Raw Data'!H753</f>
        <v>7.6740883080437285</v>
      </c>
      <c r="F753" s="20">
        <f>Comparison!$B$10+(C753-Comparison!$B$10)*Comparison!$B$7</f>
        <v>55.589299066945991</v>
      </c>
      <c r="G753" s="20">
        <f>Comparison!$B$11+(D753-Comparison!$B$11)*Comparison!$B$7</f>
        <v>-39.761061042080136</v>
      </c>
    </row>
    <row r="754" spans="1:7">
      <c r="A754" s="18">
        <f>'Raw Data'!A754</f>
        <v>932</v>
      </c>
      <c r="B754" s="20">
        <f>'Raw Data'!C754</f>
        <v>25.081601658072998</v>
      </c>
      <c r="C754" s="20">
        <f>'Raw Data'!F754</f>
        <v>53.274761199951172</v>
      </c>
      <c r="D754" s="20">
        <f>'Raw Data'!G754</f>
        <v>-38.761074066162109</v>
      </c>
      <c r="E754" s="20">
        <f>'Raw Data'!H754</f>
        <v>7.7426863778237447</v>
      </c>
      <c r="F754" s="20">
        <f>Comparison!$B$10+(C754-Comparison!$B$10)*Comparison!$B$7</f>
        <v>55.213704622114022</v>
      </c>
      <c r="G754" s="20">
        <f>Comparison!$B$11+(D754-Comparison!$B$11)*Comparison!$B$7</f>
        <v>-38.6725380054718</v>
      </c>
    </row>
    <row r="755" spans="1:7">
      <c r="A755" s="18">
        <f>'Raw Data'!A755</f>
        <v>933</v>
      </c>
      <c r="B755" s="20">
        <f>'Raw Data'!C755</f>
        <v>25.114951016075221</v>
      </c>
      <c r="C755" s="20">
        <f>'Raw Data'!F755</f>
        <v>53.199333190917969</v>
      </c>
      <c r="D755" s="20">
        <f>'Raw Data'!G755</f>
        <v>-38.208278656005859</v>
      </c>
      <c r="E755" s="20">
        <f>'Raw Data'!H755</f>
        <v>7.4908572080232423</v>
      </c>
      <c r="F755" s="20">
        <f>Comparison!$B$10+(C755-Comparison!$B$10)*Comparison!$B$7</f>
        <v>55.133877580842416</v>
      </c>
      <c r="G755" s="20">
        <f>Comparison!$B$11+(D755-Comparison!$B$11)*Comparison!$B$7</f>
        <v>-38.087503048472307</v>
      </c>
    </row>
    <row r="756" spans="1:7">
      <c r="A756" s="18">
        <f>'Raw Data'!A756</f>
        <v>934</v>
      </c>
      <c r="B756" s="20">
        <f>'Raw Data'!C756</f>
        <v>25.148300374077444</v>
      </c>
      <c r="C756" s="20">
        <f>'Raw Data'!F756</f>
        <v>52.441776275634766</v>
      </c>
      <c r="D756" s="20">
        <f>'Raw Data'!G756</f>
        <v>-37.613662719726563</v>
      </c>
      <c r="E756" s="20">
        <f>'Raw Data'!H756</f>
        <v>7.5295128281067525</v>
      </c>
      <c r="F756" s="20">
        <f>Comparison!$B$10+(C756-Comparison!$B$10)*Comparison!$B$7</f>
        <v>54.332139235670368</v>
      </c>
      <c r="G756" s="20">
        <f>Comparison!$B$11+(D756-Comparison!$B$11)*Comparison!$B$7</f>
        <v>-37.45820855303856</v>
      </c>
    </row>
    <row r="757" spans="1:7">
      <c r="A757" s="18">
        <f>'Raw Data'!A757</f>
        <v>935</v>
      </c>
      <c r="B757" s="20">
        <f>'Raw Data'!C757</f>
        <v>25.18164973207967</v>
      </c>
      <c r="C757" s="20">
        <f>'Raw Data'!F757</f>
        <v>52.190689086914063</v>
      </c>
      <c r="D757" s="20">
        <f>'Raw Data'!G757</f>
        <v>-37.422817230224609</v>
      </c>
      <c r="E757" s="20">
        <f>'Raw Data'!H757</f>
        <v>7.5143504070248861</v>
      </c>
      <c r="F757" s="20">
        <f>Comparison!$B$10+(C757-Comparison!$B$10)*Comparison!$B$7</f>
        <v>54.066408406583314</v>
      </c>
      <c r="G757" s="20">
        <f>Comparison!$B$11+(D757-Comparison!$B$11)*Comparison!$B$7</f>
        <v>-37.256232775575498</v>
      </c>
    </row>
    <row r="758" spans="1:7">
      <c r="A758" s="18">
        <f>'Raw Data'!A758</f>
        <v>936</v>
      </c>
      <c r="B758" s="20">
        <f>'Raw Data'!C758</f>
        <v>25.214999090081893</v>
      </c>
      <c r="C758" s="20">
        <f>'Raw Data'!F758</f>
        <v>50.462230682373047</v>
      </c>
      <c r="D758" s="20">
        <f>'Raw Data'!G758</f>
        <v>-36.899379730224609</v>
      </c>
      <c r="E758" s="20">
        <f>'Raw Data'!H758</f>
        <v>7.5666008654044363</v>
      </c>
      <c r="F758" s="20">
        <f>Comparison!$B$10+(C758-Comparison!$B$10)*Comparison!$B$7</f>
        <v>52.237144686592885</v>
      </c>
      <c r="G758" s="20">
        <f>Comparison!$B$11+(D758-Comparison!$B$11)*Comparison!$B$7</f>
        <v>-36.702267909590333</v>
      </c>
    </row>
    <row r="759" spans="1:7">
      <c r="A759" s="18">
        <f>'Raw Data'!A759</f>
        <v>937</v>
      </c>
      <c r="B759" s="20">
        <f>'Raw Data'!C759</f>
        <v>25.248348448084119</v>
      </c>
      <c r="C759" s="20">
        <f>'Raw Data'!F759</f>
        <v>48.77178955078125</v>
      </c>
      <c r="D759" s="20">
        <f>'Raw Data'!G759</f>
        <v>-36.681671142578125</v>
      </c>
      <c r="E759" s="20">
        <f>'Raw Data'!H759</f>
        <v>7.450609606162975</v>
      </c>
      <c r="F759" s="20">
        <f>Comparison!$B$10+(C759-Comparison!$B$10)*Comparison!$B$7</f>
        <v>50.448115442570327</v>
      </c>
      <c r="G759" s="20">
        <f>Comparison!$B$11+(D759-Comparison!$B$11)*Comparison!$B$7</f>
        <v>-36.471862352901319</v>
      </c>
    </row>
    <row r="760" spans="1:7">
      <c r="A760" s="18">
        <f>'Raw Data'!A760</f>
        <v>938</v>
      </c>
      <c r="B760" s="20">
        <f>'Raw Data'!C760</f>
        <v>25.281697806086342</v>
      </c>
      <c r="C760" s="20">
        <f>'Raw Data'!F760</f>
        <v>47.097606658935547</v>
      </c>
      <c r="D760" s="20">
        <f>'Raw Data'!G760</f>
        <v>-36.415912628173828</v>
      </c>
      <c r="E760" s="20">
        <f>'Raw Data'!H760</f>
        <v>7.4547832277802755</v>
      </c>
      <c r="F760" s="20">
        <f>Comparison!$B$10+(C760-Comparison!$B$10)*Comparison!$B$7</f>
        <v>48.67629263408611</v>
      </c>
      <c r="G760" s="20">
        <f>Comparison!$B$11+(D760-Comparison!$B$11)*Comparison!$B$7</f>
        <v>-36.190604552655081</v>
      </c>
    </row>
    <row r="761" spans="1:7">
      <c r="A761" s="18">
        <f>'Raw Data'!A761</f>
        <v>939</v>
      </c>
      <c r="B761" s="20">
        <f>'Raw Data'!C761</f>
        <v>25.315047164088565</v>
      </c>
      <c r="C761" s="20">
        <f>'Raw Data'!F761</f>
        <v>46.374229431152344</v>
      </c>
      <c r="D761" s="20">
        <f>'Raw Data'!G761</f>
        <v>-36.568698883056641</v>
      </c>
      <c r="E761" s="20">
        <f>'Raw Data'!H761</f>
        <v>7.5088292083315888</v>
      </c>
      <c r="F761" s="20">
        <f>Comparison!$B$10+(C761-Comparison!$B$10)*Comparison!$B$7</f>
        <v>47.91072736784966</v>
      </c>
      <c r="G761" s="20">
        <f>Comparison!$B$11+(D761-Comparison!$B$11)*Comparison!$B$7</f>
        <v>-36.352301445236392</v>
      </c>
    </row>
    <row r="762" spans="1:7">
      <c r="A762" s="18">
        <f>'Raw Data'!A762</f>
        <v>940</v>
      </c>
      <c r="B762" s="20">
        <f>'Raw Data'!C762</f>
        <v>25.348396522090791</v>
      </c>
      <c r="C762" s="20">
        <f>'Raw Data'!F762</f>
        <v>45.836906433105469</v>
      </c>
      <c r="D762" s="20">
        <f>'Raw Data'!G762</f>
        <v>-36.71282958984375</v>
      </c>
      <c r="E762" s="20">
        <f>'Raw Data'!H762</f>
        <v>7.528135688117529</v>
      </c>
      <c r="F762" s="20">
        <f>Comparison!$B$10+(C762-Comparison!$B$10)*Comparison!$B$7</f>
        <v>47.342067188546906</v>
      </c>
      <c r="G762" s="20">
        <f>Comparison!$B$11+(D762-Comparison!$B$11)*Comparison!$B$7</f>
        <v>-36.504837990038148</v>
      </c>
    </row>
    <row r="763" spans="1:7">
      <c r="A763" s="18">
        <f>'Raw Data'!A763</f>
        <v>941</v>
      </c>
      <c r="B763" s="20">
        <f>'Raw Data'!C763</f>
        <v>25.381745880093014</v>
      </c>
      <c r="C763" s="20">
        <f>'Raw Data'!F763</f>
        <v>45.097682952880859</v>
      </c>
      <c r="D763" s="20">
        <f>'Raw Data'!G763</f>
        <v>-36.855976104736328</v>
      </c>
      <c r="E763" s="20">
        <f>'Raw Data'!H763</f>
        <v>7.5460189045355959</v>
      </c>
      <c r="F763" s="20">
        <f>Comparison!$B$10+(C763-Comparison!$B$10)*Comparison!$B$7</f>
        <v>46.559731501562865</v>
      </c>
      <c r="G763" s="20">
        <f>Comparison!$B$11+(D763-Comparison!$B$11)*Comparison!$B$7</f>
        <v>-36.656332943950908</v>
      </c>
    </row>
    <row r="764" spans="1:7">
      <c r="A764" s="18">
        <f>'Raw Data'!A764</f>
        <v>942</v>
      </c>
      <c r="B764" s="20">
        <f>'Raw Data'!C764</f>
        <v>25.41509523809524</v>
      </c>
      <c r="C764" s="20">
        <f>'Raw Data'!F764</f>
        <v>44.349143981933594</v>
      </c>
      <c r="D764" s="20">
        <f>'Raw Data'!G764</f>
        <v>-36.994899749755859</v>
      </c>
      <c r="E764" s="20">
        <f>'Raw Data'!H764</f>
        <v>7.5336427376382975</v>
      </c>
      <c r="F764" s="20">
        <f>Comparison!$B$10+(C764-Comparison!$B$10)*Comparison!$B$7</f>
        <v>45.76753703569927</v>
      </c>
      <c r="G764" s="20">
        <f>Comparison!$B$11+(D764-Comparison!$B$11)*Comparison!$B$7</f>
        <v>-36.803358746258567</v>
      </c>
    </row>
    <row r="765" spans="1:7">
      <c r="A765" s="18">
        <f>'Raw Data'!A765</f>
        <v>943</v>
      </c>
      <c r="B765" s="20">
        <f>'Raw Data'!C765</f>
        <v>25.448444596097463</v>
      </c>
      <c r="C765" s="20">
        <f>'Raw Data'!F765</f>
        <v>43.514732360839844</v>
      </c>
      <c r="D765" s="20">
        <f>'Raw Data'!G765</f>
        <v>-37.077919006347656</v>
      </c>
      <c r="E765" s="20">
        <f>'Raw Data'!H765</f>
        <v>7.4700665567492237</v>
      </c>
      <c r="F765" s="20">
        <f>Comparison!$B$10+(C765-Comparison!$B$10)*Comparison!$B$7</f>
        <v>44.884461746183973</v>
      </c>
      <c r="G765" s="20">
        <f>Comparison!$B$11+(D765-Comparison!$B$11)*Comparison!$B$7</f>
        <v>-36.891219763766983</v>
      </c>
    </row>
    <row r="766" spans="1:7">
      <c r="A766" s="18">
        <f>'Raw Data'!A766</f>
        <v>944</v>
      </c>
      <c r="B766" s="20">
        <f>'Raw Data'!C766</f>
        <v>25.481793954099686</v>
      </c>
      <c r="C766" s="20">
        <f>'Raw Data'!F766</f>
        <v>42.700584411621094</v>
      </c>
      <c r="D766" s="20">
        <f>'Raw Data'!G766</f>
        <v>-37.104583740234375</v>
      </c>
      <c r="E766" s="20">
        <f>'Raw Data'!H766</f>
        <v>7.4520010730919362</v>
      </c>
      <c r="F766" s="20">
        <f>Comparison!$B$10+(C766-Comparison!$B$10)*Comparison!$B$7</f>
        <v>44.022831924894788</v>
      </c>
      <c r="G766" s="20">
        <f>Comparison!$B$11+(D766-Comparison!$B$11)*Comparison!$B$7</f>
        <v>-36.919439609945535</v>
      </c>
    </row>
    <row r="767" spans="1:7">
      <c r="A767" s="18">
        <f>'Raw Data'!A767</f>
        <v>945</v>
      </c>
      <c r="B767" s="20">
        <f>'Raw Data'!C767</f>
        <v>25.515143312101912</v>
      </c>
      <c r="C767" s="20">
        <f>'Raw Data'!F767</f>
        <v>41.422130584716797</v>
      </c>
      <c r="D767" s="20">
        <f>'Raw Data'!G767</f>
        <v>-37.116752624511719</v>
      </c>
      <c r="E767" s="20">
        <f>'Raw Data'!H767</f>
        <v>7.5515129124745641</v>
      </c>
      <c r="F767" s="20">
        <f>Comparison!$B$10+(C767-Comparison!$B$10)*Comparison!$B$7</f>
        <v>42.669817471613811</v>
      </c>
      <c r="G767" s="20">
        <f>Comparison!$B$11+(D767-Comparison!$B$11)*Comparison!$B$7</f>
        <v>-36.932318194968367</v>
      </c>
    </row>
    <row r="768" spans="1:7">
      <c r="A768" s="18">
        <f>'Raw Data'!A768</f>
        <v>946</v>
      </c>
      <c r="B768" s="20">
        <f>'Raw Data'!C768</f>
        <v>25.548492670104135</v>
      </c>
      <c r="C768" s="20">
        <f>'Raw Data'!F768</f>
        <v>40.390884399414063</v>
      </c>
      <c r="D768" s="20">
        <f>'Raw Data'!G768</f>
        <v>-37.195747375488281</v>
      </c>
      <c r="E768" s="20">
        <f>'Raw Data'!H768</f>
        <v>7.51986755197301</v>
      </c>
      <c r="F768" s="20">
        <f>Comparison!$B$10+(C768-Comparison!$B$10)*Comparison!$B$7</f>
        <v>41.578428041473757</v>
      </c>
      <c r="G768" s="20">
        <f>Comparison!$B$11+(D768-Comparison!$B$11)*Comparison!$B$7</f>
        <v>-37.015919993919077</v>
      </c>
    </row>
    <row r="769" spans="1:7">
      <c r="A769" s="18">
        <f>'Raw Data'!A769</f>
        <v>947</v>
      </c>
      <c r="B769" s="20">
        <f>'Raw Data'!C769</f>
        <v>25.581842028106358</v>
      </c>
      <c r="C769" s="20">
        <f>'Raw Data'!F769</f>
        <v>39.773777008056641</v>
      </c>
      <c r="D769" s="20">
        <f>'Raw Data'!G769</f>
        <v>-37.252731323242188</v>
      </c>
      <c r="E769" s="20">
        <f>'Raw Data'!H769</f>
        <v>7.5143504070248861</v>
      </c>
      <c r="F769" s="20">
        <f>Comparison!$B$10+(C769-Comparison!$B$10)*Comparison!$B$7</f>
        <v>40.925330368204698</v>
      </c>
      <c r="G769" s="20">
        <f>Comparison!$B$11+(D769-Comparison!$B$11)*Comparison!$B$7</f>
        <v>-37.076227298957022</v>
      </c>
    </row>
    <row r="770" spans="1:7">
      <c r="A770" s="18">
        <f>'Raw Data'!A770</f>
        <v>948</v>
      </c>
      <c r="B770" s="20">
        <f>'Raw Data'!C770</f>
        <v>25.615191386108584</v>
      </c>
      <c r="C770" s="20">
        <f>'Raw Data'!F770</f>
        <v>38.783172607421875</v>
      </c>
      <c r="D770" s="20">
        <f>'Raw Data'!G770</f>
        <v>-37.246601104736328</v>
      </c>
      <c r="E770" s="20">
        <f>'Raw Data'!H770</f>
        <v>7.5115903149549048</v>
      </c>
      <c r="F770" s="20">
        <f>Comparison!$B$10+(C770-Comparison!$B$10)*Comparison!$B$7</f>
        <v>39.876952989736495</v>
      </c>
      <c r="G770" s="20">
        <f>Comparison!$B$11+(D770-Comparison!$B$11)*Comparison!$B$7</f>
        <v>-37.069739560357746</v>
      </c>
    </row>
    <row r="771" spans="1:7">
      <c r="A771" s="18">
        <f>'Raw Data'!A771</f>
        <v>949</v>
      </c>
      <c r="B771" s="20">
        <f>'Raw Data'!C771</f>
        <v>25.648540744110807</v>
      </c>
      <c r="C771" s="20">
        <f>'Raw Data'!F771</f>
        <v>37.509361267089844</v>
      </c>
      <c r="D771" s="20">
        <f>'Raw Data'!G771</f>
        <v>-37.230632781982422</v>
      </c>
      <c r="E771" s="20">
        <f>'Raw Data'!H771</f>
        <v>7.5336427376382975</v>
      </c>
      <c r="F771" s="20">
        <f>Comparison!$B$10+(C771-Comparison!$B$10)*Comparison!$B$7</f>
        <v>38.52885177719935</v>
      </c>
      <c r="G771" s="20">
        <f>Comparison!$B$11+(D771-Comparison!$B$11)*Comparison!$B$7</f>
        <v>-37.052839950042518</v>
      </c>
    </row>
    <row r="772" spans="1:7">
      <c r="A772" s="18">
        <f>'Raw Data'!A772</f>
        <v>950</v>
      </c>
      <c r="B772" s="20">
        <f>'Raw Data'!C772</f>
        <v>25.681890102113034</v>
      </c>
      <c r="C772" s="20">
        <f>'Raw Data'!F772</f>
        <v>36.825046539306641</v>
      </c>
      <c r="D772" s="20">
        <f>'Raw Data'!G772</f>
        <v>-37.272079467773438</v>
      </c>
      <c r="E772" s="20">
        <f>'Raw Data'!H772</f>
        <v>7.5129704877391674</v>
      </c>
      <c r="F772" s="20">
        <f>Comparison!$B$10+(C772-Comparison!$B$10)*Comparison!$B$7</f>
        <v>37.804627172603581</v>
      </c>
      <c r="G772" s="20">
        <f>Comparison!$B$11+(D772-Comparison!$B$11)*Comparison!$B$7</f>
        <v>-37.096703845425921</v>
      </c>
    </row>
    <row r="773" spans="1:7">
      <c r="A773" s="18">
        <f>'Raw Data'!A773</f>
        <v>951</v>
      </c>
      <c r="B773" s="20">
        <f>'Raw Data'!C773</f>
        <v>25.715239460115257</v>
      </c>
      <c r="C773" s="20">
        <f>'Raw Data'!F773</f>
        <v>36.502521514892578</v>
      </c>
      <c r="D773" s="20">
        <f>'Raw Data'!G773</f>
        <v>-37.476993560791016</v>
      </c>
      <c r="E773" s="20">
        <f>'Raw Data'!H773</f>
        <v>7.4922412001289125</v>
      </c>
      <c r="F773" s="20">
        <f>Comparison!$B$10+(C773-Comparison!$B$10)*Comparison!$B$7</f>
        <v>37.463292186236728</v>
      </c>
      <c r="G773" s="20">
        <f>Comparison!$B$11+(D773-Comparison!$B$11)*Comparison!$B$7</f>
        <v>-37.313568720558017</v>
      </c>
    </row>
    <row r="774" spans="1:7">
      <c r="A774" s="18">
        <f>'Raw Data'!A774</f>
        <v>952</v>
      </c>
      <c r="B774" s="20">
        <f>'Raw Data'!C774</f>
        <v>25.748588818117479</v>
      </c>
      <c r="C774" s="20">
        <f>'Raw Data'!F774</f>
        <v>35.687015533447266</v>
      </c>
      <c r="D774" s="20">
        <f>'Raw Data'!G774</f>
        <v>-37.585643768310547</v>
      </c>
      <c r="E774" s="20">
        <f>'Raw Data'!H774</f>
        <v>7.4922412001289125</v>
      </c>
      <c r="F774" s="20">
        <f>Comparison!$B$10+(C774-Comparison!$B$10)*Comparison!$B$7</f>
        <v>36.60022513100769</v>
      </c>
      <c r="G774" s="20">
        <f>Comparison!$B$11+(D774-Comparison!$B$11)*Comparison!$B$7</f>
        <v>-37.428555510094142</v>
      </c>
    </row>
    <row r="775" spans="1:7">
      <c r="A775" s="18">
        <f>'Raw Data'!A775</f>
        <v>953</v>
      </c>
      <c r="B775" s="20">
        <f>'Raw Data'!C775</f>
        <v>25.781938176119706</v>
      </c>
      <c r="C775" s="20">
        <f>'Raw Data'!F775</f>
        <v>34.068683624267578</v>
      </c>
      <c r="D775" s="20">
        <f>'Raw Data'!G775</f>
        <v>-37.478130340576172</v>
      </c>
      <c r="E775" s="20">
        <f>'Raw Data'!H775</f>
        <v>7.5295128281067525</v>
      </c>
      <c r="F775" s="20">
        <f>Comparison!$B$10+(C775-Comparison!$B$10)*Comparison!$B$7</f>
        <v>34.887510586886876</v>
      </c>
      <c r="G775" s="20">
        <f>Comparison!$B$11+(D775-Comparison!$B$11)*Comparison!$B$7</f>
        <v>-37.314771798406539</v>
      </c>
    </row>
    <row r="776" spans="1:7">
      <c r="A776" s="18">
        <f>'Raw Data'!A776</f>
        <v>954</v>
      </c>
      <c r="B776" s="20">
        <f>'Raw Data'!C776</f>
        <v>25.815287534121929</v>
      </c>
      <c r="C776" s="20">
        <f>'Raw Data'!F776</f>
        <v>33.087486267089844</v>
      </c>
      <c r="D776" s="20">
        <f>'Raw Data'!G776</f>
        <v>-37.591381072998047</v>
      </c>
      <c r="E776" s="20">
        <f>'Raw Data'!H776</f>
        <v>7.517109485659085</v>
      </c>
      <c r="F776" s="20">
        <f>Comparison!$B$10+(C776-Comparison!$B$10)*Comparison!$B$7</f>
        <v>33.849088879473939</v>
      </c>
      <c r="G776" s="20">
        <f>Comparison!$B$11+(D776-Comparison!$B$11)*Comparison!$B$7</f>
        <v>-37.434627419772617</v>
      </c>
    </row>
    <row r="777" spans="1:7">
      <c r="A777" s="18">
        <f>'Raw Data'!A777</f>
        <v>955</v>
      </c>
      <c r="B777" s="20">
        <f>'Raw Data'!C777</f>
        <v>25.848636892124155</v>
      </c>
      <c r="C777" s="20">
        <f>'Raw Data'!F777</f>
        <v>32.475975036621094</v>
      </c>
      <c r="D777" s="20">
        <f>'Raw Data'!G777</f>
        <v>-37.701713562011719</v>
      </c>
      <c r="E777" s="20">
        <f>'Raw Data'!H777</f>
        <v>7.5240027557785139</v>
      </c>
      <c r="F777" s="20">
        <f>Comparison!$B$10+(C777-Comparison!$B$10)*Comparison!$B$7</f>
        <v>33.201913740445796</v>
      </c>
      <c r="G777" s="20">
        <f>Comparison!$B$11+(D777-Comparison!$B$11)*Comparison!$B$7</f>
        <v>-37.551394603037608</v>
      </c>
    </row>
    <row r="778" spans="1:7">
      <c r="A778" s="18">
        <f>'Raw Data'!A778</f>
        <v>956</v>
      </c>
      <c r="B778" s="20">
        <f>'Raw Data'!C778</f>
        <v>25.881986250126378</v>
      </c>
      <c r="C778" s="20">
        <f>'Raw Data'!F778</f>
        <v>31.106786727905273</v>
      </c>
      <c r="D778" s="20">
        <f>'Raw Data'!G778</f>
        <v>-37.536026000976563</v>
      </c>
      <c r="E778" s="20">
        <f>'Raw Data'!H778</f>
        <v>7.5652304767550733</v>
      </c>
      <c r="F778" s="20">
        <f>Comparison!$B$10+(C778-Comparison!$B$10)*Comparison!$B$7</f>
        <v>31.752873085264973</v>
      </c>
      <c r="G778" s="20">
        <f>Comparison!$B$11+(D778-Comparison!$B$11)*Comparison!$B$7</f>
        <v>-37.376043988027696</v>
      </c>
    </row>
    <row r="779" spans="1:7">
      <c r="A779" s="18">
        <f>'Raw Data'!A779</f>
        <v>957</v>
      </c>
      <c r="B779" s="20">
        <f>'Raw Data'!C779</f>
        <v>25.915335608128601</v>
      </c>
      <c r="C779" s="20">
        <f>'Raw Data'!F779</f>
        <v>30.878007888793945</v>
      </c>
      <c r="D779" s="20">
        <f>'Raw Data'!G779</f>
        <v>-37.72900390625</v>
      </c>
      <c r="E779" s="20">
        <f>'Raw Data'!H779</f>
        <v>7.4811620943263994</v>
      </c>
      <c r="F779" s="20">
        <f>Comparison!$B$10+(C779-Comparison!$B$10)*Comparison!$B$7</f>
        <v>31.510751649661778</v>
      </c>
      <c r="G779" s="20">
        <f>Comparison!$B$11+(D779-Comparison!$B$11)*Comparison!$B$7</f>
        <v>-37.580276545750252</v>
      </c>
    </row>
    <row r="780" spans="1:7">
      <c r="A780" s="18">
        <f>'Raw Data'!A780</f>
        <v>958</v>
      </c>
      <c r="B780" s="20">
        <f>'Raw Data'!C780</f>
        <v>25.948684966130827</v>
      </c>
      <c r="C780" s="20">
        <f>'Raw Data'!F780</f>
        <v>29.891374588012695</v>
      </c>
      <c r="D780" s="20">
        <f>'Raw Data'!G780</f>
        <v>-37.857212066650391</v>
      </c>
      <c r="E780" s="20">
        <f>'Raw Data'!H780</f>
        <v>7.5322663527290965</v>
      </c>
      <c r="F780" s="20">
        <f>Comparison!$B$10+(C780-Comparison!$B$10)*Comparison!$B$7</f>
        <v>30.466576969315444</v>
      </c>
      <c r="G780" s="20">
        <f>Comparison!$B$11+(D780-Comparison!$B$11)*Comparison!$B$7</f>
        <v>-37.715961926324638</v>
      </c>
    </row>
    <row r="781" spans="1:7">
      <c r="A781" s="18">
        <f>'Raw Data'!A781</f>
        <v>959</v>
      </c>
      <c r="B781" s="20">
        <f>'Raw Data'!C781</f>
        <v>25.98203432413305</v>
      </c>
      <c r="C781" s="20">
        <f>'Raw Data'!F781</f>
        <v>29.085475921630859</v>
      </c>
      <c r="D781" s="20">
        <f>'Raw Data'!G781</f>
        <v>-37.768661499023438</v>
      </c>
      <c r="E781" s="20">
        <f>'Raw Data'!H781</f>
        <v>7.5624889544774243</v>
      </c>
      <c r="F781" s="20">
        <f>Comparison!$B$10+(C781-Comparison!$B$10)*Comparison!$B$7</f>
        <v>29.613677536776059</v>
      </c>
      <c r="G781" s="20">
        <f>Comparison!$B$11+(D781-Comparison!$B$11)*Comparison!$B$7</f>
        <v>-37.622247006533115</v>
      </c>
    </row>
    <row r="782" spans="1:7">
      <c r="A782" s="18">
        <f>'Raw Data'!A782</f>
        <v>960</v>
      </c>
      <c r="B782" s="20">
        <f>'Raw Data'!C782</f>
        <v>26.015383682135273</v>
      </c>
      <c r="C782" s="20">
        <f>'Raw Data'!F782</f>
        <v>28.190139770507813</v>
      </c>
      <c r="D782" s="20">
        <f>'Raw Data'!G782</f>
        <v>-37.887626647949219</v>
      </c>
      <c r="E782" s="20">
        <f>'Raw Data'!H782</f>
        <v>7.517109485659085</v>
      </c>
      <c r="F782" s="20">
        <f>Comparison!$B$10+(C782-Comparison!$B$10)*Comparison!$B$7</f>
        <v>28.666124541492856</v>
      </c>
      <c r="G782" s="20">
        <f>Comparison!$B$11+(D782-Comparison!$B$11)*Comparison!$B$7</f>
        <v>-37.748150314533738</v>
      </c>
    </row>
    <row r="783" spans="1:7">
      <c r="A783" s="18">
        <f>'Raw Data'!A783</f>
        <v>961</v>
      </c>
      <c r="B783" s="20">
        <f>'Raw Data'!C783</f>
        <v>26.048733040137499</v>
      </c>
      <c r="C783" s="20">
        <f>'Raw Data'!F783</f>
        <v>26.871068954467773</v>
      </c>
      <c r="D783" s="20">
        <f>'Raw Data'!G783</f>
        <v>-37.869094848632813</v>
      </c>
      <c r="E783" s="20">
        <f>'Raw Data'!H783</f>
        <v>7.4645126031511078</v>
      </c>
      <c r="F783" s="20">
        <f>Comparison!$B$10+(C783-Comparison!$B$10)*Comparison!$B$7</f>
        <v>27.27012427817095</v>
      </c>
      <c r="G783" s="20">
        <f>Comparison!$B$11+(D783-Comparison!$B$11)*Comparison!$B$7</f>
        <v>-37.728537723298345</v>
      </c>
    </row>
    <row r="784" spans="1:7">
      <c r="A784" s="18">
        <f>'Raw Data'!A784</f>
        <v>962</v>
      </c>
      <c r="B784" s="20">
        <f>'Raw Data'!C784</f>
        <v>26.082082398139725</v>
      </c>
      <c r="C784" s="20">
        <f>'Raw Data'!F784</f>
        <v>25.825489044189453</v>
      </c>
      <c r="D784" s="20">
        <f>'Raw Data'!G784</f>
        <v>-37.807418823242188</v>
      </c>
      <c r="E784" s="20">
        <f>'Raw Data'!H784</f>
        <v>7.4686784555467254</v>
      </c>
      <c r="F784" s="20">
        <f>Comparison!$B$10+(C784-Comparison!$B$10)*Comparison!$B$7</f>
        <v>26.163565166769668</v>
      </c>
      <c r="G784" s="20">
        <f>Comparison!$B$11+(D784-Comparison!$B$11)*Comparison!$B$7</f>
        <v>-37.663264694254728</v>
      </c>
    </row>
    <row r="785" spans="1:7">
      <c r="A785" s="18">
        <f>'Raw Data'!A785</f>
        <v>963</v>
      </c>
      <c r="B785" s="20">
        <f>'Raw Data'!C785</f>
        <v>26.115431756141945</v>
      </c>
      <c r="C785" s="20">
        <f>'Raw Data'!F785</f>
        <v>24.934745788574219</v>
      </c>
      <c r="D785" s="20">
        <f>'Raw Data'!G785</f>
        <v>-37.782230377197266</v>
      </c>
      <c r="E785" s="20">
        <f>'Raw Data'!H785</f>
        <v>7.4797760522405206</v>
      </c>
      <c r="F785" s="20">
        <f>Comparison!$B$10+(C785-Comparison!$B$10)*Comparison!$B$7</f>
        <v>25.22087292896844</v>
      </c>
      <c r="G785" s="20">
        <f>Comparison!$B$11+(D785-Comparison!$B$11)*Comparison!$B$7</f>
        <v>-37.636607234409666</v>
      </c>
    </row>
    <row r="786" spans="1:7">
      <c r="A786" s="18">
        <f>'Raw Data'!A786</f>
        <v>964</v>
      </c>
      <c r="B786" s="20">
        <f>'Raw Data'!C786</f>
        <v>26.148781114144171</v>
      </c>
      <c r="C786" s="20">
        <f>'Raw Data'!F786</f>
        <v>23.498132705688477</v>
      </c>
      <c r="D786" s="20">
        <f>'Raw Data'!G786</f>
        <v>-37.681720733642578</v>
      </c>
      <c r="E786" s="20">
        <f>'Raw Data'!H786</f>
        <v>7.5267582961586736</v>
      </c>
      <c r="F786" s="20">
        <f>Comparison!$B$10+(C786-Comparison!$B$10)*Comparison!$B$7</f>
        <v>23.700475223543563</v>
      </c>
      <c r="G786" s="20">
        <f>Comparison!$B$11+(D786-Comparison!$B$11)*Comparison!$B$7</f>
        <v>-37.530235774164673</v>
      </c>
    </row>
    <row r="787" spans="1:7">
      <c r="A787" s="18">
        <f>'Raw Data'!A787</f>
        <v>965</v>
      </c>
      <c r="B787" s="20">
        <f>'Raw Data'!C787</f>
        <v>26.182130472146397</v>
      </c>
      <c r="C787" s="20">
        <f>'Raw Data'!F787</f>
        <v>22.761615753173828</v>
      </c>
      <c r="D787" s="20">
        <f>'Raw Data'!G787</f>
        <v>-37.778785705566406</v>
      </c>
      <c r="E787" s="20">
        <f>'Raw Data'!H787</f>
        <v>7.4991573293594787</v>
      </c>
      <c r="F787" s="20">
        <f>Comparison!$B$10+(C787-Comparison!$B$10)*Comparison!$B$7</f>
        <v>22.921003911504251</v>
      </c>
      <c r="G787" s="20">
        <f>Comparison!$B$11+(D787-Comparison!$B$11)*Comparison!$B$7</f>
        <v>-37.632961666298193</v>
      </c>
    </row>
    <row r="788" spans="1:7">
      <c r="A788" s="18">
        <f>'Raw Data'!A788</f>
        <v>966</v>
      </c>
      <c r="B788" s="20">
        <f>'Raw Data'!C788</f>
        <v>26.215479830148624</v>
      </c>
      <c r="C788" s="20">
        <f>'Raw Data'!F788</f>
        <v>22.340349197387695</v>
      </c>
      <c r="D788" s="20">
        <f>'Raw Data'!G788</f>
        <v>-37.969539642333984</v>
      </c>
      <c r="E788" s="20">
        <f>'Raw Data'!H788</f>
        <v>7.5418957721426034</v>
      </c>
      <c r="F788" s="20">
        <f>Comparison!$B$10+(C788-Comparison!$B$10)*Comparison!$B$7</f>
        <v>22.475168695036007</v>
      </c>
      <c r="G788" s="20">
        <f>Comparison!$B$11+(D788-Comparison!$B$11)*Comparison!$B$7</f>
        <v>-37.834840551585536</v>
      </c>
    </row>
    <row r="789" spans="1:7">
      <c r="A789" s="18">
        <f>'Raw Data'!A789</f>
        <v>967</v>
      </c>
      <c r="B789" s="20">
        <f>'Raw Data'!C789</f>
        <v>26.248829188150843</v>
      </c>
      <c r="C789" s="20">
        <f>'Raw Data'!F789</f>
        <v>21.333999633789063</v>
      </c>
      <c r="D789" s="20">
        <f>'Raw Data'!G789</f>
        <v>-37.967510223388672</v>
      </c>
      <c r="E789" s="20">
        <f>'Raw Data'!H789</f>
        <v>7.4991573293594787</v>
      </c>
      <c r="F789" s="20">
        <f>Comparison!$B$10+(C789-Comparison!$B$10)*Comparison!$B$7</f>
        <v>21.410127880930897</v>
      </c>
      <c r="G789" s="20">
        <f>Comparison!$B$11+(D789-Comparison!$B$11)*Comparison!$B$7</f>
        <v>-37.83269277502373</v>
      </c>
    </row>
    <row r="790" spans="1:7">
      <c r="A790" s="18">
        <f>'Raw Data'!A790</f>
        <v>968</v>
      </c>
      <c r="B790" s="20">
        <f>'Raw Data'!C790</f>
        <v>26.282178546153069</v>
      </c>
      <c r="C790" s="20">
        <f>'Raw Data'!F790</f>
        <v>20.275539398193359</v>
      </c>
      <c r="D790" s="20">
        <f>'Raw Data'!G790</f>
        <v>-37.966075897216797</v>
      </c>
      <c r="E790" s="20">
        <f>'Raw Data'!H790</f>
        <v>7.4922412001289125</v>
      </c>
      <c r="F790" s="20">
        <f>Comparison!$B$10+(C790-Comparison!$B$10)*Comparison!$B$7</f>
        <v>20.289937251557959</v>
      </c>
      <c r="G790" s="20">
        <f>Comparison!$B$11+(D790-Comparison!$B$11)*Comparison!$B$7</f>
        <v>-37.831174797604113</v>
      </c>
    </row>
    <row r="791" spans="1:7">
      <c r="A791" s="18">
        <f>'Raw Data'!A791</f>
        <v>969</v>
      </c>
      <c r="B791" s="20">
        <f>'Raw Data'!C791</f>
        <v>26.315527904155296</v>
      </c>
      <c r="C791" s="20">
        <f>'Raw Data'!F791</f>
        <v>19.157436370849609</v>
      </c>
      <c r="D791" s="20">
        <f>'Raw Data'!G791</f>
        <v>-37.96240234375</v>
      </c>
      <c r="E791" s="20">
        <f>'Raw Data'!H791</f>
        <v>7.528135688117529</v>
      </c>
      <c r="F791" s="20">
        <f>Comparison!$B$10+(C791-Comparison!$B$10)*Comparison!$B$7</f>
        <v>19.106625406877196</v>
      </c>
      <c r="G791" s="20">
        <f>Comparison!$B$11+(D791-Comparison!$B$11)*Comparison!$B$7</f>
        <v>-37.827286999053335</v>
      </c>
    </row>
    <row r="792" spans="1:7">
      <c r="A792" s="18">
        <f>'Raw Data'!A792</f>
        <v>970</v>
      </c>
      <c r="B792" s="20">
        <f>'Raw Data'!C792</f>
        <v>26.348877262157515</v>
      </c>
      <c r="C792" s="20">
        <f>'Raw Data'!F792</f>
        <v>18.839139938354492</v>
      </c>
      <c r="D792" s="20">
        <f>'Raw Data'!G792</f>
        <v>-37.970607757568359</v>
      </c>
      <c r="E792" s="20">
        <f>'Raw Data'!H792</f>
        <v>7.5046856436593981</v>
      </c>
      <c r="F792" s="20">
        <f>Comparison!$B$10+(C792-Comparison!$B$10)*Comparison!$B$7</f>
        <v>18.769765627876431</v>
      </c>
      <c r="G792" s="20">
        <f>Comparison!$B$11+(D792-Comparison!$B$11)*Comparison!$B$7</f>
        <v>-37.835970960302269</v>
      </c>
    </row>
    <row r="793" spans="1:7">
      <c r="A793" s="18">
        <f>'Raw Data'!A793</f>
        <v>971</v>
      </c>
      <c r="B793" s="20">
        <f>'Raw Data'!C793</f>
        <v>26.382226620159742</v>
      </c>
      <c r="C793" s="20">
        <f>'Raw Data'!F793</f>
        <v>18.158515930175781</v>
      </c>
      <c r="D793" s="20">
        <f>'Raw Data'!G793</f>
        <v>-38.017261505126953</v>
      </c>
      <c r="E793" s="20">
        <f>'Raw Data'!H793</f>
        <v>7.5212462058579037</v>
      </c>
      <c r="F793" s="20">
        <f>Comparison!$B$10+(C793-Comparison!$B$10)*Comparison!$B$7</f>
        <v>18.049446989114394</v>
      </c>
      <c r="G793" s="20">
        <f>Comparison!$B$11+(D793-Comparison!$B$11)*Comparison!$B$7</f>
        <v>-37.885345598179768</v>
      </c>
    </row>
    <row r="794" spans="1:7">
      <c r="A794" s="18">
        <f>'Raw Data'!A794</f>
        <v>972</v>
      </c>
      <c r="B794" s="20">
        <f>'Raw Data'!C794</f>
        <v>26.415575978161968</v>
      </c>
      <c r="C794" s="20">
        <f>'Raw Data'!F794</f>
        <v>16.821168899536133</v>
      </c>
      <c r="D794" s="20">
        <f>'Raw Data'!G794</f>
        <v>-38.049106597900391</v>
      </c>
      <c r="E794" s="20">
        <f>'Raw Data'!H794</f>
        <v>7.613047307974762</v>
      </c>
      <c r="F794" s="20">
        <f>Comparison!$B$10+(C794-Comparison!$B$10)*Comparison!$B$7</f>
        <v>16.634104625214313</v>
      </c>
      <c r="G794" s="20">
        <f>Comparison!$B$11+(D794-Comparison!$B$11)*Comparison!$B$7</f>
        <v>-37.919047926634498</v>
      </c>
    </row>
    <row r="795" spans="1:7">
      <c r="A795" s="18">
        <f>'Raw Data'!A795</f>
        <v>973</v>
      </c>
      <c r="B795" s="20">
        <f>'Raw Data'!C795</f>
        <v>26.448925336164187</v>
      </c>
      <c r="C795" s="20">
        <f>'Raw Data'!F795</f>
        <v>15.605958938598633</v>
      </c>
      <c r="D795" s="20">
        <f>'Raw Data'!G795</f>
        <v>-38.085216522216797</v>
      </c>
      <c r="E795" s="20">
        <f>'Raw Data'!H795</f>
        <v>7.5446447774360612</v>
      </c>
      <c r="F795" s="20">
        <f>Comparison!$B$10+(C795-Comparison!$B$10)*Comparison!$B$7</f>
        <v>15.348022479486165</v>
      </c>
      <c r="G795" s="20">
        <f>Comparison!$B$11+(D795-Comparison!$B$11)*Comparison!$B$7</f>
        <v>-37.957263815608201</v>
      </c>
    </row>
    <row r="796" spans="1:7">
      <c r="A796" s="18">
        <f>'Raw Data'!A796</f>
        <v>974</v>
      </c>
      <c r="B796" s="20">
        <f>'Raw Data'!C796</f>
        <v>26.482274694166414</v>
      </c>
      <c r="C796" s="20">
        <f>'Raw Data'!F796</f>
        <v>15.254645347595215</v>
      </c>
      <c r="D796" s="20">
        <f>'Raw Data'!G796</f>
        <v>-38.118011474609375</v>
      </c>
      <c r="E796" s="20">
        <f>'Raw Data'!H796</f>
        <v>7.5418957721426034</v>
      </c>
      <c r="F796" s="20">
        <f>Comparison!$B$10+(C796-Comparison!$B$10)*Comparison!$B$7</f>
        <v>14.976219950322751</v>
      </c>
      <c r="G796" s="20">
        <f>Comparison!$B$11+(D796-Comparison!$B$11)*Comparison!$B$7</f>
        <v>-37.991971400386028</v>
      </c>
    </row>
    <row r="797" spans="1:7">
      <c r="A797" s="18">
        <f>'Raw Data'!A797</f>
        <v>975</v>
      </c>
      <c r="B797" s="20">
        <f>'Raw Data'!C797</f>
        <v>26.51562405216864</v>
      </c>
      <c r="C797" s="20">
        <f>'Raw Data'!F797</f>
        <v>15.054953575134277</v>
      </c>
      <c r="D797" s="20">
        <f>'Raw Data'!G797</f>
        <v>-38.12567138671875</v>
      </c>
      <c r="E797" s="20">
        <f>'Raw Data'!H797</f>
        <v>7.5184886452864435</v>
      </c>
      <c r="F797" s="20">
        <f>Comparison!$B$10+(C797-Comparison!$B$10)*Comparison!$B$7</f>
        <v>14.764881966380706</v>
      </c>
      <c r="G797" s="20">
        <f>Comparison!$B$11+(D797-Comparison!$B$11)*Comparison!$B$7</f>
        <v>-38.000078045754634</v>
      </c>
    </row>
    <row r="798" spans="1:7">
      <c r="A798" s="18">
        <f>'Raw Data'!A798</f>
        <v>976</v>
      </c>
      <c r="B798" s="20">
        <f>'Raw Data'!C798</f>
        <v>26.548973410170866</v>
      </c>
      <c r="C798" s="20">
        <f>'Raw Data'!F798</f>
        <v>13.387752532958984</v>
      </c>
      <c r="D798" s="20">
        <f>'Raw Data'!G798</f>
        <v>-38.243007659912109</v>
      </c>
      <c r="E798" s="20">
        <f>'Raw Data'!H798</f>
        <v>7.5816587924680601</v>
      </c>
      <c r="F798" s="20">
        <f>Comparison!$B$10+(C798-Comparison!$B$10)*Comparison!$B$7</f>
        <v>13.000448195588664</v>
      </c>
      <c r="G798" s="20">
        <f>Comparison!$B$11+(D798-Comparison!$B$11)*Comparison!$B$7</f>
        <v>-38.124257480462227</v>
      </c>
    </row>
    <row r="799" spans="1:7">
      <c r="A799" s="18">
        <f>'Raw Data'!A799</f>
        <v>977</v>
      </c>
      <c r="B799" s="20">
        <f>'Raw Data'!C799</f>
        <v>26.582322768173086</v>
      </c>
      <c r="C799" s="20">
        <f>'Raw Data'!F799</f>
        <v>12.750800132751465</v>
      </c>
      <c r="D799" s="20">
        <f>'Raw Data'!G799</f>
        <v>-38.317192077636719</v>
      </c>
      <c r="E799" s="20">
        <f>'Raw Data'!H799</f>
        <v>7.4464336452896633</v>
      </c>
      <c r="F799" s="20">
        <f>Comparison!$B$10+(C799-Comparison!$B$10)*Comparison!$B$7</f>
        <v>12.32634813393873</v>
      </c>
      <c r="G799" s="20">
        <f>Comparison!$B$11+(D799-Comparison!$B$11)*Comparison!$B$7</f>
        <v>-38.202768403013636</v>
      </c>
    </row>
    <row r="800" spans="1:7">
      <c r="A800" s="18">
        <f>'Raw Data'!A800</f>
        <v>978</v>
      </c>
      <c r="B800" s="20">
        <f>'Raw Data'!C800</f>
        <v>26.615672126175312</v>
      </c>
      <c r="C800" s="20">
        <f>'Raw Data'!F800</f>
        <v>12.457582473754883</v>
      </c>
      <c r="D800" s="20">
        <f>'Raw Data'!G800</f>
        <v>-38.329692840576172</v>
      </c>
      <c r="E800" s="20">
        <f>'Raw Data'!H800</f>
        <v>7.5693408983986119</v>
      </c>
      <c r="F800" s="20">
        <f>Comparison!$B$10+(C800-Comparison!$B$10)*Comparison!$B$7</f>
        <v>12.016029746030862</v>
      </c>
      <c r="G800" s="20">
        <f>Comparison!$B$11+(D800-Comparison!$B$11)*Comparison!$B$7</f>
        <v>-38.215998222173447</v>
      </c>
    </row>
    <row r="801" spans="1:7">
      <c r="A801" s="18">
        <f>'Raw Data'!A801</f>
        <v>979</v>
      </c>
      <c r="B801" s="20">
        <f>'Raw Data'!C801</f>
        <v>26.649021484177538</v>
      </c>
      <c r="C801" s="20">
        <f>'Raw Data'!F801</f>
        <v>11.177394866943359</v>
      </c>
      <c r="D801" s="20">
        <f>'Raw Data'!G801</f>
        <v>-38.373981475830078</v>
      </c>
      <c r="E801" s="20">
        <f>'Raw Data'!H801</f>
        <v>7.5884934272215778</v>
      </c>
      <c r="F801" s="20">
        <f>Comparison!$B$10+(C801-Comparison!$B$10)*Comparison!$B$7</f>
        <v>10.661180397172188</v>
      </c>
      <c r="G801" s="20">
        <f>Comparison!$B$11+(D801-Comparison!$B$11)*Comparison!$B$7</f>
        <v>-38.262869812178167</v>
      </c>
    </row>
    <row r="802" spans="1:7">
      <c r="A802" s="18">
        <f>'Raw Data'!A802</f>
        <v>980</v>
      </c>
      <c r="B802" s="20">
        <f>'Raw Data'!C802</f>
        <v>26.682370842179758</v>
      </c>
      <c r="C802" s="20">
        <f>'Raw Data'!F802</f>
        <v>10.08592700958252</v>
      </c>
      <c r="D802" s="20">
        <f>'Raw Data'!G802</f>
        <v>-38.220882415771484</v>
      </c>
      <c r="E802" s="20">
        <f>'Raw Data'!H802</f>
        <v>7.5212462058579037</v>
      </c>
      <c r="F802" s="20">
        <f>Comparison!$B$10+(C802-Comparison!$B$10)*Comparison!$B$7</f>
        <v>9.5060571105715699</v>
      </c>
      <c r="G802" s="20">
        <f>Comparison!$B$11+(D802-Comparison!$B$11)*Comparison!$B$7</f>
        <v>-38.100841871329806</v>
      </c>
    </row>
    <row r="803" spans="1:7">
      <c r="A803" s="18">
        <f>'Raw Data'!A803</f>
        <v>981</v>
      </c>
      <c r="B803" s="20">
        <f>'Raw Data'!C803</f>
        <v>26.715720200181984</v>
      </c>
      <c r="C803" s="20">
        <f>'Raw Data'!F803</f>
        <v>9.4575071334838867</v>
      </c>
      <c r="D803" s="20">
        <f>'Raw Data'!G803</f>
        <v>-38.153106689453125</v>
      </c>
      <c r="E803" s="20">
        <f>'Raw Data'!H803</f>
        <v>7.5652304767550733</v>
      </c>
      <c r="F803" s="20">
        <f>Comparison!$B$10+(C803-Comparison!$B$10)*Comparison!$B$7</f>
        <v>8.8409871978400751</v>
      </c>
      <c r="G803" s="20">
        <f>Comparison!$B$11+(D803-Comparison!$B$11)*Comparison!$B$7</f>
        <v>-38.029113401078831</v>
      </c>
    </row>
    <row r="804" spans="1:7">
      <c r="A804" s="18">
        <f>'Raw Data'!A804</f>
        <v>982</v>
      </c>
      <c r="B804" s="20">
        <f>'Raw Data'!C804</f>
        <v>26.74906955818421</v>
      </c>
      <c r="C804" s="20">
        <f>'Raw Data'!F804</f>
        <v>8.2715291976928711</v>
      </c>
      <c r="D804" s="20">
        <f>'Raw Data'!G804</f>
        <v>-38.291244506835938</v>
      </c>
      <c r="E804" s="20">
        <f>'Raw Data'!H804</f>
        <v>7.5679710059073653</v>
      </c>
      <c r="F804" s="20">
        <f>Comparison!$B$10+(C804-Comparison!$B$10)*Comparison!$B$7</f>
        <v>7.5858419163846378</v>
      </c>
      <c r="G804" s="20">
        <f>Comparison!$B$11+(D804-Comparison!$B$11)*Comparison!$B$7</f>
        <v>-38.175307545544889</v>
      </c>
    </row>
    <row r="805" spans="1:7">
      <c r="A805" s="18">
        <f>'Raw Data'!A805</f>
        <v>983</v>
      </c>
      <c r="B805" s="20">
        <f>'Raw Data'!C805</f>
        <v>26.78241891618643</v>
      </c>
      <c r="C805" s="20">
        <f>'Raw Data'!F805</f>
        <v>7.3417196273803711</v>
      </c>
      <c r="D805" s="20">
        <f>'Raw Data'!G805</f>
        <v>-38.325092315673828</v>
      </c>
      <c r="E805" s="20">
        <f>'Raw Data'!H805</f>
        <v>7.5542584180779002</v>
      </c>
      <c r="F805" s="20">
        <f>Comparison!$B$10+(C805-Comparison!$B$10)*Comparison!$B$7</f>
        <v>6.601804979768735</v>
      </c>
      <c r="G805" s="20">
        <f>Comparison!$B$11+(D805-Comparison!$B$11)*Comparison!$B$7</f>
        <v>-38.211129390343501</v>
      </c>
    </row>
    <row r="806" spans="1:7">
      <c r="A806" s="18">
        <f>'Raw Data'!A806</f>
        <v>984</v>
      </c>
      <c r="B806" s="20">
        <f>'Raw Data'!C806</f>
        <v>26.815768274188656</v>
      </c>
      <c r="C806" s="20">
        <f>'Raw Data'!F806</f>
        <v>5.8619990348815918</v>
      </c>
      <c r="D806" s="20">
        <f>'Raw Data'!G806</f>
        <v>-38.214344024658203</v>
      </c>
      <c r="E806" s="20">
        <f>'Raw Data'!H806</f>
        <v>7.5528857900265809</v>
      </c>
      <c r="F806" s="20">
        <f>Comparison!$B$10+(C806-Comparison!$B$10)*Comparison!$B$7</f>
        <v>5.0357856943352832</v>
      </c>
      <c r="G806" s="20">
        <f>Comparison!$B$11+(D806-Comparison!$B$11)*Comparison!$B$7</f>
        <v>-38.093922155113781</v>
      </c>
    </row>
    <row r="807" spans="1:7">
      <c r="A807" s="18">
        <f>'Raw Data'!A807</f>
        <v>985</v>
      </c>
      <c r="B807" s="20">
        <f>'Raw Data'!C807</f>
        <v>26.849117632190882</v>
      </c>
      <c r="C807" s="20">
        <f>'Raw Data'!F807</f>
        <v>5.3732295036315918</v>
      </c>
      <c r="D807" s="20">
        <f>'Raw Data'!G807</f>
        <v>-38.075447082519531</v>
      </c>
      <c r="E807" s="20">
        <f>'Raw Data'!H807</f>
        <v>7.4171360878359982</v>
      </c>
      <c r="F807" s="20">
        <f>Comparison!$B$10+(C807-Comparison!$B$10)*Comparison!$B$7</f>
        <v>4.5185106655562279</v>
      </c>
      <c r="G807" s="20">
        <f>Comparison!$B$11+(D807-Comparison!$B$11)*Comparison!$B$7</f>
        <v>-37.946924613024038</v>
      </c>
    </row>
    <row r="808" spans="1:7">
      <c r="A808" s="18">
        <f>'Raw Data'!A808</f>
        <v>986</v>
      </c>
      <c r="B808" s="20">
        <f>'Raw Data'!C808</f>
        <v>26.882466990193109</v>
      </c>
      <c r="C808" s="20">
        <f>'Raw Data'!F808</f>
        <v>4.9518861770629883</v>
      </c>
      <c r="D808" s="20">
        <f>'Raw Data'!G808</f>
        <v>-37.984260559082031</v>
      </c>
      <c r="E808" s="20">
        <f>'Raw Data'!H808</f>
        <v>7.5143504070248861</v>
      </c>
      <c r="F808" s="20">
        <f>Comparison!$B$10+(C808-Comparison!$B$10)*Comparison!$B$7</f>
        <v>4.0725942009614684</v>
      </c>
      <c r="G808" s="20">
        <f>Comparison!$B$11+(D808-Comparison!$B$11)*Comparison!$B$7</f>
        <v>-37.850420006006573</v>
      </c>
    </row>
    <row r="809" spans="1:7">
      <c r="A809" s="18">
        <f>'Raw Data'!A809</f>
        <v>987</v>
      </c>
      <c r="B809" s="20">
        <f>'Raw Data'!C809</f>
        <v>26.915816348195328</v>
      </c>
      <c r="C809" s="20">
        <f>'Raw Data'!F809</f>
        <v>3.5306389331817627</v>
      </c>
      <c r="D809" s="20">
        <f>'Raw Data'!G809</f>
        <v>-38.005859375</v>
      </c>
      <c r="E809" s="20">
        <f>'Raw Data'!H809</f>
        <v>7.6212143555311451</v>
      </c>
      <c r="F809" s="20">
        <f>Comparison!$B$10+(C809-Comparison!$B$10)*Comparison!$B$7</f>
        <v>2.5684584846850349</v>
      </c>
      <c r="G809" s="20">
        <f>Comparison!$B$11+(D809-Comparison!$B$11)*Comparison!$B$7</f>
        <v>-37.873278485128594</v>
      </c>
    </row>
    <row r="810" spans="1:7">
      <c r="A810" s="18">
        <f>'Raw Data'!A810</f>
        <v>988</v>
      </c>
      <c r="B810" s="20">
        <f>'Raw Data'!C810</f>
        <v>26.949165706197554</v>
      </c>
      <c r="C810" s="20">
        <f>'Raw Data'!F810</f>
        <v>2.0107197761535645</v>
      </c>
      <c r="D810" s="20">
        <f>'Raw Data'!G810</f>
        <v>-38.057849884033203</v>
      </c>
      <c r="E810" s="20">
        <f>'Raw Data'!H810</f>
        <v>7.5418957721426034</v>
      </c>
      <c r="F810" s="20">
        <f>Comparison!$B$10+(C810-Comparison!$B$10)*Comparison!$B$7</f>
        <v>0.95989621673249559</v>
      </c>
      <c r="G810" s="20">
        <f>Comparison!$B$11+(D810-Comparison!$B$11)*Comparison!$B$7</f>
        <v>-37.928301129415793</v>
      </c>
    </row>
    <row r="811" spans="1:7">
      <c r="A811" s="18">
        <f>'Raw Data'!A811</f>
        <v>989</v>
      </c>
      <c r="B811" s="20">
        <f>'Raw Data'!C811</f>
        <v>26.982515064199781</v>
      </c>
      <c r="C811" s="20">
        <f>'Raw Data'!F811</f>
        <v>1.3928533792495728</v>
      </c>
      <c r="D811" s="20">
        <f>'Raw Data'!G811</f>
        <v>-37.923679351806641</v>
      </c>
      <c r="E811" s="20">
        <f>'Raw Data'!H811</f>
        <v>7.4922412001289125</v>
      </c>
      <c r="F811" s="20">
        <f>Comparison!$B$10+(C811-Comparison!$B$10)*Comparison!$B$7</f>
        <v>0.30599527200145005</v>
      </c>
      <c r="G811" s="20">
        <f>Comparison!$B$11+(D811-Comparison!$B$11)*Comparison!$B$7</f>
        <v>-37.786305645897613</v>
      </c>
    </row>
    <row r="812" spans="1:7">
      <c r="A812" s="18">
        <f>'Raw Data'!A812</f>
        <v>990</v>
      </c>
      <c r="B812" s="20">
        <f>'Raw Data'!C812</f>
        <v>27.015864422202</v>
      </c>
      <c r="C812" s="20">
        <f>'Raw Data'!F812</f>
        <v>0.90378987789154053</v>
      </c>
      <c r="D812" s="20">
        <f>'Raw Data'!G812</f>
        <v>-37.844745635986328</v>
      </c>
      <c r="E812" s="20">
        <f>'Raw Data'!H812</f>
        <v>7.5046856436593981</v>
      </c>
      <c r="F812" s="20">
        <f>Comparison!$B$10+(C812-Comparison!$B$10)*Comparison!$B$7</f>
        <v>-0.21159087149808187</v>
      </c>
      <c r="G812" s="20">
        <f>Comparison!$B$11+(D812-Comparison!$B$11)*Comparison!$B$7</f>
        <v>-37.702768441730719</v>
      </c>
    </row>
    <row r="813" spans="1:7">
      <c r="A813" s="18">
        <f>'Raw Data'!A813</f>
        <v>991</v>
      </c>
      <c r="B813" s="20">
        <f>'Raw Data'!C813</f>
        <v>27.049213780204227</v>
      </c>
      <c r="C813" s="20">
        <f>'Raw Data'!F813</f>
        <v>0.398133784532547</v>
      </c>
      <c r="D813" s="20">
        <f>'Raw Data'!G813</f>
        <v>-37.744789123535156</v>
      </c>
      <c r="E813" s="20">
        <f>'Raw Data'!H813</f>
        <v>7.4839334084034252</v>
      </c>
      <c r="F813" s="20">
        <f>Comparison!$B$10+(C813-Comparison!$B$10)*Comparison!$B$7</f>
        <v>-0.74673730252795067</v>
      </c>
      <c r="G813" s="20">
        <f>Comparison!$B$11+(D813-Comparison!$B$11)*Comparison!$B$7</f>
        <v>-37.596982371714034</v>
      </c>
    </row>
    <row r="814" spans="1:7">
      <c r="A814" s="18">
        <f>'Raw Data'!A814</f>
        <v>992</v>
      </c>
      <c r="B814" s="20">
        <f>'Raw Data'!C814</f>
        <v>27.082563138206453</v>
      </c>
      <c r="C814" s="20">
        <f>'Raw Data'!F814</f>
        <v>-1.776887059211731</v>
      </c>
      <c r="D814" s="20">
        <f>'Raw Data'!G814</f>
        <v>-37.990444183349609</v>
      </c>
      <c r="E814" s="20">
        <f>'Raw Data'!H814</f>
        <v>7.5789232128038808</v>
      </c>
      <c r="F814" s="20">
        <f>Comparison!$B$10+(C814-Comparison!$B$10)*Comparison!$B$7</f>
        <v>-3.0486074020522196</v>
      </c>
      <c r="G814" s="20">
        <f>Comparison!$B$11+(D814-Comparison!$B$11)*Comparison!$B$7</f>
        <v>-37.856964265041682</v>
      </c>
    </row>
    <row r="815" spans="1:7">
      <c r="A815" s="18">
        <f>'Raw Data'!A815</f>
        <v>993</v>
      </c>
      <c r="B815" s="20">
        <f>'Raw Data'!C815</f>
        <v>27.115912496208672</v>
      </c>
      <c r="C815" s="20">
        <f>'Raw Data'!F815</f>
        <v>-3.5593786239624023</v>
      </c>
      <c r="D815" s="20">
        <f>'Raw Data'!G815</f>
        <v>-38.108810424804688</v>
      </c>
      <c r="E815" s="20">
        <f>'Raw Data'!H815</f>
        <v>7.5542584180779002</v>
      </c>
      <c r="F815" s="20">
        <f>Comparison!$B$10+(C815-Comparison!$B$10)*Comparison!$B$7</f>
        <v>-4.935055546838921</v>
      </c>
      <c r="G815" s="20">
        <f>Comparison!$B$11+(D815-Comparison!$B$11)*Comparison!$B$7</f>
        <v>-37.98223373672613</v>
      </c>
    </row>
    <row r="816" spans="1:7">
      <c r="A816" s="18">
        <f>'Raw Data'!A816</f>
        <v>994</v>
      </c>
      <c r="B816" s="20">
        <f>'Raw Data'!C816</f>
        <v>27.149261854210899</v>
      </c>
      <c r="C816" s="20">
        <f>'Raw Data'!F816</f>
        <v>-4.3497209548950195</v>
      </c>
      <c r="D816" s="20">
        <f>'Raw Data'!G816</f>
        <v>-38.030330657958984</v>
      </c>
      <c r="E816" s="20">
        <f>'Raw Data'!H816</f>
        <v>7.5542584180779002</v>
      </c>
      <c r="F816" s="20">
        <f>Comparison!$B$10+(C816-Comparison!$B$10)*Comparison!$B$7</f>
        <v>-5.7714913838538244</v>
      </c>
      <c r="G816" s="20">
        <f>Comparison!$B$11+(D816-Comparison!$B$11)*Comparison!$B$7</f>
        <v>-37.899176956263851</v>
      </c>
    </row>
    <row r="817" spans="1:7">
      <c r="A817" s="18">
        <f>'Raw Data'!A817</f>
        <v>995</v>
      </c>
      <c r="B817" s="20">
        <f>'Raw Data'!C817</f>
        <v>27.182611212213125</v>
      </c>
      <c r="C817" s="20">
        <f>'Raw Data'!F817</f>
        <v>-4.9212355613708496</v>
      </c>
      <c r="D817" s="20">
        <f>'Raw Data'!G817</f>
        <v>-37.97296142578125</v>
      </c>
      <c r="E817" s="20">
        <f>'Raw Data'!H817</f>
        <v>7.4714544000601757</v>
      </c>
      <c r="F817" s="20">
        <f>Comparison!$B$10+(C817-Comparison!$B$10)*Comparison!$B$7</f>
        <v>-6.3763372582608895</v>
      </c>
      <c r="G817" s="20">
        <f>Comparison!$B$11+(D817-Comparison!$B$11)*Comparison!$B$7</f>
        <v>-37.838461896653079</v>
      </c>
    </row>
    <row r="818" spans="1:7">
      <c r="A818" s="18">
        <f>'Raw Data'!A818</f>
        <v>996</v>
      </c>
      <c r="B818" s="20">
        <f>'Raw Data'!C818</f>
        <v>27.215960570215351</v>
      </c>
      <c r="C818" s="20">
        <f>'Raw Data'!F818</f>
        <v>-5.7220873832702637</v>
      </c>
      <c r="D818" s="20">
        <f>'Raw Data'!G818</f>
        <v>-37.955535888671875</v>
      </c>
      <c r="E818" s="20">
        <f>'Raw Data'!H818</f>
        <v>7.4422553412225643</v>
      </c>
      <c r="F818" s="20">
        <f>Comparison!$B$10+(C818-Comparison!$B$10)*Comparison!$B$7</f>
        <v>-7.2238955096136905</v>
      </c>
      <c r="G818" s="20">
        <f>Comparison!$B$11+(D818-Comparison!$B$11)*Comparison!$B$7</f>
        <v>-37.820020085874312</v>
      </c>
    </row>
    <row r="819" spans="1:7">
      <c r="A819" s="18">
        <f>'Raw Data'!A819</f>
        <v>997</v>
      </c>
      <c r="B819" s="20">
        <f>'Raw Data'!C819</f>
        <v>27.249309928217571</v>
      </c>
      <c r="C819" s="20">
        <f>'Raw Data'!F819</f>
        <v>-6.6904129981994629</v>
      </c>
      <c r="D819" s="20">
        <f>'Raw Data'!G819</f>
        <v>-37.874855041503906</v>
      </c>
      <c r="E819" s="20">
        <f>'Raw Data'!H819</f>
        <v>7.53777038441185</v>
      </c>
      <c r="F819" s="20">
        <f>Comparison!$B$10+(C819-Comparison!$B$10)*Comparison!$B$7</f>
        <v>-8.2486947826964467</v>
      </c>
      <c r="G819" s="20">
        <f>Comparison!$B$11+(D819-Comparison!$B$11)*Comparison!$B$7</f>
        <v>-37.73463385602075</v>
      </c>
    </row>
    <row r="820" spans="1:7">
      <c r="A820" s="18">
        <f>'Raw Data'!A820</f>
        <v>998</v>
      </c>
      <c r="B820" s="20">
        <f>'Raw Data'!C820</f>
        <v>27.282659286219797</v>
      </c>
      <c r="C820" s="20">
        <f>'Raw Data'!F820</f>
        <v>-7.7372875213623047</v>
      </c>
      <c r="D820" s="20">
        <f>'Raw Data'!G820</f>
        <v>-37.845867156982422</v>
      </c>
      <c r="E820" s="20">
        <f>'Raw Data'!H820</f>
        <v>7.5046856436593981</v>
      </c>
      <c r="F820" s="20">
        <f>Comparison!$B$10+(C820-Comparison!$B$10)*Comparison!$B$7</f>
        <v>-9.356624010020024</v>
      </c>
      <c r="G820" s="20">
        <f>Comparison!$B$11+(D820-Comparison!$B$11)*Comparison!$B$7</f>
        <v>-37.703955370883293</v>
      </c>
    </row>
    <row r="821" spans="1:7">
      <c r="A821" s="18">
        <f>'Raw Data'!A821</f>
        <v>999</v>
      </c>
      <c r="B821" s="20">
        <f>'Raw Data'!C821</f>
        <v>27.316008644222023</v>
      </c>
      <c r="C821" s="20">
        <f>'Raw Data'!F821</f>
        <v>-8.4771642684936523</v>
      </c>
      <c r="D821" s="20">
        <f>'Raw Data'!G821</f>
        <v>-37.869956970214844</v>
      </c>
      <c r="E821" s="20">
        <f>'Raw Data'!H821</f>
        <v>7.5528857900265809</v>
      </c>
      <c r="F821" s="20">
        <f>Comparison!$B$10+(C821-Comparison!$B$10)*Comparison!$B$7</f>
        <v>-10.139651063049573</v>
      </c>
      <c r="G821" s="20">
        <f>Comparison!$B$11+(D821-Comparison!$B$11)*Comparison!$B$7</f>
        <v>-37.72945012461971</v>
      </c>
    </row>
    <row r="822" spans="1:7">
      <c r="A822" s="18">
        <f>'Raw Data'!A822</f>
        <v>1000</v>
      </c>
      <c r="B822" s="20">
        <f>'Raw Data'!C822</f>
        <v>27.349358002224243</v>
      </c>
      <c r="C822" s="20">
        <f>'Raw Data'!F822</f>
        <v>-9.8175172805786133</v>
      </c>
      <c r="D822" s="20">
        <f>'Raw Data'!G822</f>
        <v>-37.889190673828125</v>
      </c>
      <c r="E822" s="20">
        <f>'Raw Data'!H822</f>
        <v>7.5143504070248861</v>
      </c>
      <c r="F822" s="20">
        <f>Comparison!$B$10+(C822-Comparison!$B$10)*Comparison!$B$7</f>
        <v>-11.558174720052474</v>
      </c>
      <c r="G822" s="20">
        <f>Comparison!$B$11+(D822-Comparison!$B$11)*Comparison!$B$7</f>
        <v>-37.74980555586896</v>
      </c>
    </row>
    <row r="823" spans="1:7">
      <c r="A823" s="18">
        <f>'Raw Data'!A823</f>
        <v>1001</v>
      </c>
      <c r="B823" s="20">
        <f>'Raw Data'!C823</f>
        <v>27.382707360226469</v>
      </c>
      <c r="C823" s="20">
        <f>'Raw Data'!F823</f>
        <v>-10.916410446166992</v>
      </c>
      <c r="D823" s="20">
        <f>'Raw Data'!G823</f>
        <v>-37.915668487548828</v>
      </c>
      <c r="E823" s="20">
        <f>'Raw Data'!H823</f>
        <v>7.5336427376382975</v>
      </c>
      <c r="F823" s="20">
        <f>Comparison!$B$10+(C823-Comparison!$B$10)*Comparison!$B$7</f>
        <v>-12.721156365821408</v>
      </c>
      <c r="G823" s="20">
        <f>Comparison!$B$11+(D823-Comparison!$B$11)*Comparison!$B$7</f>
        <v>-37.777827580522086</v>
      </c>
    </row>
    <row r="824" spans="1:7">
      <c r="A824" s="18">
        <f>'Raw Data'!A824</f>
        <v>1002</v>
      </c>
      <c r="B824" s="20">
        <f>'Raw Data'!C824</f>
        <v>27.416056718228695</v>
      </c>
      <c r="C824" s="20">
        <f>'Raw Data'!F824</f>
        <v>-12.07016658782959</v>
      </c>
      <c r="D824" s="20">
        <f>'Raw Data'!G824</f>
        <v>-38.001827239990234</v>
      </c>
      <c r="E824" s="20">
        <f>'Raw Data'!H824</f>
        <v>7.5542584180779002</v>
      </c>
      <c r="F824" s="20">
        <f>Comparison!$B$10+(C824-Comparison!$B$10)*Comparison!$B$7</f>
        <v>-13.942200647890772</v>
      </c>
      <c r="G824" s="20">
        <f>Comparison!$B$11+(D824-Comparison!$B$11)*Comparison!$B$7</f>
        <v>-37.869011192222914</v>
      </c>
    </row>
    <row r="825" spans="1:7">
      <c r="A825" s="18">
        <f>'Raw Data'!A825</f>
        <v>1003</v>
      </c>
      <c r="B825" s="20">
        <f>'Raw Data'!C825</f>
        <v>27.449406076230915</v>
      </c>
      <c r="C825" s="20">
        <f>'Raw Data'!F825</f>
        <v>-12.510489463806152</v>
      </c>
      <c r="D825" s="20">
        <f>'Raw Data'!G825</f>
        <v>-38.094944000244141</v>
      </c>
      <c r="E825" s="20">
        <f>'Raw Data'!H825</f>
        <v>7.4867036966376359</v>
      </c>
      <c r="F825" s="20">
        <f>Comparison!$B$10+(C825-Comparison!$B$10)*Comparison!$B$7</f>
        <v>-14.408203567017807</v>
      </c>
      <c r="G825" s="20">
        <f>Comparison!$B$11+(D825-Comparison!$B$11)*Comparison!$B$7</f>
        <v>-37.967558609278484</v>
      </c>
    </row>
    <row r="826" spans="1:7">
      <c r="A826" s="18">
        <f>'Raw Data'!A826</f>
        <v>1004</v>
      </c>
      <c r="B826" s="20">
        <f>'Raw Data'!C826</f>
        <v>27.482755434233141</v>
      </c>
      <c r="C826" s="20">
        <f>'Raw Data'!F826</f>
        <v>-12.508730888366699</v>
      </c>
      <c r="D826" s="20">
        <f>'Raw Data'!G826</f>
        <v>-38.088642120361328</v>
      </c>
      <c r="E826" s="20">
        <f>'Raw Data'!H826</f>
        <v>7.51986755197301</v>
      </c>
      <c r="F826" s="20">
        <f>Comparison!$B$10+(C826-Comparison!$B$10)*Comparison!$B$7</f>
        <v>-14.406342429809179</v>
      </c>
      <c r="G826" s="20">
        <f>Comparison!$B$11+(D826-Comparison!$B$11)*Comparison!$B$7</f>
        <v>-37.960889197849738</v>
      </c>
    </row>
    <row r="827" spans="1:7">
      <c r="A827" s="18">
        <f>'Raw Data'!A827</f>
        <v>1005</v>
      </c>
      <c r="B827" s="20">
        <f>'Raw Data'!C827</f>
        <v>27.516104792235367</v>
      </c>
      <c r="C827" s="20">
        <f>'Raw Data'!F827</f>
        <v>-14.478791236877441</v>
      </c>
      <c r="D827" s="20">
        <f>'Raw Data'!G827</f>
        <v>-38.852729797363281</v>
      </c>
      <c r="E827" s="20">
        <f>'Raw Data'!H827</f>
        <v>7.8938680123048464</v>
      </c>
      <c r="F827" s="20">
        <f>Comparison!$B$10+(C827-Comparison!$B$10)*Comparison!$B$7</f>
        <v>-16.491298545764636</v>
      </c>
      <c r="G827" s="20">
        <f>Comparison!$B$11+(D827-Comparison!$B$11)*Comparison!$B$7</f>
        <v>-38.769539184889837</v>
      </c>
    </row>
    <row r="828" spans="1:7">
      <c r="A828" s="18">
        <f>'Raw Data'!A828</f>
        <v>1006</v>
      </c>
      <c r="B828" s="20">
        <f>'Raw Data'!C828</f>
        <v>27.549454150237594</v>
      </c>
      <c r="C828" s="20">
        <f>'Raw Data'!F828</f>
        <v>-15.490474700927734</v>
      </c>
      <c r="D828" s="20">
        <f>'Raw Data'!G828</f>
        <v>-39.834896087646484</v>
      </c>
      <c r="E828" s="20">
        <f>'Raw Data'!H828</f>
        <v>7.7574025120787997</v>
      </c>
      <c r="F828" s="20">
        <f>Comparison!$B$10+(C828-Comparison!$B$10)*Comparison!$B$7</f>
        <v>-17.561984338398958</v>
      </c>
      <c r="G828" s="20">
        <f>Comparison!$B$11+(D828-Comparison!$B$11)*Comparison!$B$7</f>
        <v>-39.808986334495813</v>
      </c>
    </row>
    <row r="829" spans="1:7">
      <c r="A829" s="18">
        <f>'Raw Data'!A829</f>
        <v>1007</v>
      </c>
      <c r="B829" s="20">
        <f>'Raw Data'!C829</f>
        <v>27.582803508239813</v>
      </c>
      <c r="C829" s="20">
        <f>'Raw Data'!F829</f>
        <v>-14.498721122741699</v>
      </c>
      <c r="D829" s="20">
        <f>'Raw Data'!G829</f>
        <v>-40.264759063720703</v>
      </c>
      <c r="E829" s="20">
        <f>'Raw Data'!H829</f>
        <v>7.6320901575044937</v>
      </c>
      <c r="F829" s="20">
        <f>Comparison!$B$10+(C829-Comparison!$B$10)*Comparison!$B$7</f>
        <v>-16.512390761266765</v>
      </c>
      <c r="G829" s="20">
        <f>Comparison!$B$11+(D829-Comparison!$B$11)*Comparison!$B$7</f>
        <v>-40.263919322546798</v>
      </c>
    </row>
    <row r="830" spans="1:7">
      <c r="A830" s="18">
        <f>'Raw Data'!A830</f>
        <v>1008</v>
      </c>
      <c r="B830" s="20">
        <f>'Raw Data'!C830</f>
        <v>27.616152866242039</v>
      </c>
      <c r="C830" s="20">
        <f>'Raw Data'!F830</f>
        <v>-15.853089332580566</v>
      </c>
      <c r="D830" s="20">
        <f>'Raw Data'!G830</f>
        <v>-41.750747680664063</v>
      </c>
      <c r="E830" s="20">
        <f>'Raw Data'!H830</f>
        <v>7.5884934272215778</v>
      </c>
      <c r="F830" s="20">
        <f>Comparison!$B$10+(C830-Comparison!$B$10)*Comparison!$B$7</f>
        <v>-17.945746995502851</v>
      </c>
      <c r="G830" s="20">
        <f>Comparison!$B$11+(D830-Comparison!$B$11)*Comparison!$B$7</f>
        <v>-41.836572189489857</v>
      </c>
    </row>
    <row r="831" spans="1:7">
      <c r="A831" s="18">
        <f>'Raw Data'!A831</f>
        <v>1009</v>
      </c>
      <c r="B831" s="20">
        <f>'Raw Data'!C831</f>
        <v>27.649502224244266</v>
      </c>
      <c r="C831" s="20">
        <f>'Raw Data'!F831</f>
        <v>-14.048768997192383</v>
      </c>
      <c r="D831" s="20">
        <f>'Raw Data'!G831</f>
        <v>-41.880107879638672</v>
      </c>
      <c r="E831" s="20">
        <f>'Raw Data'!H831</f>
        <v>7.5528857900265809</v>
      </c>
      <c r="F831" s="20">
        <f>Comparison!$B$10+(C831-Comparison!$B$10)*Comparison!$B$7</f>
        <v>-16.036197005699641</v>
      </c>
      <c r="G831" s="20">
        <f>Comparison!$B$11+(D831-Comparison!$B$11)*Comparison!$B$7</f>
        <v>-41.973476796608729</v>
      </c>
    </row>
    <row r="832" spans="1:7">
      <c r="A832" s="18">
        <f>'Raw Data'!A832</f>
        <v>1010</v>
      </c>
      <c r="B832" s="20">
        <f>'Raw Data'!C832</f>
        <v>27.682851582246485</v>
      </c>
      <c r="C832" s="20">
        <f>'Raw Data'!F832</f>
        <v>-13.953288078308105</v>
      </c>
      <c r="D832" s="20">
        <f>'Raw Data'!G832</f>
        <v>-42.693111419677734</v>
      </c>
      <c r="E832" s="20">
        <f>'Raw Data'!H832</f>
        <v>7.6632721105498076</v>
      </c>
      <c r="F832" s="20">
        <f>Comparison!$B$10+(C832-Comparison!$B$10)*Comparison!$B$7</f>
        <v>-15.935147550064784</v>
      </c>
      <c r="G832" s="20">
        <f>Comparison!$B$11+(D832-Comparison!$B$11)*Comparison!$B$7</f>
        <v>-42.83389546570141</v>
      </c>
    </row>
    <row r="833" spans="1:7">
      <c r="A833" s="18">
        <f>'Raw Data'!A833</f>
        <v>1011</v>
      </c>
      <c r="B833" s="20">
        <f>'Raw Data'!C833</f>
        <v>27.716200940248712</v>
      </c>
      <c r="C833" s="20">
        <f>'Raw Data'!F833</f>
        <v>-13.69713020324707</v>
      </c>
      <c r="D833" s="20">
        <f>'Raw Data'!G833</f>
        <v>-43.176376342773438</v>
      </c>
      <c r="E833" s="20">
        <f>'Raw Data'!H833</f>
        <v>7.5775550526315625</v>
      </c>
      <c r="F833" s="20">
        <f>Comparison!$B$10+(C833-Comparison!$B$10)*Comparison!$B$7</f>
        <v>-15.664050307453721</v>
      </c>
      <c r="G833" s="20">
        <f>Comparison!$B$11+(D833-Comparison!$B$11)*Comparison!$B$7</f>
        <v>-43.34534485241528</v>
      </c>
    </row>
    <row r="834" spans="1:7">
      <c r="A834" s="18">
        <f>'Raw Data'!A834</f>
        <v>1012</v>
      </c>
      <c r="B834" s="20">
        <f>'Raw Data'!C834</f>
        <v>27.749550298250938</v>
      </c>
      <c r="C834" s="20">
        <f>'Raw Data'!F834</f>
        <v>-12.779745101928711</v>
      </c>
      <c r="D834" s="20">
        <f>'Raw Data'!G834</f>
        <v>-43.237453460693359</v>
      </c>
      <c r="E834" s="20">
        <f>'Raw Data'!H834</f>
        <v>7.5666008654044363</v>
      </c>
      <c r="F834" s="20">
        <f>Comparison!$B$10+(C834-Comparison!$B$10)*Comparison!$B$7</f>
        <v>-14.693162446517867</v>
      </c>
      <c r="G834" s="20">
        <f>Comparison!$B$11+(D834-Comparison!$B$11)*Comparison!$B$7</f>
        <v>-43.409984045142721</v>
      </c>
    </row>
    <row r="835" spans="1:7">
      <c r="A835" s="18">
        <f>'Raw Data'!A835</f>
        <v>1013</v>
      </c>
      <c r="B835" s="20">
        <f>'Raw Data'!C835</f>
        <v>27.782899656253157</v>
      </c>
      <c r="C835" s="20">
        <f>'Raw Data'!F835</f>
        <v>-11.741794586181641</v>
      </c>
      <c r="D835" s="20">
        <f>'Raw Data'!G835</f>
        <v>-43.277572631835938</v>
      </c>
      <c r="E835" s="20">
        <f>'Raw Data'!H835</f>
        <v>7.5871269928128733</v>
      </c>
      <c r="F835" s="20">
        <f>Comparison!$B$10+(C835-Comparison!$B$10)*Comparison!$B$7</f>
        <v>-13.594677683093281</v>
      </c>
      <c r="G835" s="20">
        <f>Comparison!$B$11+(D835-Comparison!$B$11)*Comparison!$B$7</f>
        <v>-43.452443003978175</v>
      </c>
    </row>
    <row r="836" spans="1:7">
      <c r="A836" s="18">
        <f>'Raw Data'!A836</f>
        <v>1014</v>
      </c>
      <c r="B836" s="20">
        <f>'Raw Data'!C836</f>
        <v>27.816249014255384</v>
      </c>
      <c r="C836" s="20">
        <f>'Raw Data'!F836</f>
        <v>-10.789721488952637</v>
      </c>
      <c r="D836" s="20">
        <f>'Raw Data'!G836</f>
        <v>-43.326377868652344</v>
      </c>
      <c r="E836" s="20">
        <f>'Raw Data'!H836</f>
        <v>7.489472960167384</v>
      </c>
      <c r="F836" s="20">
        <f>Comparison!$B$10+(C836-Comparison!$B$10)*Comparison!$B$7</f>
        <v>-12.587078789787881</v>
      </c>
      <c r="G836" s="20">
        <f>Comparison!$B$11+(D836-Comparison!$B$11)*Comparison!$B$7</f>
        <v>-43.504094607985103</v>
      </c>
    </row>
    <row r="837" spans="1:7">
      <c r="A837" s="18">
        <f>'Raw Data'!A837</f>
        <v>1015</v>
      </c>
      <c r="B837" s="20">
        <f>'Raw Data'!C837</f>
        <v>27.84959837225761</v>
      </c>
      <c r="C837" s="20">
        <f>'Raw Data'!F837</f>
        <v>-10.147578239440918</v>
      </c>
      <c r="D837" s="20">
        <f>'Raw Data'!G837</f>
        <v>-43.443645477294922</v>
      </c>
      <c r="E837" s="20">
        <f>'Raw Data'!H837</f>
        <v>7.4783897532661019</v>
      </c>
      <c r="F837" s="20">
        <f>Comparison!$B$10+(C837-Comparison!$B$10)*Comparison!$B$7</f>
        <v>-11.907485143633306</v>
      </c>
      <c r="G837" s="20">
        <f>Comparison!$B$11+(D837-Comparison!$B$11)*Comparison!$B$7</f>
        <v>-43.628201373560913</v>
      </c>
    </row>
    <row r="838" spans="1:7">
      <c r="A838" s="18">
        <f>'Raw Data'!A838</f>
        <v>1016</v>
      </c>
      <c r="B838" s="20">
        <f>'Raw Data'!C838</f>
        <v>27.882947730259836</v>
      </c>
      <c r="C838" s="20">
        <f>'Raw Data'!F838</f>
        <v>-9.3851861953735352</v>
      </c>
      <c r="D838" s="20">
        <f>'Raw Data'!G838</f>
        <v>-43.560077667236328</v>
      </c>
      <c r="E838" s="20">
        <f>'Raw Data'!H838</f>
        <v>7.5102098885323407</v>
      </c>
      <c r="F838" s="20">
        <f>Comparison!$B$10+(C838-Comparison!$B$10)*Comparison!$B$7</f>
        <v>-11.100629680431027</v>
      </c>
      <c r="G838" s="20">
        <f>Comparison!$B$11+(D838-Comparison!$B$11)*Comparison!$B$7</f>
        <v>-43.751423998033268</v>
      </c>
    </row>
    <row r="839" spans="1:7">
      <c r="A839" s="18">
        <f>'Raw Data'!A839</f>
        <v>1017</v>
      </c>
      <c r="B839" s="20">
        <f>'Raw Data'!C839</f>
        <v>27.916297088262056</v>
      </c>
      <c r="C839" s="20">
        <f>'Raw Data'!F839</f>
        <v>-7.894566535949707</v>
      </c>
      <c r="D839" s="20">
        <f>'Raw Data'!G839</f>
        <v>-43.423976898193359</v>
      </c>
      <c r="E839" s="20">
        <f>'Raw Data'!H839</f>
        <v>7.5115903149549048</v>
      </c>
      <c r="F839" s="20">
        <f>Comparison!$B$10+(C839-Comparison!$B$10)*Comparison!$B$7</f>
        <v>-9.5230756842661144</v>
      </c>
      <c r="G839" s="20">
        <f>Comparison!$B$11+(D839-Comparison!$B$11)*Comparison!$B$7</f>
        <v>-43.607385704476989</v>
      </c>
    </row>
    <row r="840" spans="1:7">
      <c r="A840" s="18">
        <f>'Raw Data'!A840</f>
        <v>1018</v>
      </c>
      <c r="B840" s="20">
        <f>'Raw Data'!C840</f>
        <v>27.949646446264282</v>
      </c>
      <c r="C840" s="20">
        <f>'Raw Data'!F840</f>
        <v>-6.3951077461242676</v>
      </c>
      <c r="D840" s="20">
        <f>'Raw Data'!G840</f>
        <v>-43.199493408203125</v>
      </c>
      <c r="E840" s="20">
        <f>'Raw Data'!H840</f>
        <v>7.5143504070248861</v>
      </c>
      <c r="F840" s="20">
        <f>Comparison!$B$10+(C840-Comparison!$B$10)*Comparison!$B$7</f>
        <v>-7.936167051323455</v>
      </c>
      <c r="G840" s="20">
        <f>Comparison!$B$11+(D840-Comparison!$B$11)*Comparison!$B$7</f>
        <v>-43.369810126784671</v>
      </c>
    </row>
    <row r="841" spans="1:7">
      <c r="A841" s="18">
        <f>'Raw Data'!A841</f>
        <v>1019</v>
      </c>
      <c r="B841" s="20">
        <f>'Raw Data'!C841</f>
        <v>27.982995804266508</v>
      </c>
      <c r="C841" s="20">
        <f>'Raw Data'!F841</f>
        <v>-5.3997063636779785</v>
      </c>
      <c r="D841" s="20">
        <f>'Raw Data'!G841</f>
        <v>-43.211769104003906</v>
      </c>
      <c r="E841" s="20">
        <f>'Raw Data'!H841</f>
        <v>7.495008417656372</v>
      </c>
      <c r="F841" s="20">
        <f>Comparison!$B$10+(C841-Comparison!$B$10)*Comparison!$B$7</f>
        <v>-6.8827129265649027</v>
      </c>
      <c r="G841" s="20">
        <f>Comparison!$B$11+(D841-Comparison!$B$11)*Comparison!$B$7</f>
        <v>-43.382801752679171</v>
      </c>
    </row>
    <row r="842" spans="1:7">
      <c r="A842" s="18">
        <f>'Raw Data'!A842</f>
        <v>1020</v>
      </c>
      <c r="B842" s="20">
        <f>'Raw Data'!C842</f>
        <v>28.016345162268728</v>
      </c>
      <c r="C842" s="20">
        <f>'Raw Data'!F842</f>
        <v>-4.8292927742004395</v>
      </c>
      <c r="D842" s="20">
        <f>'Raw Data'!G842</f>
        <v>-43.295047760009766</v>
      </c>
      <c r="E842" s="20">
        <f>'Raw Data'!H842</f>
        <v>7.5583748065868592</v>
      </c>
      <c r="F842" s="20">
        <f>Comparison!$B$10+(C842-Comparison!$B$10)*Comparison!$B$7</f>
        <v>-6.2790322815002249</v>
      </c>
      <c r="G842" s="20">
        <f>Comparison!$B$11+(D842-Comparison!$B$11)*Comparison!$B$7</f>
        <v>-43.470937298018804</v>
      </c>
    </row>
    <row r="843" spans="1:7">
      <c r="A843" s="18">
        <f>'Raw Data'!A843</f>
        <v>1021</v>
      </c>
      <c r="B843" s="20">
        <f>'Raw Data'!C843</f>
        <v>28.049694520270954</v>
      </c>
      <c r="C843" s="20">
        <f>'Raw Data'!F843</f>
        <v>-3.3515121936798096</v>
      </c>
      <c r="D843" s="20">
        <f>'Raw Data'!G843</f>
        <v>-43.298488616943359</v>
      </c>
      <c r="E843" s="20">
        <f>'Raw Data'!H843</f>
        <v>7.6225746793894631</v>
      </c>
      <c r="F843" s="20">
        <f>Comparison!$B$10+(C843-Comparison!$B$10)*Comparison!$B$7</f>
        <v>-4.7150661513632244</v>
      </c>
      <c r="G843" s="20">
        <f>Comparison!$B$11+(D843-Comparison!$B$11)*Comparison!$B$7</f>
        <v>-43.47457882895629</v>
      </c>
    </row>
    <row r="844" spans="1:7">
      <c r="A844" s="18">
        <f>'Raw Data'!A844</f>
        <v>1022</v>
      </c>
      <c r="B844" s="20">
        <f>'Raw Data'!C844</f>
        <v>28.08304387827318</v>
      </c>
      <c r="C844" s="20">
        <f>'Raw Data'!F844</f>
        <v>-1.9150117635726929</v>
      </c>
      <c r="D844" s="20">
        <f>'Raw Data'!G844</f>
        <v>-43.281215667724609</v>
      </c>
      <c r="E844" s="20">
        <f>'Raw Data'!H844</f>
        <v>7.5884934272215778</v>
      </c>
      <c r="F844" s="20">
        <f>Comparison!$B$10+(C844-Comparison!$B$10)*Comparison!$B$7</f>
        <v>-3.1947876687326939</v>
      </c>
      <c r="G844" s="20">
        <f>Comparison!$B$11+(D844-Comparison!$B$11)*Comparison!$B$7</f>
        <v>-43.456298505137049</v>
      </c>
    </row>
    <row r="845" spans="1:7">
      <c r="A845" s="18">
        <f>'Raw Data'!A845</f>
        <v>1023</v>
      </c>
      <c r="B845" s="20">
        <f>'Raw Data'!C845</f>
        <v>28.1163932362754</v>
      </c>
      <c r="C845" s="20">
        <f>'Raw Data'!F845</f>
        <v>-1.2317832708358765</v>
      </c>
      <c r="D845" s="20">
        <f>'Raw Data'!G845</f>
        <v>-43.409927368164063</v>
      </c>
      <c r="E845" s="20">
        <f>'Raw Data'!H845</f>
        <v>7.5005397899352122</v>
      </c>
      <c r="F845" s="20">
        <f>Comparison!$B$10+(C845-Comparison!$B$10)*Comparison!$B$7</f>
        <v>-2.4717126494301098</v>
      </c>
      <c r="G845" s="20">
        <f>Comparison!$B$11+(D845-Comparison!$B$11)*Comparison!$B$7</f>
        <v>-43.592516792677898</v>
      </c>
    </row>
    <row r="846" spans="1:7">
      <c r="A846" s="18">
        <f>'Raw Data'!A846</f>
        <v>1024</v>
      </c>
      <c r="B846" s="20">
        <f>'Raw Data'!C846</f>
        <v>28.149742594277626</v>
      </c>
      <c r="C846" s="20">
        <f>'Raw Data'!F846</f>
        <v>0.10985320806503296</v>
      </c>
      <c r="D846" s="20">
        <f>'Raw Data'!G846</f>
        <v>-43.208335876464844</v>
      </c>
      <c r="E846" s="20">
        <f>'Raw Data'!H846</f>
        <v>7.5570029262222453</v>
      </c>
      <c r="F846" s="20">
        <f>Comparison!$B$10+(C846-Comparison!$B$10)*Comparison!$B$7</f>
        <v>-1.0518306726226641</v>
      </c>
      <c r="G846" s="20">
        <f>Comparison!$B$11+(D846-Comparison!$B$11)*Comparison!$B$7</f>
        <v>-43.379168296089659</v>
      </c>
    </row>
    <row r="847" spans="1:7">
      <c r="A847" s="18">
        <f>'Raw Data'!A847</f>
        <v>1025</v>
      </c>
      <c r="B847" s="20">
        <f>'Raw Data'!C847</f>
        <v>28.183091952279852</v>
      </c>
      <c r="C847" s="20">
        <f>'Raw Data'!F847</f>
        <v>1.5562705993652344</v>
      </c>
      <c r="D847" s="20">
        <f>'Raw Data'!G847</f>
        <v>-43.026432037353516</v>
      </c>
      <c r="E847" s="20">
        <f>'Raw Data'!H847</f>
        <v>7.5308897162645749</v>
      </c>
      <c r="F847" s="20">
        <f>Comparison!$B$10+(C847-Comparison!$B$10)*Comparison!$B$7</f>
        <v>0.47894313767985608</v>
      </c>
      <c r="G847" s="20">
        <f>Comparison!$B$11+(D847-Comparison!$B$11)*Comparison!$B$7</f>
        <v>-43.186655654455286</v>
      </c>
    </row>
    <row r="848" spans="1:7">
      <c r="A848" s="18">
        <f>'Raw Data'!A848</f>
        <v>1026</v>
      </c>
      <c r="B848" s="20">
        <f>'Raw Data'!C848</f>
        <v>28.216441310282072</v>
      </c>
      <c r="C848" s="20">
        <f>'Raw Data'!F848</f>
        <v>2.9837660789489746</v>
      </c>
      <c r="D848" s="20">
        <f>'Raw Data'!G848</f>
        <v>-43.049190521240234</v>
      </c>
      <c r="E848" s="20">
        <f>'Raw Data'!H848</f>
        <v>7.4700665567492237</v>
      </c>
      <c r="F848" s="20">
        <f>Comparison!$B$10+(C848-Comparison!$B$10)*Comparison!$B$7</f>
        <v>1.9896914926258304</v>
      </c>
      <c r="G848" s="20">
        <f>Comparison!$B$11+(D848-Comparison!$B$11)*Comparison!$B$7</f>
        <v>-43.210741434469767</v>
      </c>
    </row>
    <row r="849" spans="1:7">
      <c r="A849" s="18">
        <f>'Raw Data'!A849</f>
        <v>1027</v>
      </c>
      <c r="B849" s="20">
        <f>'Raw Data'!C849</f>
        <v>28.249790668284298</v>
      </c>
      <c r="C849" s="20">
        <f>'Raw Data'!F849</f>
        <v>4.2692022323608398</v>
      </c>
      <c r="D849" s="20">
        <f>'Raw Data'!G849</f>
        <v>-43.041481018066406</v>
      </c>
      <c r="E849" s="20">
        <f>'Raw Data'!H849</f>
        <v>7.5157300729516914</v>
      </c>
      <c r="F849" s="20">
        <f>Comparison!$B$10+(C849-Comparison!$B$10)*Comparison!$B$7</f>
        <v>3.3500954882457243</v>
      </c>
      <c r="G849" s="20">
        <f>Comparison!$B$11+(D849-Comparison!$B$11)*Comparison!$B$7</f>
        <v>-43.202582305839321</v>
      </c>
    </row>
    <row r="850" spans="1:7">
      <c r="A850" s="18">
        <f>'Raw Data'!A850</f>
        <v>1028</v>
      </c>
      <c r="B850" s="20">
        <f>'Raw Data'!C850</f>
        <v>28.283140026286524</v>
      </c>
      <c r="C850" s="20">
        <f>'Raw Data'!F850</f>
        <v>4.9317269325256348</v>
      </c>
      <c r="D850" s="20">
        <f>'Raw Data'!G850</f>
        <v>-43.046932220458984</v>
      </c>
      <c r="E850" s="20">
        <f>'Raw Data'!H850</f>
        <v>7.5240027557785139</v>
      </c>
      <c r="F850" s="20">
        <f>Comparison!$B$10+(C850-Comparison!$B$10)*Comparison!$B$7</f>
        <v>4.0512592503732954</v>
      </c>
      <c r="G850" s="20">
        <f>Comparison!$B$11+(D850-Comparison!$B$11)*Comparison!$B$7</f>
        <v>-43.208351427468671</v>
      </c>
    </row>
    <row r="851" spans="1:7">
      <c r="A851" s="18">
        <f>'Raw Data'!A851</f>
        <v>1029</v>
      </c>
      <c r="B851" s="20">
        <f>'Raw Data'!C851</f>
        <v>28.316489384288751</v>
      </c>
      <c r="C851" s="20">
        <f>'Raw Data'!F851</f>
        <v>6.1824889183044434</v>
      </c>
      <c r="D851" s="20">
        <f>'Raw Data'!G851</f>
        <v>-43.092411041259766</v>
      </c>
      <c r="E851" s="20">
        <f>'Raw Data'!H851</f>
        <v>7.5528857900265809</v>
      </c>
      <c r="F851" s="20">
        <f>Comparison!$B$10+(C851-Comparison!$B$10)*Comparison!$B$7</f>
        <v>5.3749668483793496</v>
      </c>
      <c r="G851" s="20">
        <f>Comparison!$B$11+(D851-Comparison!$B$11)*Comparison!$B$7</f>
        <v>-43.256482615757754</v>
      </c>
    </row>
    <row r="852" spans="1:7">
      <c r="A852" s="18">
        <f>'Raw Data'!A852</f>
        <v>1030</v>
      </c>
      <c r="B852" s="20">
        <f>'Raw Data'!C852</f>
        <v>28.34983874229097</v>
      </c>
      <c r="C852" s="20">
        <f>'Raw Data'!F852</f>
        <v>7.0237240791320801</v>
      </c>
      <c r="D852" s="20">
        <f>'Raw Data'!G852</f>
        <v>-43.122364044189453</v>
      </c>
      <c r="E852" s="20">
        <f>'Raw Data'!H852</f>
        <v>7.5432704000173461</v>
      </c>
      <c r="F852" s="20">
        <f>Comparison!$B$10+(C852-Comparison!$B$10)*Comparison!$B$7</f>
        <v>6.2652636328663007</v>
      </c>
      <c r="G852" s="20">
        <f>Comparison!$B$11+(D852-Comparison!$B$11)*Comparison!$B$7</f>
        <v>-43.288182505914264</v>
      </c>
    </row>
    <row r="853" spans="1:7">
      <c r="A853" s="18">
        <f>'Raw Data'!A853</f>
        <v>1031</v>
      </c>
      <c r="B853" s="20">
        <f>'Raw Data'!C853</f>
        <v>28.383188100293196</v>
      </c>
      <c r="C853" s="20">
        <f>'Raw Data'!F853</f>
        <v>7.5387697219848633</v>
      </c>
      <c r="D853" s="20">
        <f>'Raw Data'!G853</f>
        <v>-43.175174713134766</v>
      </c>
      <c r="E853" s="20">
        <f>'Raw Data'!H853</f>
        <v>7.5556307967645031</v>
      </c>
      <c r="F853" s="20">
        <f>Comparison!$B$10+(C853-Comparison!$B$10)*Comparison!$B$7</f>
        <v>6.8103472207238482</v>
      </c>
      <c r="G853" s="20">
        <f>Comparison!$B$11+(D853-Comparison!$B$11)*Comparison!$B$7</f>
        <v>-43.344073142608949</v>
      </c>
    </row>
    <row r="854" spans="1:7">
      <c r="A854" s="18">
        <f>'Raw Data'!A854</f>
        <v>1032</v>
      </c>
      <c r="B854" s="20">
        <f>'Raw Data'!C854</f>
        <v>28.416537458295423</v>
      </c>
      <c r="C854" s="20">
        <f>'Raw Data'!F854</f>
        <v>8.7635908126831055</v>
      </c>
      <c r="D854" s="20">
        <f>'Raw Data'!G854</f>
        <v>-43.009777069091797</v>
      </c>
      <c r="E854" s="20">
        <f>'Raw Data'!H854</f>
        <v>7.5597464379939563</v>
      </c>
      <c r="F854" s="20">
        <f>Comparison!$B$10+(C854-Comparison!$B$10)*Comparison!$B$7</f>
        <v>8.1066010263156389</v>
      </c>
      <c r="G854" s="20">
        <f>Comparison!$B$11+(D854-Comparison!$B$11)*Comparison!$B$7</f>
        <v>-43.169029352822157</v>
      </c>
    </row>
    <row r="855" spans="1:7">
      <c r="A855" s="18">
        <f>'Raw Data'!A855</f>
        <v>1033</v>
      </c>
      <c r="B855" s="20">
        <f>'Raw Data'!C855</f>
        <v>28.449886816297642</v>
      </c>
      <c r="C855" s="20">
        <f>'Raw Data'!F855</f>
        <v>9.6922369003295898</v>
      </c>
      <c r="D855" s="20">
        <f>'Raw Data'!G855</f>
        <v>-43.173744201660156</v>
      </c>
      <c r="E855" s="20">
        <f>'Raw Data'!H855</f>
        <v>7.5446447774360612</v>
      </c>
      <c r="F855" s="20">
        <f>Comparison!$B$10+(C855-Comparison!$B$10)*Comparison!$B$7</f>
        <v>9.0894066248650951</v>
      </c>
      <c r="G855" s="20">
        <f>Comparison!$B$11+(D855-Comparison!$B$11)*Comparison!$B$7</f>
        <v>-43.342559202363319</v>
      </c>
    </row>
    <row r="856" spans="1:7">
      <c r="A856" s="18">
        <f>'Raw Data'!A856</f>
        <v>1034</v>
      </c>
      <c r="B856" s="20">
        <f>'Raw Data'!C856</f>
        <v>28.483236174299869</v>
      </c>
      <c r="C856" s="20">
        <f>'Raw Data'!F856</f>
        <v>10.911398887634277</v>
      </c>
      <c r="D856" s="20">
        <f>'Raw Data'!G856</f>
        <v>-43.183399200439453</v>
      </c>
      <c r="E856" s="20">
        <f>'Raw Data'!H856</f>
        <v>7.5157300729516914</v>
      </c>
      <c r="F856" s="20">
        <f>Comparison!$B$10+(C856-Comparison!$B$10)*Comparison!$B$7</f>
        <v>10.379671282845171</v>
      </c>
      <c r="G856" s="20">
        <f>Comparison!$B$11+(D856-Comparison!$B$11)*Comparison!$B$7</f>
        <v>-43.352777289727833</v>
      </c>
    </row>
    <row r="857" spans="1:7">
      <c r="A857" s="18">
        <f>'Raw Data'!A857</f>
        <v>1035</v>
      </c>
      <c r="B857" s="20">
        <f>'Raw Data'!C857</f>
        <v>28.516585532302095</v>
      </c>
      <c r="C857" s="20">
        <f>'Raw Data'!F857</f>
        <v>11.655707359313965</v>
      </c>
      <c r="D857" s="20">
        <f>'Raw Data'!G857</f>
        <v>-43.168632507324219</v>
      </c>
      <c r="E857" s="20">
        <f>'Raw Data'!H857</f>
        <v>7.51986755197301</v>
      </c>
      <c r="F857" s="20">
        <f>Comparison!$B$10+(C857-Comparison!$B$10)*Comparison!$B$7</f>
        <v>11.167388522755685</v>
      </c>
      <c r="G857" s="20">
        <f>Comparison!$B$11+(D857-Comparison!$B$11)*Comparison!$B$7</f>
        <v>-43.337149389218936</v>
      </c>
    </row>
    <row r="858" spans="1:7">
      <c r="A858" s="18">
        <f>'Raw Data'!A858</f>
        <v>1036</v>
      </c>
      <c r="B858" s="20">
        <f>'Raw Data'!C858</f>
        <v>28.549934890304314</v>
      </c>
      <c r="C858" s="20">
        <f>'Raw Data'!F858</f>
        <v>12.62935733795166</v>
      </c>
      <c r="D858" s="20">
        <f>'Raw Data'!G858</f>
        <v>-42.969078063964844</v>
      </c>
      <c r="E858" s="20">
        <f>'Raw Data'!H858</f>
        <v>7.5789232128038808</v>
      </c>
      <c r="F858" s="20">
        <f>Comparison!$B$10+(C858-Comparison!$B$10)*Comparison!$B$7</f>
        <v>12.197822681432676</v>
      </c>
      <c r="G858" s="20">
        <f>Comparison!$B$11+(D858-Comparison!$B$11)*Comparison!$B$7</f>
        <v>-43.12595674354047</v>
      </c>
    </row>
    <row r="859" spans="1:7">
      <c r="A859" s="18">
        <f>'Raw Data'!A859</f>
        <v>1037</v>
      </c>
      <c r="B859" s="20">
        <f>'Raw Data'!C859</f>
        <v>28.583284248306541</v>
      </c>
      <c r="C859" s="20">
        <f>'Raw Data'!F859</f>
        <v>13.609029769897461</v>
      </c>
      <c r="D859" s="20">
        <f>'Raw Data'!G859</f>
        <v>-43.111316680908203</v>
      </c>
      <c r="E859" s="20">
        <f>'Raw Data'!H859</f>
        <v>7.6266541951641864</v>
      </c>
      <c r="F859" s="20">
        <f>Comparison!$B$10+(C859-Comparison!$B$10)*Comparison!$B$7</f>
        <v>13.234630528543773</v>
      </c>
      <c r="G859" s="20">
        <f>Comparison!$B$11+(D859-Comparison!$B$11)*Comparison!$B$7</f>
        <v>-43.276490850044006</v>
      </c>
    </row>
    <row r="860" spans="1:7">
      <c r="A860" s="18">
        <f>'Raw Data'!A860</f>
        <v>1038</v>
      </c>
      <c r="B860" s="20">
        <f>'Raw Data'!C860</f>
        <v>28.616633606308767</v>
      </c>
      <c r="C860" s="20">
        <f>'Raw Data'!F860</f>
        <v>14.369470596313477</v>
      </c>
      <c r="D860" s="20">
        <f>'Raw Data'!G860</f>
        <v>-43.19232177734375</v>
      </c>
      <c r="E860" s="20">
        <f>'Raw Data'!H860</f>
        <v>7.6334485432334152</v>
      </c>
      <c r="F860" s="20">
        <f>Comparison!$B$10+(C860-Comparison!$B$10)*Comparison!$B$7</f>
        <v>14.039420977251011</v>
      </c>
      <c r="G860" s="20">
        <f>Comparison!$B$11+(D860-Comparison!$B$11)*Comparison!$B$7</f>
        <v>-43.362220239686579</v>
      </c>
    </row>
    <row r="861" spans="1:7">
      <c r="A861" s="18">
        <f>'Raw Data'!A861</f>
        <v>1039</v>
      </c>
      <c r="B861" s="20">
        <f>'Raw Data'!C861</f>
        <v>28.649982964310993</v>
      </c>
      <c r="C861" s="20">
        <f>'Raw Data'!F861</f>
        <v>15.621075630187988</v>
      </c>
      <c r="D861" s="20">
        <f>'Raw Data'!G861</f>
        <v>-43.085758209228516</v>
      </c>
      <c r="E861" s="20">
        <f>'Raw Data'!H861</f>
        <v>7.5925912549492098</v>
      </c>
      <c r="F861" s="20">
        <f>Comparison!$B$10+(C861-Comparison!$B$10)*Comparison!$B$7</f>
        <v>15.364020790708491</v>
      </c>
      <c r="G861" s="20">
        <f>Comparison!$B$11+(D861-Comparison!$B$11)*Comparison!$B$7</f>
        <v>-43.249441784322073</v>
      </c>
    </row>
    <row r="862" spans="1:7">
      <c r="A862" s="18">
        <f>'Raw Data'!A862</f>
        <v>1040</v>
      </c>
      <c r="B862" s="20">
        <f>'Raw Data'!C862</f>
        <v>28.683332322313213</v>
      </c>
      <c r="C862" s="20">
        <f>'Raw Data'!F862</f>
        <v>16.874568939208984</v>
      </c>
      <c r="D862" s="20">
        <f>'Raw Data'!G862</f>
        <v>-43.094520568847656</v>
      </c>
      <c r="E862" s="20">
        <f>'Raw Data'!H862</f>
        <v>7.6184929791346043</v>
      </c>
      <c r="F862" s="20">
        <f>Comparison!$B$10+(C862-Comparison!$B$10)*Comparison!$B$7</f>
        <v>16.690619005290202</v>
      </c>
      <c r="G862" s="20">
        <f>Comparison!$B$11+(D862-Comparison!$B$11)*Comparison!$B$7</f>
        <v>-43.258715172973311</v>
      </c>
    </row>
    <row r="863" spans="1:7">
      <c r="A863" s="18">
        <f>'Raw Data'!A863</f>
        <v>1041</v>
      </c>
      <c r="B863" s="20">
        <f>'Raw Data'!C863</f>
        <v>28.716681680315439</v>
      </c>
      <c r="C863" s="20">
        <f>'Raw Data'!F863</f>
        <v>18.211753845214844</v>
      </c>
      <c r="D863" s="20">
        <f>'Raw Data'!G863</f>
        <v>-43.229747772216797</v>
      </c>
      <c r="E863" s="20">
        <f>'Raw Data'!H863</f>
        <v>7.5953219118456046</v>
      </c>
      <c r="F863" s="20">
        <f>Comparison!$B$10+(C863-Comparison!$B$10)*Comparison!$B$7</f>
        <v>18.105789789295777</v>
      </c>
      <c r="G863" s="20">
        <f>Comparison!$B$11+(D863-Comparison!$B$11)*Comparison!$B$7</f>
        <v>-43.401828953686262</v>
      </c>
    </row>
    <row r="864" spans="1:7">
      <c r="A864" s="18">
        <f>'Raw Data'!A864</f>
        <v>1042</v>
      </c>
      <c r="B864" s="20">
        <f>'Raw Data'!C864</f>
        <v>28.750031038317665</v>
      </c>
      <c r="C864" s="20">
        <f>'Raw Data'!F864</f>
        <v>18.938348770141602</v>
      </c>
      <c r="D864" s="20">
        <f>'Raw Data'!G864</f>
        <v>-43.27764892578125</v>
      </c>
      <c r="E864" s="20">
        <f>'Raw Data'!H864</f>
        <v>7.5542584180779002</v>
      </c>
      <c r="F864" s="20">
        <f>Comparison!$B$10+(C864-Comparison!$B$10)*Comparison!$B$7</f>
        <v>18.874760411791399</v>
      </c>
      <c r="G864" s="20">
        <f>Comparison!$B$11+(D864-Comparison!$B$11)*Comparison!$B$7</f>
        <v>-43.452523747457946</v>
      </c>
    </row>
    <row r="865" spans="1:7">
      <c r="A865" s="18">
        <f>'Raw Data'!A865</f>
        <v>1043</v>
      </c>
      <c r="B865" s="20">
        <f>'Raw Data'!C865</f>
        <v>28.783380396319885</v>
      </c>
      <c r="C865" s="20">
        <f>'Raw Data'!F865</f>
        <v>19.875986099243164</v>
      </c>
      <c r="D865" s="20">
        <f>'Raw Data'!G865</f>
        <v>-43.299205780029297</v>
      </c>
      <c r="E865" s="20">
        <f>'Raw Data'!H865</f>
        <v>7.6089604969217488</v>
      </c>
      <c r="F865" s="20">
        <f>Comparison!$B$10+(C865-Comparison!$B$10)*Comparison!$B$7</f>
        <v>19.867081629431389</v>
      </c>
      <c r="G865" s="20">
        <f>Comparison!$B$11+(D865-Comparison!$B$11)*Comparison!$B$7</f>
        <v>-43.475337817666102</v>
      </c>
    </row>
    <row r="866" spans="1:7">
      <c r="A866" s="18">
        <f>'Raw Data'!A866</f>
        <v>1044</v>
      </c>
      <c r="B866" s="20">
        <f>'Raw Data'!C866</f>
        <v>28.816729754322111</v>
      </c>
      <c r="C866" s="20">
        <f>'Raw Data'!F866</f>
        <v>20.265457153320313</v>
      </c>
      <c r="D866" s="20">
        <f>'Raw Data'!G866</f>
        <v>-43.232913970947266</v>
      </c>
      <c r="E866" s="20">
        <f>'Raw Data'!H866</f>
        <v>7.7319661423220438</v>
      </c>
      <c r="F866" s="20">
        <f>Comparison!$B$10+(C866-Comparison!$B$10)*Comparison!$B$7</f>
        <v>20.279267000706753</v>
      </c>
      <c r="G866" s="20">
        <f>Comparison!$B$11+(D866-Comparison!$B$11)*Comparison!$B$7</f>
        <v>-43.405179808096591</v>
      </c>
    </row>
    <row r="867" spans="1:7">
      <c r="A867" s="18">
        <f>'Raw Data'!A867</f>
        <v>1045</v>
      </c>
      <c r="B867" s="20">
        <f>'Raw Data'!C867</f>
        <v>28.850079112324337</v>
      </c>
      <c r="C867" s="20">
        <f>'Raw Data'!F867</f>
        <v>21.295543670654297</v>
      </c>
      <c r="D867" s="20">
        <f>'Raw Data'!G867</f>
        <v>-43.256797790527344</v>
      </c>
      <c r="E867" s="20">
        <f>'Raw Data'!H867</f>
        <v>7.6551499332696462</v>
      </c>
      <c r="F867" s="20">
        <f>Comparison!$B$10+(C867-Comparison!$B$10)*Comparison!$B$7</f>
        <v>21.369429129954362</v>
      </c>
      <c r="G867" s="20">
        <f>Comparison!$B$11+(D867-Comparison!$B$11)*Comparison!$B$7</f>
        <v>-43.430456554437633</v>
      </c>
    </row>
    <row r="868" spans="1:7">
      <c r="A868" s="18">
        <f>'Raw Data'!A868</f>
        <v>1046</v>
      </c>
      <c r="B868" s="20">
        <f>'Raw Data'!C868</f>
        <v>28.883428470326557</v>
      </c>
      <c r="C868" s="20">
        <f>'Raw Data'!F868</f>
        <v>22.240211486816406</v>
      </c>
      <c r="D868" s="20">
        <f>'Raw Data'!G868</f>
        <v>-43.299365997314453</v>
      </c>
      <c r="E868" s="20">
        <f>'Raw Data'!H868</f>
        <v>7.6089604969217488</v>
      </c>
      <c r="F868" s="20">
        <f>Comparison!$B$10+(C868-Comparison!$B$10)*Comparison!$B$7</f>
        <v>22.369190859254878</v>
      </c>
      <c r="G868" s="20">
        <f>Comparison!$B$11+(D868-Comparison!$B$11)*Comparison!$B$7</f>
        <v>-43.47550737897361</v>
      </c>
    </row>
    <row r="869" spans="1:7">
      <c r="A869" s="18">
        <f>'Raw Data'!A869</f>
        <v>1047</v>
      </c>
      <c r="B869" s="20">
        <f>'Raw Data'!C869</f>
        <v>28.916777828328783</v>
      </c>
      <c r="C869" s="20">
        <f>'Raw Data'!F869</f>
        <v>23.429964065551758</v>
      </c>
      <c r="D869" s="20">
        <f>'Raw Data'!G869</f>
        <v>-43.313819885253906</v>
      </c>
      <c r="E869" s="20">
        <f>'Raw Data'!H869</f>
        <v>7.5884934272215778</v>
      </c>
      <c r="F869" s="20">
        <f>Comparison!$B$10+(C869-Comparison!$B$10)*Comparison!$B$7</f>
        <v>23.628330924371785</v>
      </c>
      <c r="G869" s="20">
        <f>Comparison!$B$11+(D869-Comparison!$B$11)*Comparison!$B$7</f>
        <v>-43.490804231215463</v>
      </c>
    </row>
    <row r="870" spans="1:7">
      <c r="A870" s="18">
        <f>'Raw Data'!A870</f>
        <v>1048</v>
      </c>
      <c r="B870" s="20">
        <f>'Raw Data'!C870</f>
        <v>28.950127186331009</v>
      </c>
      <c r="C870" s="20">
        <f>'Raw Data'!F870</f>
        <v>24.440223693847656</v>
      </c>
      <c r="D870" s="20">
        <f>'Raw Data'!G870</f>
        <v>-43.345417022705078</v>
      </c>
      <c r="E870" s="20">
        <f>'Raw Data'!H870</f>
        <v>7.6429504833931734</v>
      </c>
      <c r="F870" s="20">
        <f>Comparison!$B$10+(C870-Comparison!$B$10)*Comparison!$B$7</f>
        <v>24.697509841814952</v>
      </c>
      <c r="G870" s="20">
        <f>Comparison!$B$11+(D870-Comparison!$B$11)*Comparison!$B$7</f>
        <v>-43.524244143360946</v>
      </c>
    </row>
    <row r="871" spans="1:7">
      <c r="A871" s="18">
        <f>'Raw Data'!A871</f>
        <v>1049</v>
      </c>
      <c r="B871" s="20">
        <f>'Raw Data'!C871</f>
        <v>28.983476544333236</v>
      </c>
      <c r="C871" s="20">
        <f>'Raw Data'!F871</f>
        <v>25.518943786621094</v>
      </c>
      <c r="D871" s="20">
        <f>'Raw Data'!G871</f>
        <v>-43.395626068115234</v>
      </c>
      <c r="E871" s="20">
        <f>'Raw Data'!H871</f>
        <v>7.6007802825909545</v>
      </c>
      <c r="F871" s="20">
        <f>Comparison!$B$10+(C871-Comparison!$B$10)*Comparison!$B$7</f>
        <v>25.839141902240009</v>
      </c>
      <c r="G871" s="20">
        <f>Comparison!$B$11+(D871-Comparison!$B$11)*Comparison!$B$7</f>
        <v>-43.577381427395586</v>
      </c>
    </row>
    <row r="872" spans="1:7">
      <c r="A872" s="18">
        <f>'Raw Data'!A872</f>
        <v>1050</v>
      </c>
      <c r="B872" s="20">
        <f>'Raw Data'!C872</f>
        <v>29.016825902335455</v>
      </c>
      <c r="C872" s="20">
        <f>'Raw Data'!F872</f>
        <v>26.571731567382813</v>
      </c>
      <c r="D872" s="20">
        <f>'Raw Data'!G872</f>
        <v>-43.525539398193359</v>
      </c>
      <c r="E872" s="20">
        <f>'Raw Data'!H872</f>
        <v>7.6889357357649022</v>
      </c>
      <c r="F872" s="20">
        <f>Comparison!$B$10+(C872-Comparison!$B$10)*Comparison!$B$7</f>
        <v>26.953329253892274</v>
      </c>
      <c r="G872" s="20">
        <f>Comparison!$B$11+(D872-Comparison!$B$11)*Comparison!$B$7</f>
        <v>-43.714871424742768</v>
      </c>
    </row>
    <row r="873" spans="1:7">
      <c r="A873" s="18">
        <f>'Raw Data'!A873</f>
        <v>1051</v>
      </c>
      <c r="B873" s="20">
        <f>'Raw Data'!C873</f>
        <v>29.050175260337681</v>
      </c>
      <c r="C873" s="20">
        <f>'Raw Data'!F873</f>
        <v>27.089565277099609</v>
      </c>
      <c r="D873" s="20">
        <f>'Raw Data'!G873</f>
        <v>-43.577350616455078</v>
      </c>
      <c r="E873" s="20">
        <f>'Raw Data'!H873</f>
        <v>7.517109485659085</v>
      </c>
      <c r="F873" s="20">
        <f>Comparison!$B$10+(C873-Comparison!$B$10)*Comparison!$B$7</f>
        <v>27.501363511288552</v>
      </c>
      <c r="G873" s="20">
        <f>Comparison!$B$11+(D873-Comparison!$B$11)*Comparison!$B$7</f>
        <v>-43.769704321852508</v>
      </c>
    </row>
    <row r="874" spans="1:7">
      <c r="A874" s="18">
        <f>'Raw Data'!A874</f>
        <v>1052</v>
      </c>
      <c r="B874" s="20">
        <f>'Raw Data'!C874</f>
        <v>29.083524618339908</v>
      </c>
      <c r="C874" s="20">
        <f>'Raw Data'!F874</f>
        <v>28.308998107910156</v>
      </c>
      <c r="D874" s="20">
        <f>'Raw Data'!G874</f>
        <v>-43.644969940185547</v>
      </c>
      <c r="E874" s="20">
        <f>'Raw Data'!H874</f>
        <v>7.5994160574552083</v>
      </c>
      <c r="F874" s="20">
        <f>Comparison!$B$10+(C874-Comparison!$B$10)*Comparison!$B$7</f>
        <v>28.791914808621804</v>
      </c>
      <c r="G874" s="20">
        <f>Comparison!$B$11+(D874-Comparison!$B$11)*Comparison!$B$7</f>
        <v>-43.841267267969968</v>
      </c>
    </row>
    <row r="875" spans="1:7">
      <c r="A875" s="18">
        <f>'Raw Data'!A875</f>
        <v>1053</v>
      </c>
      <c r="B875" s="20">
        <f>'Raw Data'!C875</f>
        <v>29.116873976342127</v>
      </c>
      <c r="C875" s="20">
        <f>'Raw Data'!F875</f>
        <v>29.580686569213867</v>
      </c>
      <c r="D875" s="20">
        <f>'Raw Data'!G875</f>
        <v>-43.787998199462891</v>
      </c>
      <c r="E875" s="20">
        <f>'Raw Data'!H875</f>
        <v>7.5624889544774243</v>
      </c>
      <c r="F875" s="20">
        <f>Comparison!$B$10+(C875-Comparison!$B$10)*Comparison!$B$7</f>
        <v>30.137769333834438</v>
      </c>
      <c r="G875" s="20">
        <f>Comparison!$B$11+(D875-Comparison!$B$11)*Comparison!$B$7</f>
        <v>-43.992637069489085</v>
      </c>
    </row>
    <row r="876" spans="1:7">
      <c r="A876" s="18">
        <f>'Raw Data'!A876</f>
        <v>1054</v>
      </c>
      <c r="B876" s="20">
        <f>'Raw Data'!C876</f>
        <v>29.150223334344354</v>
      </c>
      <c r="C876" s="20">
        <f>'Raw Data'!F876</f>
        <v>30.209037780761719</v>
      </c>
      <c r="D876" s="20">
        <f>'Raw Data'!G876</f>
        <v>-43.918285369873047</v>
      </c>
      <c r="E876" s="20">
        <f>'Raw Data'!H876</f>
        <v>7.5652304767550733</v>
      </c>
      <c r="F876" s="20">
        <f>Comparison!$B$10+(C876-Comparison!$B$10)*Comparison!$B$7</f>
        <v>30.802766577434141</v>
      </c>
      <c r="G876" s="20">
        <f>Comparison!$B$11+(D876-Comparison!$B$11)*Comparison!$B$7</f>
        <v>-44.130522709887124</v>
      </c>
    </row>
    <row r="877" spans="1:7">
      <c r="A877" s="18">
        <f>'Raw Data'!A877</f>
        <v>1055</v>
      </c>
      <c r="B877" s="20">
        <f>'Raw Data'!C877</f>
        <v>29.18357269234658</v>
      </c>
      <c r="C877" s="20">
        <f>'Raw Data'!F877</f>
        <v>32.089595794677734</v>
      </c>
      <c r="D877" s="20">
        <f>'Raw Data'!G877</f>
        <v>-44.058681488037109</v>
      </c>
      <c r="E877" s="20">
        <f>'Raw Data'!H877</f>
        <v>7.6415937867492385</v>
      </c>
      <c r="F877" s="20">
        <f>Comparison!$B$10+(C877-Comparison!$B$10)*Comparison!$B$7</f>
        <v>32.793000498687988</v>
      </c>
      <c r="G877" s="20">
        <f>Comparison!$B$11+(D877-Comparison!$B$11)*Comparison!$B$7</f>
        <v>-44.279106861354286</v>
      </c>
    </row>
    <row r="878" spans="1:7">
      <c r="A878" s="18">
        <f>'Raw Data'!A878</f>
        <v>1056</v>
      </c>
      <c r="B878" s="20">
        <f>'Raw Data'!C878</f>
        <v>29.216922050348799</v>
      </c>
      <c r="C878" s="20">
        <f>'Raw Data'!F878</f>
        <v>32.520046234130859</v>
      </c>
      <c r="D878" s="20">
        <f>'Raw Data'!G878</f>
        <v>-43.764644622802734</v>
      </c>
      <c r="E878" s="20">
        <f>'Raw Data'!H878</f>
        <v>7.613047307974762</v>
      </c>
      <c r="F878" s="20">
        <f>Comparison!$B$10+(C878-Comparison!$B$10)*Comparison!$B$7</f>
        <v>33.24855521153318</v>
      </c>
      <c r="G878" s="20">
        <f>Comparison!$B$11+(D878-Comparison!$B$11)*Comparison!$B$7</f>
        <v>-43.967921490332422</v>
      </c>
    </row>
    <row r="879" spans="1:7">
      <c r="A879" s="18">
        <f>'Raw Data'!A879</f>
        <v>1057</v>
      </c>
      <c r="B879" s="20">
        <f>'Raw Data'!C879</f>
        <v>29.250271408351026</v>
      </c>
      <c r="C879" s="20">
        <f>'Raw Data'!F879</f>
        <v>33.066410064697266</v>
      </c>
      <c r="D879" s="20">
        <f>'Raw Data'!G879</f>
        <v>-43.658096313476563</v>
      </c>
      <c r="E879" s="20">
        <f>'Raw Data'!H879</f>
        <v>7.5129704877391674</v>
      </c>
      <c r="F879" s="20">
        <f>Comparison!$B$10+(C879-Comparison!$B$10)*Comparison!$B$7</f>
        <v>33.826783493188316</v>
      </c>
      <c r="G879" s="20">
        <f>Comparison!$B$11+(D879-Comparison!$B$11)*Comparison!$B$7</f>
        <v>-43.855159183663872</v>
      </c>
    </row>
    <row r="880" spans="1:7">
      <c r="A880" s="18">
        <f>'Raw Data'!A880</f>
        <v>1058</v>
      </c>
      <c r="B880" s="20">
        <f>'Raw Data'!C880</f>
        <v>29.283620766353252</v>
      </c>
      <c r="C880" s="20">
        <f>'Raw Data'!F880</f>
        <v>33.875259399414063</v>
      </c>
      <c r="D880" s="20">
        <f>'Raw Data'!G880</f>
        <v>-43.718708038330078</v>
      </c>
      <c r="E880" s="20">
        <f>'Raw Data'!H880</f>
        <v>7.5816587924680601</v>
      </c>
      <c r="F880" s="20">
        <f>Comparison!$B$10+(C880-Comparison!$B$10)*Comparison!$B$7</f>
        <v>34.682805679807693</v>
      </c>
      <c r="G880" s="20">
        <f>Comparison!$B$11+(D880-Comparison!$B$11)*Comparison!$B$7</f>
        <v>-43.919305841164736</v>
      </c>
    </row>
    <row r="881" spans="1:7">
      <c r="A881" s="18">
        <f>'Raw Data'!A881</f>
        <v>1059</v>
      </c>
      <c r="B881" s="20">
        <f>'Raw Data'!C881</f>
        <v>29.316970124355478</v>
      </c>
      <c r="C881" s="20">
        <f>'Raw Data'!F881</f>
        <v>35.352561950683594</v>
      </c>
      <c r="D881" s="20">
        <f>'Raw Data'!G881</f>
        <v>-43.731967926025391</v>
      </c>
      <c r="E881" s="20">
        <f>'Raw Data'!H881</f>
        <v>7.7493789941461921</v>
      </c>
      <c r="F881" s="20">
        <f>Comparison!$B$10+(C881-Comparison!$B$10)*Comparison!$B$7</f>
        <v>36.246265901579278</v>
      </c>
      <c r="G881" s="20">
        <f>Comparison!$B$11+(D881-Comparison!$B$11)*Comparison!$B$7</f>
        <v>-43.933339057948231</v>
      </c>
    </row>
    <row r="882" spans="1:7">
      <c r="A882" s="18">
        <f>'Raw Data'!A882</f>
        <v>1060</v>
      </c>
      <c r="B882" s="20">
        <f>'Raw Data'!C882</f>
        <v>29.350319482357698</v>
      </c>
      <c r="C882" s="20">
        <f>'Raw Data'!F882</f>
        <v>36.017528533935547</v>
      </c>
      <c r="D882" s="20">
        <f>'Raw Data'!G882</f>
        <v>-43.664649963378906</v>
      </c>
      <c r="E882" s="20">
        <f>'Raw Data'!H882</f>
        <v>7.6970222611224646</v>
      </c>
      <c r="F882" s="20">
        <f>Comparison!$B$10+(C882-Comparison!$B$10)*Comparison!$B$7</f>
        <v>36.950013959706141</v>
      </c>
      <c r="G882" s="20">
        <f>Comparison!$B$11+(D882-Comparison!$B$11)*Comparison!$B$7</f>
        <v>-43.862095048575853</v>
      </c>
    </row>
    <row r="883" spans="1:7">
      <c r="A883" s="18">
        <f>'Raw Data'!A883</f>
        <v>1061</v>
      </c>
      <c r="B883" s="20">
        <f>'Raw Data'!C883</f>
        <v>29.383668840359924</v>
      </c>
      <c r="C883" s="20">
        <f>'Raw Data'!F883</f>
        <v>36.816455841064453</v>
      </c>
      <c r="D883" s="20">
        <f>'Raw Data'!G883</f>
        <v>-43.589519500732422</v>
      </c>
      <c r="E883" s="20">
        <f>'Raw Data'!H883</f>
        <v>7.6537953990763894</v>
      </c>
      <c r="F883" s="20">
        <f>Comparison!$B$10+(C883-Comparison!$B$10)*Comparison!$B$7</f>
        <v>37.79553545678182</v>
      </c>
      <c r="G883" s="20">
        <f>Comparison!$B$11+(D883-Comparison!$B$11)*Comparison!$B$7</f>
        <v>-43.782582906875341</v>
      </c>
    </row>
    <row r="884" spans="1:7">
      <c r="A884" s="18">
        <f>'Raw Data'!A884</f>
        <v>1062</v>
      </c>
      <c r="B884" s="20">
        <f>'Raw Data'!C884</f>
        <v>29.41701819836215</v>
      </c>
      <c r="C884" s="20">
        <f>'Raw Data'!F884</f>
        <v>37.785778045654297</v>
      </c>
      <c r="D884" s="20">
        <f>'Raw Data'!G884</f>
        <v>-43.526294708251953</v>
      </c>
      <c r="E884" s="20">
        <f>'Raw Data'!H884</f>
        <v>7.6116852814305451</v>
      </c>
      <c r="F884" s="20">
        <f>Comparison!$B$10+(C884-Comparison!$B$10)*Comparison!$B$7</f>
        <v>38.821389441569039</v>
      </c>
      <c r="G884" s="20">
        <f>Comparison!$B$11+(D884-Comparison!$B$11)*Comparison!$B$7</f>
        <v>-43.715670785192458</v>
      </c>
    </row>
    <row r="885" spans="1:7">
      <c r="A885" s="18">
        <f>'Raw Data'!A885</f>
        <v>1063</v>
      </c>
      <c r="B885" s="20">
        <f>'Raw Data'!C885</f>
        <v>29.45036755636437</v>
      </c>
      <c r="C885" s="20">
        <f>'Raw Data'!F885</f>
        <v>38.860916137695313</v>
      </c>
      <c r="D885" s="20">
        <f>'Raw Data'!G885</f>
        <v>-43.567466735839844</v>
      </c>
      <c r="E885" s="20">
        <f>'Raw Data'!H885</f>
        <v>7.5843933854487648</v>
      </c>
      <c r="F885" s="20">
        <f>Comparison!$B$10+(C885-Comparison!$B$10)*Comparison!$B$7</f>
        <v>39.959230595619033</v>
      </c>
      <c r="G885" s="20">
        <f>Comparison!$B$11+(D885-Comparison!$B$11)*Comparison!$B$7</f>
        <v>-43.759244004048696</v>
      </c>
    </row>
    <row r="886" spans="1:7">
      <c r="A886" s="18">
        <f>'Raw Data'!A886</f>
        <v>1064</v>
      </c>
      <c r="B886" s="20">
        <f>'Raw Data'!C886</f>
        <v>29.483716914366596</v>
      </c>
      <c r="C886" s="20">
        <f>'Raw Data'!F886</f>
        <v>39.646404266357422</v>
      </c>
      <c r="D886" s="20">
        <f>'Raw Data'!G886</f>
        <v>-43.355537414550781</v>
      </c>
      <c r="E886" s="20">
        <f>'Raw Data'!H886</f>
        <v>7.6075977386951985</v>
      </c>
      <c r="F886" s="20">
        <f>Comparison!$B$10+(C886-Comparison!$B$10)*Comparison!$B$7</f>
        <v>40.790529128733766</v>
      </c>
      <c r="G886" s="20">
        <f>Comparison!$B$11+(D886-Comparison!$B$11)*Comparison!$B$7</f>
        <v>-43.534954765952037</v>
      </c>
    </row>
    <row r="887" spans="1:7">
      <c r="A887" s="18">
        <f>'Raw Data'!A887</f>
        <v>1065</v>
      </c>
      <c r="B887" s="20">
        <f>'Raw Data'!C887</f>
        <v>29.517066272368822</v>
      </c>
      <c r="C887" s="20">
        <f>'Raw Data'!F887</f>
        <v>40.276874542236328</v>
      </c>
      <c r="D887" s="20">
        <f>'Raw Data'!G887</f>
        <v>-43.18359375</v>
      </c>
      <c r="E887" s="20">
        <f>'Raw Data'!H887</f>
        <v>7.6144090908866424</v>
      </c>
      <c r="F887" s="20">
        <f>Comparison!$B$10+(C887-Comparison!$B$10)*Comparison!$B$7</f>
        <v>41.457769022483994</v>
      </c>
      <c r="G887" s="20">
        <f>Comparison!$B$11+(D887-Comparison!$B$11)*Comparison!$B$7</f>
        <v>-43.352983185601239</v>
      </c>
    </row>
    <row r="888" spans="1:7">
      <c r="A888" s="18">
        <f>'Raw Data'!A888</f>
        <v>1066</v>
      </c>
      <c r="B888" s="20">
        <f>'Raw Data'!C888</f>
        <v>29.550415630371042</v>
      </c>
      <c r="C888" s="20">
        <f>'Raw Data'!F888</f>
        <v>41.366004943847656</v>
      </c>
      <c r="D888" s="20">
        <f>'Raw Data'!G888</f>
        <v>-43.264698028564453</v>
      </c>
      <c r="E888" s="20">
        <f>'Raw Data'!H888</f>
        <v>7.5253806520918287</v>
      </c>
      <c r="F888" s="20">
        <f>Comparison!$B$10+(C888-Comparison!$B$10)*Comparison!$B$7</f>
        <v>42.610418530723251</v>
      </c>
      <c r="G888" s="20">
        <f>Comparison!$B$11+(D888-Comparison!$B$11)*Comparison!$B$7</f>
        <v>-43.438817541767506</v>
      </c>
    </row>
    <row r="889" spans="1:7">
      <c r="A889" s="18">
        <f>'Raw Data'!A889</f>
        <v>1067</v>
      </c>
      <c r="B889" s="20">
        <f>'Raw Data'!C889</f>
        <v>29.583764988373268</v>
      </c>
      <c r="C889" s="20">
        <f>'Raw Data'!F889</f>
        <v>42.680889129638672</v>
      </c>
      <c r="D889" s="20">
        <f>'Raw Data'!G889</f>
        <v>-43.378543853759766</v>
      </c>
      <c r="E889" s="20">
        <f>'Raw Data'!H889</f>
        <v>7.5487664083239023</v>
      </c>
      <c r="F889" s="20">
        <f>Comparison!$B$10+(C889-Comparison!$B$10)*Comparison!$B$7</f>
        <v>44.001987995592941</v>
      </c>
      <c r="G889" s="20">
        <f>Comparison!$B$11+(D889-Comparison!$B$11)*Comparison!$B$7</f>
        <v>-43.559302962275765</v>
      </c>
    </row>
    <row r="890" spans="1:7">
      <c r="A890" s="18">
        <f>'Raw Data'!A890</f>
        <v>1068</v>
      </c>
      <c r="B890" s="20">
        <f>'Raw Data'!C890</f>
        <v>29.617114346375494</v>
      </c>
      <c r="C890" s="20">
        <f>'Raw Data'!F890</f>
        <v>43.667716979980469</v>
      </c>
      <c r="D890" s="20">
        <f>'Raw Data'!G890</f>
        <v>-43.330158233642578</v>
      </c>
      <c r="E890" s="20">
        <f>'Raw Data'!H890</f>
        <v>7.5102098885323407</v>
      </c>
      <c r="F890" s="20">
        <f>Comparison!$B$10+(C890-Comparison!$B$10)*Comparison!$B$7</f>
        <v>45.046368571812685</v>
      </c>
      <c r="G890" s="20">
        <f>Comparison!$B$11+(D890-Comparison!$B$11)*Comparison!$B$7</f>
        <v>-43.508095447407555</v>
      </c>
    </row>
    <row r="891" spans="1:7">
      <c r="A891" s="18">
        <f>'Raw Data'!A891</f>
        <v>1069</v>
      </c>
      <c r="B891" s="20">
        <f>'Raw Data'!C891</f>
        <v>29.650463704377721</v>
      </c>
      <c r="C891" s="20">
        <f>'Raw Data'!F891</f>
        <v>44.955211639404297</v>
      </c>
      <c r="D891" s="20">
        <f>'Raw Data'!G891</f>
        <v>-43.318603515625</v>
      </c>
      <c r="E891" s="20">
        <f>'Raw Data'!H891</f>
        <v>7.5748179909375635</v>
      </c>
      <c r="F891" s="20">
        <f>Comparison!$B$10+(C891-Comparison!$B$10)*Comparison!$B$7</f>
        <v>46.408951127446045</v>
      </c>
      <c r="G891" s="20">
        <f>Comparison!$B$11+(D891-Comparison!$B$11)*Comparison!$B$7</f>
        <v>-43.495866847396847</v>
      </c>
    </row>
    <row r="892" spans="1:7">
      <c r="A892" s="18">
        <f>'Raw Data'!A892</f>
        <v>1070</v>
      </c>
      <c r="B892" s="20">
        <f>'Raw Data'!C892</f>
        <v>29.68381306237994</v>
      </c>
      <c r="C892" s="20">
        <f>'Raw Data'!F892</f>
        <v>45.325649261474609</v>
      </c>
      <c r="D892" s="20">
        <f>'Raw Data'!G892</f>
        <v>-43.061500549316406</v>
      </c>
      <c r="E892" s="20">
        <f>'Raw Data'!H892</f>
        <v>7.5446447774360612</v>
      </c>
      <c r="F892" s="20">
        <f>Comparison!$B$10+(C892-Comparison!$B$10)*Comparison!$B$7</f>
        <v>46.800993019106542</v>
      </c>
      <c r="G892" s="20">
        <f>Comparison!$B$11+(D892-Comparison!$B$11)*Comparison!$B$7</f>
        <v>-43.223769394930166</v>
      </c>
    </row>
    <row r="893" spans="1:7">
      <c r="A893" s="18">
        <f>'Raw Data'!A893</f>
        <v>1071</v>
      </c>
      <c r="B893" s="20">
        <f>'Raw Data'!C893</f>
        <v>29.717162420382166</v>
      </c>
      <c r="C893" s="20">
        <f>'Raw Data'!F893</f>
        <v>45.988506317138672</v>
      </c>
      <c r="D893" s="20">
        <f>'Raw Data'!G893</f>
        <v>-42.904823303222656</v>
      </c>
      <c r="E893" s="20">
        <f>'Raw Data'!H893</f>
        <v>7.4811620943263994</v>
      </c>
      <c r="F893" s="20">
        <f>Comparison!$B$10+(C893-Comparison!$B$10)*Comparison!$B$7</f>
        <v>47.502508520017848</v>
      </c>
      <c r="G893" s="20">
        <f>Comparison!$B$11+(D893-Comparison!$B$11)*Comparison!$B$7</f>
        <v>-43.05795458488074</v>
      </c>
    </row>
    <row r="894" spans="1:7">
      <c r="A894" s="18">
        <f>'Raw Data'!A894</f>
        <v>1072</v>
      </c>
      <c r="B894" s="20">
        <f>'Raw Data'!C894</f>
        <v>29.750511778384393</v>
      </c>
      <c r="C894" s="20">
        <f>'Raw Data'!F894</f>
        <v>46.732044219970703</v>
      </c>
      <c r="D894" s="20">
        <f>'Raw Data'!G894</f>
        <v>-42.667331695556641</v>
      </c>
      <c r="E894" s="20">
        <f>'Raw Data'!H894</f>
        <v>7.5761866453874251</v>
      </c>
      <c r="F894" s="20">
        <f>Comparison!$B$10+(C894-Comparison!$B$10)*Comparison!$B$7</f>
        <v>48.289410250782716</v>
      </c>
      <c r="G894" s="20">
        <f>Comparison!$B$11+(D894-Comparison!$B$11)*Comparison!$B$7</f>
        <v>-42.806612243888154</v>
      </c>
    </row>
    <row r="895" spans="1:7">
      <c r="A895" s="18">
        <f>'Raw Data'!A895</f>
        <v>1073</v>
      </c>
      <c r="B895" s="20">
        <f>'Raw Data'!C895</f>
        <v>29.783861136386612</v>
      </c>
      <c r="C895" s="20">
        <f>'Raw Data'!F895</f>
        <v>47.420516967773438</v>
      </c>
      <c r="D895" s="20">
        <f>'Raw Data'!G895</f>
        <v>-42.484260559082031</v>
      </c>
      <c r="E895" s="20">
        <f>'Raw Data'!H895</f>
        <v>7.5487664083239023</v>
      </c>
      <c r="F895" s="20">
        <f>Comparison!$B$10+(C895-Comparison!$B$10)*Comparison!$B$7</f>
        <v>49.018035375025775</v>
      </c>
      <c r="G895" s="20">
        <f>Comparison!$B$11+(D895-Comparison!$B$11)*Comparison!$B$7</f>
        <v>-42.612864227013347</v>
      </c>
    </row>
    <row r="896" spans="1:7">
      <c r="A896" s="18">
        <f>'Raw Data'!A896</f>
        <v>1074</v>
      </c>
      <c r="B896" s="20">
        <f>'Raw Data'!C896</f>
        <v>29.817210494388839</v>
      </c>
      <c r="C896" s="20">
        <f>'Raw Data'!F896</f>
        <v>47.942989349365234</v>
      </c>
      <c r="D896" s="20">
        <f>'Raw Data'!G896</f>
        <v>-42.257652282714844</v>
      </c>
      <c r="E896" s="20">
        <f>'Raw Data'!H896</f>
        <v>7.5939567061345947</v>
      </c>
      <c r="F896" s="20">
        <f>Comparison!$B$10+(C896-Comparison!$B$10)*Comparison!$B$7</f>
        <v>49.570978835991895</v>
      </c>
      <c r="G896" s="20">
        <f>Comparison!$B$11+(D896-Comparison!$B$11)*Comparison!$B$7</f>
        <v>-42.373039943409516</v>
      </c>
    </row>
    <row r="897" spans="1:7">
      <c r="A897" s="18">
        <f>'Raw Data'!A897</f>
        <v>1075</v>
      </c>
      <c r="B897" s="20">
        <f>'Raw Data'!C897</f>
        <v>29.850559852391065</v>
      </c>
      <c r="C897" s="20">
        <f>'Raw Data'!F897</f>
        <v>48.732551574707031</v>
      </c>
      <c r="D897" s="20">
        <f>'Raw Data'!G897</f>
        <v>-42.051296234130859</v>
      </c>
      <c r="E897" s="20">
        <f>'Raw Data'!H897</f>
        <v>7.5611178205790228</v>
      </c>
      <c r="F897" s="20">
        <f>Comparison!$B$10+(C897-Comparison!$B$10)*Comparison!$B$7</f>
        <v>50.406589070926174</v>
      </c>
      <c r="G897" s="20">
        <f>Comparison!$B$11+(D897-Comparison!$B$11)*Comparison!$B$7</f>
        <v>-42.154649016509829</v>
      </c>
    </row>
    <row r="898" spans="1:7">
      <c r="A898" s="18">
        <f>'Raw Data'!A898</f>
        <v>1076</v>
      </c>
      <c r="B898" s="20">
        <f>'Raw Data'!C898</f>
        <v>29.883909210393284</v>
      </c>
      <c r="C898" s="20">
        <f>'Raw Data'!F898</f>
        <v>50.08355712890625</v>
      </c>
      <c r="D898" s="20">
        <f>'Raw Data'!G898</f>
        <v>-42.162471771240234</v>
      </c>
      <c r="E898" s="20">
        <f>'Raw Data'!H898</f>
        <v>7.7172015029377929</v>
      </c>
      <c r="F898" s="20">
        <f>Comparison!$B$10+(C898-Comparison!$B$10)*Comparison!$B$7</f>
        <v>51.836386536291542</v>
      </c>
      <c r="G898" s="20">
        <f>Comparison!$B$11+(D898-Comparison!$B$11)*Comparison!$B$7</f>
        <v>-42.272308415226249</v>
      </c>
    </row>
    <row r="899" spans="1:7">
      <c r="A899" s="18">
        <f>'Raw Data'!A899</f>
        <v>1077</v>
      </c>
      <c r="B899" s="20">
        <f>'Raw Data'!C899</f>
        <v>29.917258568395511</v>
      </c>
      <c r="C899" s="20">
        <f>'Raw Data'!F899</f>
        <v>51.335094451904297</v>
      </c>
      <c r="D899" s="20">
        <f>'Raw Data'!G899</f>
        <v>-42.134788513183594</v>
      </c>
      <c r="E899" s="20">
        <f>'Raw Data'!H899</f>
        <v>7.5925912549492098</v>
      </c>
      <c r="F899" s="20">
        <f>Comparison!$B$10+(C899-Comparison!$B$10)*Comparison!$B$7</f>
        <v>53.160914689910726</v>
      </c>
      <c r="G899" s="20">
        <f>Comparison!$B$11+(D899-Comparison!$B$11)*Comparison!$B$7</f>
        <v>-42.243010643592804</v>
      </c>
    </row>
    <row r="900" spans="1:7">
      <c r="A900" s="18">
        <f>'Raw Data'!A900</f>
        <v>1078</v>
      </c>
      <c r="B900" s="20">
        <f>'Raw Data'!C900</f>
        <v>29.950607926397737</v>
      </c>
      <c r="C900" s="20">
        <f>'Raw Data'!F900</f>
        <v>51.640422821044922</v>
      </c>
      <c r="D900" s="20">
        <f>'Raw Data'!G900</f>
        <v>-41.621894836425781</v>
      </c>
      <c r="E900" s="20">
        <f>'Raw Data'!H900</f>
        <v>7.5966868722145788</v>
      </c>
      <c r="F900" s="20">
        <f>Comparison!$B$10+(C900-Comparison!$B$10)*Comparison!$B$7</f>
        <v>53.484050095938102</v>
      </c>
      <c r="G900" s="20">
        <f>Comparison!$B$11+(D900-Comparison!$B$11)*Comparison!$B$7</f>
        <v>-41.700204526511435</v>
      </c>
    </row>
    <row r="901" spans="1:7">
      <c r="A901" s="18">
        <f>'Raw Data'!A901</f>
        <v>1079</v>
      </c>
      <c r="B901" s="20">
        <f>'Raw Data'!C901</f>
        <v>29.983957284399963</v>
      </c>
      <c r="C901" s="20">
        <f>'Raw Data'!F901</f>
        <v>52.067710876464844</v>
      </c>
      <c r="D901" s="20">
        <f>'Raw Data'!G901</f>
        <v>-40.924636840820313</v>
      </c>
      <c r="E901" s="20">
        <f>'Raw Data'!H901</f>
        <v>7.5912255581569861</v>
      </c>
      <c r="F901" s="20">
        <f>Comparison!$B$10+(C901-Comparison!$B$10)*Comparison!$B$7</f>
        <v>53.936257991546952</v>
      </c>
      <c r="G901" s="20">
        <f>Comparison!$B$11+(D901-Comparison!$B$11)*Comparison!$B$7</f>
        <v>-40.962281790573208</v>
      </c>
    </row>
    <row r="902" spans="1:7">
      <c r="A902" s="18">
        <f>'Raw Data'!A902</f>
        <v>1080</v>
      </c>
      <c r="B902" s="20">
        <f>'Raw Data'!C902</f>
        <v>30.017306642402183</v>
      </c>
      <c r="C902" s="20">
        <f>'Raw Data'!F902</f>
        <v>52.941802978515625</v>
      </c>
      <c r="D902" s="20">
        <f>'Raw Data'!G902</f>
        <v>-40.321147918701172</v>
      </c>
      <c r="E902" s="20">
        <f>'Raw Data'!H902</f>
        <v>7.6048714896419876</v>
      </c>
      <c r="F902" s="20">
        <f>Comparison!$B$10+(C902-Comparison!$B$10)*Comparison!$B$7</f>
        <v>54.861327964889043</v>
      </c>
      <c r="G902" s="20">
        <f>Comparison!$B$11+(D902-Comparison!$B$11)*Comparison!$B$7</f>
        <v>-40.323596828442561</v>
      </c>
    </row>
    <row r="903" spans="1:7">
      <c r="A903" s="18">
        <f>'Raw Data'!A903</f>
        <v>1081</v>
      </c>
      <c r="B903" s="20">
        <f>'Raw Data'!C903</f>
        <v>30.050656000404409</v>
      </c>
      <c r="C903" s="20">
        <f>'Raw Data'!F903</f>
        <v>53.423080444335938</v>
      </c>
      <c r="D903" s="20">
        <f>'Raw Data'!G903</f>
        <v>-39.63055419921875</v>
      </c>
      <c r="E903" s="20">
        <f>'Raw Data'!H903</f>
        <v>7.5046856436593981</v>
      </c>
      <c r="F903" s="20">
        <f>Comparison!$B$10+(C903-Comparison!$B$10)*Comparison!$B$7</f>
        <v>55.37067398395498</v>
      </c>
      <c r="G903" s="20">
        <f>Comparison!$B$11+(D903-Comparison!$B$11)*Comparison!$B$7</f>
        <v>-39.592727035461976</v>
      </c>
    </row>
    <row r="904" spans="1:7">
      <c r="A904" s="18">
        <f>'Raw Data'!A904</f>
        <v>1082</v>
      </c>
      <c r="B904" s="20">
        <f>'Raw Data'!C904</f>
        <v>30.084005358406635</v>
      </c>
      <c r="C904" s="20">
        <f>'Raw Data'!F904</f>
        <v>53.735759735107422</v>
      </c>
      <c r="D904" s="20">
        <f>'Raw Data'!G904</f>
        <v>-38.859767913818359</v>
      </c>
      <c r="E904" s="20">
        <f>'Raw Data'!H904</f>
        <v>7.5570029262222453</v>
      </c>
      <c r="F904" s="20">
        <f>Comparison!$B$10+(C904-Comparison!$B$10)*Comparison!$B$7</f>
        <v>55.701589024257906</v>
      </c>
      <c r="G904" s="20">
        <f>Comparison!$B$11+(D904-Comparison!$B$11)*Comparison!$B$7</f>
        <v>-38.776987770898337</v>
      </c>
    </row>
    <row r="905" spans="1:7">
      <c r="A905" s="18">
        <f>'Raw Data'!A905</f>
        <v>1083</v>
      </c>
      <c r="B905" s="20">
        <f>'Raw Data'!C905</f>
        <v>30.117354716408855</v>
      </c>
      <c r="C905" s="20">
        <f>'Raw Data'!F905</f>
        <v>52.811759948730469</v>
      </c>
      <c r="D905" s="20">
        <f>'Raw Data'!G905</f>
        <v>-37.990287780761719</v>
      </c>
      <c r="E905" s="20">
        <f>'Raw Data'!H905</f>
        <v>7.5515129124745641</v>
      </c>
      <c r="F905" s="20">
        <f>Comparison!$B$10+(C905-Comparison!$B$10)*Comparison!$B$7</f>
        <v>54.723700703626257</v>
      </c>
      <c r="G905" s="20">
        <f>Comparison!$B$11+(D905-Comparison!$B$11)*Comparison!$B$7</f>
        <v>-37.856798740908161</v>
      </c>
    </row>
    <row r="906" spans="1:7">
      <c r="A906" s="18">
        <f>'Raw Data'!A906</f>
        <v>1084</v>
      </c>
      <c r="B906" s="20">
        <f>'Raw Data'!C906</f>
        <v>30.150704074411081</v>
      </c>
      <c r="C906" s="20">
        <f>'Raw Data'!F906</f>
        <v>51.895244598388672</v>
      </c>
      <c r="D906" s="20">
        <f>'Raw Data'!G906</f>
        <v>-37.34686279296875</v>
      </c>
      <c r="E906" s="20">
        <f>'Raw Data'!H906</f>
        <v>7.5074482742126314</v>
      </c>
      <c r="F906" s="20">
        <f>Comparison!$B$10+(C906-Comparison!$B$10)*Comparison!$B$7</f>
        <v>53.75373331835975</v>
      </c>
      <c r="G906" s="20">
        <f>Comparison!$B$11+(D906-Comparison!$B$11)*Comparison!$B$7</f>
        <v>-37.175848604293499</v>
      </c>
    </row>
    <row r="907" spans="1:7">
      <c r="A907" s="18">
        <f>'Raw Data'!A907</f>
        <v>1085</v>
      </c>
      <c r="B907" s="20">
        <f>'Raw Data'!C907</f>
        <v>30.184053432413307</v>
      </c>
      <c r="C907" s="20">
        <f>'Raw Data'!F907</f>
        <v>51.764007568359375</v>
      </c>
      <c r="D907" s="20">
        <f>'Raw Data'!G907</f>
        <v>-37.254974365234375</v>
      </c>
      <c r="E907" s="20">
        <f>'Raw Data'!H907</f>
        <v>7.4908572080232423</v>
      </c>
      <c r="F907" s="20">
        <f>Comparison!$B$10+(C907-Comparison!$B$10)*Comparison!$B$7</f>
        <v>53.614842421638613</v>
      </c>
      <c r="G907" s="20">
        <f>Comparison!$B$11+(D907-Comparison!$B$11)*Comparison!$B$7</f>
        <v>-37.07860115726217</v>
      </c>
    </row>
    <row r="908" spans="1:7">
      <c r="A908" s="18">
        <f>'Raw Data'!A908</f>
        <v>1086</v>
      </c>
      <c r="B908" s="20">
        <f>'Raw Data'!C908</f>
        <v>30.217402790415527</v>
      </c>
      <c r="C908" s="20">
        <f>'Raw Data'!F908</f>
        <v>51.213523864746094</v>
      </c>
      <c r="D908" s="20">
        <f>'Raw Data'!G908</f>
        <v>-37.203090667724609</v>
      </c>
      <c r="E908" s="20">
        <f>'Raw Data'!H908</f>
        <v>7.613047307974762</v>
      </c>
      <c r="F908" s="20">
        <f>Comparison!$B$10+(C908-Comparison!$B$10)*Comparison!$B$7</f>
        <v>53.032253992076065</v>
      </c>
      <c r="G908" s="20">
        <f>Comparison!$B$11+(D908-Comparison!$B$11)*Comparison!$B$7</f>
        <v>-37.023691553846646</v>
      </c>
    </row>
    <row r="909" spans="1:7">
      <c r="A909" s="18">
        <f>'Raw Data'!A909</f>
        <v>1087</v>
      </c>
      <c r="B909" s="20">
        <f>'Raw Data'!C909</f>
        <v>30.250752148417753</v>
      </c>
      <c r="C909" s="20">
        <f>'Raw Data'!F909</f>
        <v>49.262493133544922</v>
      </c>
      <c r="D909" s="20">
        <f>'Raw Data'!G909</f>
        <v>-36.833835601806641</v>
      </c>
      <c r="E909" s="20">
        <f>'Raw Data'!H909</f>
        <v>7.5295128281067525</v>
      </c>
      <c r="F909" s="20">
        <f>Comparison!$B$10+(C909-Comparison!$B$10)*Comparison!$B$7</f>
        <v>50.967437318561473</v>
      </c>
      <c r="G909" s="20">
        <f>Comparison!$B$11+(D909-Comparison!$B$11)*Comparison!$B$7</f>
        <v>-36.632901186122538</v>
      </c>
    </row>
    <row r="910" spans="1:7">
      <c r="A910" s="18">
        <f>'Raw Data'!A910</f>
        <v>1088</v>
      </c>
      <c r="B910" s="20">
        <f>'Raw Data'!C910</f>
        <v>30.284101506419979</v>
      </c>
      <c r="C910" s="20">
        <f>'Raw Data'!F910</f>
        <v>47.729282379150391</v>
      </c>
      <c r="D910" s="20">
        <f>'Raw Data'!G910</f>
        <v>-36.648807525634766</v>
      </c>
      <c r="E910" s="20">
        <f>'Raw Data'!H910</f>
        <v>7.4908572080232423</v>
      </c>
      <c r="F910" s="20">
        <f>Comparison!$B$10+(C910-Comparison!$B$10)*Comparison!$B$7</f>
        <v>49.344808274816657</v>
      </c>
      <c r="G910" s="20">
        <f>Comparison!$B$11+(D910-Comparison!$B$11)*Comparison!$B$7</f>
        <v>-36.437082098991702</v>
      </c>
    </row>
    <row r="911" spans="1:7">
      <c r="A911" s="18">
        <f>'Raw Data'!A911</f>
        <v>1089</v>
      </c>
      <c r="B911" s="20">
        <f>'Raw Data'!C911</f>
        <v>30.317450864422206</v>
      </c>
      <c r="C911" s="20">
        <f>'Raw Data'!F911</f>
        <v>47.037883758544922</v>
      </c>
      <c r="D911" s="20">
        <f>'Raw Data'!G911</f>
        <v>-36.773910522460938</v>
      </c>
      <c r="E911" s="20">
        <f>'Raw Data'!H911</f>
        <v>7.4853186806796854</v>
      </c>
      <c r="F911" s="20">
        <f>Comparison!$B$10+(C911-Comparison!$B$10)*Comparison!$B$7</f>
        <v>48.613086638124528</v>
      </c>
      <c r="G911" s="20">
        <f>Comparison!$B$11+(D911-Comparison!$B$11)*Comparison!$B$7</f>
        <v>-36.569481219939576</v>
      </c>
    </row>
    <row r="912" spans="1:7">
      <c r="A912" s="18">
        <f>'Raw Data'!A912</f>
        <v>1090</v>
      </c>
      <c r="B912" s="20">
        <f>'Raw Data'!C912</f>
        <v>30.350800222424425</v>
      </c>
      <c r="C912" s="20">
        <f>'Raw Data'!F912</f>
        <v>45.864715576171875</v>
      </c>
      <c r="D912" s="20">
        <f>'Raw Data'!G912</f>
        <v>-36.729213714599609</v>
      </c>
      <c r="E912" s="20">
        <f>'Raw Data'!H912</f>
        <v>7.4797760522405206</v>
      </c>
      <c r="F912" s="20">
        <f>Comparison!$B$10+(C912-Comparison!$B$10)*Comparison!$B$7</f>
        <v>47.371498186921968</v>
      </c>
      <c r="G912" s="20">
        <f>Comparison!$B$11+(D912-Comparison!$B$11)*Comparison!$B$7</f>
        <v>-36.522177652318106</v>
      </c>
    </row>
    <row r="913" spans="1:7">
      <c r="A913" s="18">
        <f>'Raw Data'!A913</f>
        <v>1091</v>
      </c>
      <c r="B913" s="20">
        <f>'Raw Data'!C913</f>
        <v>30.384149580426651</v>
      </c>
      <c r="C913" s="20">
        <f>'Raw Data'!F913</f>
        <v>45.166851043701172</v>
      </c>
      <c r="D913" s="20">
        <f>'Raw Data'!G913</f>
        <v>-36.866645812988281</v>
      </c>
      <c r="E913" s="20">
        <f>'Raw Data'!H913</f>
        <v>7.4756163840799568</v>
      </c>
      <c r="F913" s="20">
        <f>Comparison!$B$10+(C913-Comparison!$B$10)*Comparison!$B$7</f>
        <v>46.632933540319584</v>
      </c>
      <c r="G913" s="20">
        <f>Comparison!$B$11+(D913-Comparison!$B$11)*Comparison!$B$7</f>
        <v>-36.667624919596321</v>
      </c>
    </row>
    <row r="914" spans="1:7">
      <c r="A914" s="18">
        <f>'Raw Data'!A914</f>
        <v>1092</v>
      </c>
      <c r="B914" s="20">
        <f>'Raw Data'!C914</f>
        <v>30.417498938428878</v>
      </c>
      <c r="C914" s="20">
        <f>'Raw Data'!F914</f>
        <v>44.607475280761719</v>
      </c>
      <c r="D914" s="20">
        <f>'Raw Data'!G914</f>
        <v>-37.057907104492188</v>
      </c>
      <c r="E914" s="20">
        <f>'Raw Data'!H914</f>
        <v>7.4436483698433218</v>
      </c>
      <c r="F914" s="20">
        <f>Comparison!$B$10+(C914-Comparison!$B$10)*Comparison!$B$7</f>
        <v>46.0409344581902</v>
      </c>
      <c r="G914" s="20">
        <f>Comparison!$B$11+(D914-Comparison!$B$11)*Comparison!$B$7</f>
        <v>-36.870040749024113</v>
      </c>
    </row>
    <row r="915" spans="1:7">
      <c r="A915" s="18">
        <f>'Raw Data'!A915</f>
        <v>1093</v>
      </c>
      <c r="B915" s="20">
        <f>'Raw Data'!C915</f>
        <v>30.450848296431097</v>
      </c>
      <c r="C915" s="20">
        <f>'Raw Data'!F915</f>
        <v>43.574951171875</v>
      </c>
      <c r="D915" s="20">
        <f>'Raw Data'!G915</f>
        <v>-37.015640258789063</v>
      </c>
      <c r="E915" s="20">
        <f>'Raw Data'!H915</f>
        <v>7.4603444245460686</v>
      </c>
      <c r="F915" s="20">
        <f>Comparison!$B$10+(C915-Comparison!$B$10)*Comparison!$B$7</f>
        <v>44.948192574764036</v>
      </c>
      <c r="G915" s="20">
        <f>Comparison!$B$11+(D915-Comparison!$B$11)*Comparison!$B$7</f>
        <v>-36.825308861233218</v>
      </c>
    </row>
    <row r="916" spans="1:7">
      <c r="A916" s="18">
        <f>'Raw Data'!A916</f>
        <v>1094</v>
      </c>
      <c r="B916" s="20">
        <f>'Raw Data'!C916</f>
        <v>30.484197654433324</v>
      </c>
      <c r="C916" s="20">
        <f>'Raw Data'!F916</f>
        <v>42.750709533691406</v>
      </c>
      <c r="D916" s="20">
        <f>'Raw Data'!G916</f>
        <v>-37.111774444580078</v>
      </c>
      <c r="E916" s="20">
        <f>'Raw Data'!H916</f>
        <v>7.4492178793167705</v>
      </c>
      <c r="F916" s="20">
        <f>Comparison!$B$10+(C916-Comparison!$B$10)*Comparison!$B$7</f>
        <v>44.075880391101677</v>
      </c>
      <c r="G916" s="20">
        <f>Comparison!$B$11+(D916-Comparison!$B$11)*Comparison!$B$7</f>
        <v>-36.927049682913577</v>
      </c>
    </row>
    <row r="917" spans="1:7">
      <c r="A917" s="18">
        <f>'Raw Data'!A917</f>
        <v>1095</v>
      </c>
      <c r="B917" s="20">
        <f>'Raw Data'!C917</f>
        <v>30.51754701243555</v>
      </c>
      <c r="C917" s="20">
        <f>'Raw Data'!F917</f>
        <v>41.191993713378906</v>
      </c>
      <c r="D917" s="20">
        <f>'Raw Data'!G917</f>
        <v>-36.960693359375</v>
      </c>
      <c r="E917" s="20">
        <f>'Raw Data'!H917</f>
        <v>7.6537953990763894</v>
      </c>
      <c r="F917" s="20">
        <f>Comparison!$B$10+(C917-Comparison!$B$10)*Comparison!$B$7</f>
        <v>42.426258802070762</v>
      </c>
      <c r="G917" s="20">
        <f>Comparison!$B$11+(D917-Comparison!$B$11)*Comparison!$B$7</f>
        <v>-36.767157407105053</v>
      </c>
    </row>
    <row r="918" spans="1:7">
      <c r="A918" s="18">
        <f>'Raw Data'!A918</f>
        <v>1096</v>
      </c>
      <c r="B918" s="20">
        <f>'Raw Data'!C918</f>
        <v>30.550896370437769</v>
      </c>
      <c r="C918" s="20">
        <f>'Raw Data'!F918</f>
        <v>40.304466247558594</v>
      </c>
      <c r="D918" s="20">
        <f>'Raw Data'!G918</f>
        <v>-37.050682067871094</v>
      </c>
      <c r="E918" s="20">
        <f>'Raw Data'!H918</f>
        <v>7.5391457644770172</v>
      </c>
      <c r="F918" s="20">
        <f>Comparison!$B$10+(C918-Comparison!$B$10)*Comparison!$B$7</f>
        <v>41.48696990194172</v>
      </c>
      <c r="G918" s="20">
        <f>Comparison!$B$11+(D918-Comparison!$B$11)*Comparison!$B$7</f>
        <v>-36.86239434149018</v>
      </c>
    </row>
    <row r="919" spans="1:7">
      <c r="A919" s="18">
        <f>'Raw Data'!A919</f>
        <v>1097</v>
      </c>
      <c r="B919" s="20">
        <f>'Raw Data'!C919</f>
        <v>30.584245728439996</v>
      </c>
      <c r="C919" s="20">
        <f>'Raw Data'!F919</f>
        <v>39.736034393310547</v>
      </c>
      <c r="D919" s="20">
        <f>'Raw Data'!G919</f>
        <v>-37.291072845458984</v>
      </c>
      <c r="E919" s="20">
        <f>'Raw Data'!H919</f>
        <v>7.5871269928128733</v>
      </c>
      <c r="F919" s="20">
        <f>Comparison!$B$10+(C919-Comparison!$B$10)*Comparison!$B$7</f>
        <v>40.885386568763991</v>
      </c>
      <c r="G919" s="20">
        <f>Comparison!$B$11+(D919-Comparison!$B$11)*Comparison!$B$7</f>
        <v>-37.116804934713905</v>
      </c>
    </row>
    <row r="920" spans="1:7">
      <c r="A920" s="19">
        <f>'Raw Data'!A920</f>
        <v>1098</v>
      </c>
      <c r="B920" s="21">
        <f>'Raw Data'!C920</f>
        <v>30.617595086442222</v>
      </c>
      <c r="C920" s="21">
        <f>'Raw Data'!F920</f>
        <v>39.247409820556641</v>
      </c>
      <c r="D920" s="21">
        <f>'Raw Data'!G920</f>
        <v>-37.296726226806641</v>
      </c>
      <c r="E920" s="21">
        <f>'Raw Data'!H920</f>
        <v>7.5350188711300268</v>
      </c>
      <c r="F920" s="21">
        <f>Comparison!$B$10+(C920-Comparison!$B$10)*Comparison!$B$7</f>
        <v>40.368264952596491</v>
      </c>
      <c r="G920" s="21">
        <f>Comparison!$B$11+(D920-Comparison!$B$11)*Comparison!$B$7</f>
        <v>-37.122788026564642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1"/>
  <sheetViews>
    <sheetView showGridLines="0" topLeftCell="E336" workbookViewId="0"/>
  </sheetViews>
  <sheetFormatPr defaultRowHeight="13.8"/>
  <cols>
    <col min="1" max="1" width="11" customWidth="1"/>
    <col min="2" max="11" width="20" customWidth="1"/>
  </cols>
  <sheetData>
    <row r="1" spans="1:11" ht="27.6">
      <c r="A1" s="17" t="s">
        <v>36</v>
      </c>
      <c r="B1" s="17" t="s">
        <v>37</v>
      </c>
      <c r="C1" s="17" t="s">
        <v>38</v>
      </c>
      <c r="D1" s="17" t="s">
        <v>39</v>
      </c>
      <c r="E1" s="17" t="s">
        <v>40</v>
      </c>
      <c r="F1" s="17" t="s">
        <v>41</v>
      </c>
      <c r="G1" s="17" t="s">
        <v>42</v>
      </c>
      <c r="H1" s="17" t="s">
        <v>43</v>
      </c>
      <c r="I1" s="17" t="s">
        <v>44</v>
      </c>
      <c r="J1" s="17" t="s">
        <v>45</v>
      </c>
      <c r="K1" s="17" t="s">
        <v>46</v>
      </c>
    </row>
    <row r="2" spans="1:11">
      <c r="A2" s="18">
        <v>0</v>
      </c>
      <c r="B2" s="20">
        <v>290</v>
      </c>
      <c r="C2" s="20">
        <v>234</v>
      </c>
      <c r="D2" s="20">
        <f t="shared" ref="D2:D65" si="0">(B2-92.9538)/2.35018</f>
        <v>83.843024789590586</v>
      </c>
      <c r="E2" s="20">
        <f t="shared" ref="E2:E65" si="1">(C2-92.9538)/2.35018</f>
        <v>60.015062676050349</v>
      </c>
      <c r="F2" s="20">
        <f t="shared" ref="F2:F65" si="2">50*COS(RADIANS(D2))+50*COS(RADIANS(D2+E2-90))</f>
        <v>34.85200235005486</v>
      </c>
      <c r="G2" s="20">
        <f t="shared" ref="G2:G65" si="3">50*SIN(RADIANS(D2))+50*SIN(RADIANS(D2+E2-90))</f>
        <v>90.089522335845004</v>
      </c>
      <c r="H2" s="20">
        <f t="shared" ref="H2:H65" si="4">F2+20.2385515842125</f>
        <v>55.090553934267362</v>
      </c>
      <c r="I2" s="20">
        <f t="shared" ref="I2:I65" si="5">G2+-127.965516827923</f>
        <v>-37.875994492077993</v>
      </c>
      <c r="J2" s="20">
        <f t="shared" ref="J2:J65" si="6">F2+19.8177396590022</f>
        <v>54.66974200905706</v>
      </c>
      <c r="K2" s="20">
        <f t="shared" ref="K2:K65" si="7">G2+-127.994256561441</f>
        <v>-37.904734225596002</v>
      </c>
    </row>
    <row r="3" spans="1:11">
      <c r="A3" s="18">
        <v>1</v>
      </c>
      <c r="B3" s="20">
        <v>291</v>
      </c>
      <c r="C3" s="20">
        <v>232</v>
      </c>
      <c r="D3" s="20">
        <f t="shared" si="0"/>
        <v>84.268524113046666</v>
      </c>
      <c r="E3" s="20">
        <f t="shared" si="1"/>
        <v>59.164064029138196</v>
      </c>
      <c r="F3" s="20">
        <f t="shared" si="2"/>
        <v>34.781726804090844</v>
      </c>
      <c r="G3" s="20">
        <f t="shared" si="3"/>
        <v>89.907865904624785</v>
      </c>
      <c r="H3" s="20">
        <f t="shared" si="4"/>
        <v>55.020278388303346</v>
      </c>
      <c r="I3" s="20">
        <f t="shared" si="5"/>
        <v>-38.057650923298212</v>
      </c>
      <c r="J3" s="20">
        <f t="shared" si="6"/>
        <v>54.599466463093044</v>
      </c>
      <c r="K3" s="20">
        <f t="shared" si="7"/>
        <v>-38.086390656816221</v>
      </c>
    </row>
    <row r="4" spans="1:11">
      <c r="A4" s="18">
        <v>2</v>
      </c>
      <c r="B4" s="20">
        <v>293</v>
      </c>
      <c r="C4" s="20">
        <v>231</v>
      </c>
      <c r="D4" s="20">
        <f t="shared" si="0"/>
        <v>85.119522759958812</v>
      </c>
      <c r="E4" s="20">
        <f t="shared" si="1"/>
        <v>58.738564705682116</v>
      </c>
      <c r="F4" s="20">
        <f t="shared" si="2"/>
        <v>33.743234038294354</v>
      </c>
      <c r="G4" s="20">
        <f t="shared" si="3"/>
        <v>90.19665033614767</v>
      </c>
      <c r="H4" s="20">
        <f t="shared" si="4"/>
        <v>53.981785622506855</v>
      </c>
      <c r="I4" s="20">
        <f t="shared" si="5"/>
        <v>-37.768866491775327</v>
      </c>
      <c r="J4" s="20">
        <f t="shared" si="6"/>
        <v>53.560973697296554</v>
      </c>
      <c r="K4" s="20">
        <f t="shared" si="7"/>
        <v>-37.797606225293336</v>
      </c>
    </row>
    <row r="5" spans="1:11">
      <c r="A5" s="18">
        <v>3</v>
      </c>
      <c r="B5" s="20">
        <v>294</v>
      </c>
      <c r="C5" s="20">
        <v>229</v>
      </c>
      <c r="D5" s="20">
        <f t="shared" si="0"/>
        <v>85.545022083414892</v>
      </c>
      <c r="E5" s="20">
        <f t="shared" si="1"/>
        <v>57.88756605876997</v>
      </c>
      <c r="F5" s="20">
        <f t="shared" si="2"/>
        <v>33.672193502737237</v>
      </c>
      <c r="G5" s="20">
        <f t="shared" si="3"/>
        <v>90.006756909273889</v>
      </c>
      <c r="H5" s="20">
        <f t="shared" si="4"/>
        <v>53.910745086949738</v>
      </c>
      <c r="I5" s="20">
        <f t="shared" si="5"/>
        <v>-37.958759918649108</v>
      </c>
      <c r="J5" s="20">
        <f t="shared" si="6"/>
        <v>53.489933161739437</v>
      </c>
      <c r="K5" s="20">
        <f t="shared" si="7"/>
        <v>-37.987499652167116</v>
      </c>
    </row>
    <row r="6" spans="1:11">
      <c r="A6" s="18">
        <v>4</v>
      </c>
      <c r="B6" s="20">
        <v>295</v>
      </c>
      <c r="C6" s="20">
        <v>228</v>
      </c>
      <c r="D6" s="20">
        <f t="shared" si="0"/>
        <v>85.970521406870958</v>
      </c>
      <c r="E6" s="20">
        <f t="shared" si="1"/>
        <v>57.46206673531389</v>
      </c>
      <c r="F6" s="20">
        <f t="shared" si="2"/>
        <v>33.301893472864052</v>
      </c>
      <c r="G6" s="20">
        <f t="shared" si="3"/>
        <v>90.034224449629335</v>
      </c>
      <c r="H6" s="20">
        <f t="shared" si="4"/>
        <v>53.540445057076553</v>
      </c>
      <c r="I6" s="20">
        <f t="shared" si="5"/>
        <v>-37.931292378293662</v>
      </c>
      <c r="J6" s="20">
        <f t="shared" si="6"/>
        <v>53.119633131866252</v>
      </c>
      <c r="K6" s="20">
        <f t="shared" si="7"/>
        <v>-37.960032111811671</v>
      </c>
    </row>
    <row r="7" spans="1:11">
      <c r="A7" s="18">
        <v>5</v>
      </c>
      <c r="B7" s="20">
        <v>296</v>
      </c>
      <c r="C7" s="20">
        <v>226</v>
      </c>
      <c r="D7" s="20">
        <f t="shared" si="0"/>
        <v>86.396020730327038</v>
      </c>
      <c r="E7" s="20">
        <f t="shared" si="1"/>
        <v>56.611068088401737</v>
      </c>
      <c r="F7" s="20">
        <f t="shared" si="2"/>
        <v>33.228802123640669</v>
      </c>
      <c r="G7" s="20">
        <f t="shared" si="3"/>
        <v>89.83661637828456</v>
      </c>
      <c r="H7" s="20">
        <f t="shared" si="4"/>
        <v>53.467353707853171</v>
      </c>
      <c r="I7" s="20">
        <f t="shared" si="5"/>
        <v>-38.128900449638436</v>
      </c>
      <c r="J7" s="20">
        <f t="shared" si="6"/>
        <v>53.046541782642869</v>
      </c>
      <c r="K7" s="20">
        <f t="shared" si="7"/>
        <v>-38.157640183156445</v>
      </c>
    </row>
    <row r="8" spans="1:11">
      <c r="A8" s="18">
        <v>6</v>
      </c>
      <c r="B8" s="20">
        <v>298</v>
      </c>
      <c r="C8" s="20">
        <v>225</v>
      </c>
      <c r="D8" s="20">
        <f t="shared" si="0"/>
        <v>87.247019377239198</v>
      </c>
      <c r="E8" s="20">
        <f t="shared" si="1"/>
        <v>56.185568764945664</v>
      </c>
      <c r="F8" s="20">
        <f t="shared" si="2"/>
        <v>32.189912499019421</v>
      </c>
      <c r="G8" s="20">
        <f t="shared" si="3"/>
        <v>90.100117479767292</v>
      </c>
      <c r="H8" s="20">
        <f t="shared" si="4"/>
        <v>52.428464083231923</v>
      </c>
      <c r="I8" s="20">
        <f t="shared" si="5"/>
        <v>-37.865399348155705</v>
      </c>
      <c r="J8" s="20">
        <f t="shared" si="6"/>
        <v>52.007652158021621</v>
      </c>
      <c r="K8" s="20">
        <f t="shared" si="7"/>
        <v>-37.894139081673714</v>
      </c>
    </row>
    <row r="9" spans="1:11">
      <c r="A9" s="18">
        <v>7</v>
      </c>
      <c r="B9" s="20">
        <v>299</v>
      </c>
      <c r="C9" s="20">
        <v>224</v>
      </c>
      <c r="D9" s="20">
        <f t="shared" si="0"/>
        <v>87.672518700695264</v>
      </c>
      <c r="E9" s="20">
        <f t="shared" si="1"/>
        <v>55.760069441489591</v>
      </c>
      <c r="F9" s="20">
        <f t="shared" si="2"/>
        <v>31.81896002029103</v>
      </c>
      <c r="G9" s="20">
        <f t="shared" si="3"/>
        <v>90.116574588338352</v>
      </c>
      <c r="H9" s="20">
        <f t="shared" si="4"/>
        <v>52.057511604503532</v>
      </c>
      <c r="I9" s="20">
        <f t="shared" si="5"/>
        <v>-37.848942239584645</v>
      </c>
      <c r="J9" s="20">
        <f t="shared" si="6"/>
        <v>51.63669967929323</v>
      </c>
      <c r="K9" s="20">
        <f t="shared" si="7"/>
        <v>-37.877681973102654</v>
      </c>
    </row>
    <row r="10" spans="1:11">
      <c r="A10" s="18">
        <v>8</v>
      </c>
      <c r="B10" s="20">
        <v>300</v>
      </c>
      <c r="C10" s="20">
        <v>222</v>
      </c>
      <c r="D10" s="20">
        <f t="shared" si="0"/>
        <v>88.098018024151344</v>
      </c>
      <c r="E10" s="20">
        <f t="shared" si="1"/>
        <v>54.909070794577438</v>
      </c>
      <c r="F10" s="20">
        <f t="shared" si="2"/>
        <v>31.745298006928316</v>
      </c>
      <c r="G10" s="20">
        <f t="shared" si="3"/>
        <v>89.907951543547028</v>
      </c>
      <c r="H10" s="20">
        <f t="shared" si="4"/>
        <v>51.983849591140817</v>
      </c>
      <c r="I10" s="20">
        <f t="shared" si="5"/>
        <v>-38.057565284375968</v>
      </c>
      <c r="J10" s="20">
        <f t="shared" si="6"/>
        <v>51.563037665930516</v>
      </c>
      <c r="K10" s="20">
        <f t="shared" si="7"/>
        <v>-38.086305017893977</v>
      </c>
    </row>
    <row r="11" spans="1:11">
      <c r="A11" s="18">
        <v>9</v>
      </c>
      <c r="B11" s="20">
        <v>301</v>
      </c>
      <c r="C11" s="20">
        <v>221</v>
      </c>
      <c r="D11" s="20">
        <f t="shared" si="0"/>
        <v>88.523517347607424</v>
      </c>
      <c r="E11" s="20">
        <f t="shared" si="1"/>
        <v>54.483571471121365</v>
      </c>
      <c r="F11" s="20">
        <f t="shared" si="2"/>
        <v>31.374142020186916</v>
      </c>
      <c r="G11" s="20">
        <f t="shared" si="3"/>
        <v>89.918897383090297</v>
      </c>
      <c r="H11" s="20">
        <f t="shared" si="4"/>
        <v>51.612693604399418</v>
      </c>
      <c r="I11" s="20">
        <f t="shared" si="5"/>
        <v>-38.0466194448327</v>
      </c>
      <c r="J11" s="20">
        <f t="shared" si="6"/>
        <v>51.191881679189116</v>
      </c>
      <c r="K11" s="20">
        <f t="shared" si="7"/>
        <v>-38.075359178350709</v>
      </c>
    </row>
    <row r="12" spans="1:11">
      <c r="A12" s="18">
        <v>10</v>
      </c>
      <c r="B12" s="20">
        <v>303</v>
      </c>
      <c r="C12" s="20">
        <v>220</v>
      </c>
      <c r="D12" s="20">
        <f t="shared" si="0"/>
        <v>89.37451599451957</v>
      </c>
      <c r="E12" s="20">
        <f t="shared" si="1"/>
        <v>54.058072147665285</v>
      </c>
      <c r="F12" s="20">
        <f t="shared" si="2"/>
        <v>30.334234911618243</v>
      </c>
      <c r="G12" s="20">
        <f t="shared" si="3"/>
        <v>90.15484365916717</v>
      </c>
      <c r="H12" s="20">
        <f t="shared" si="4"/>
        <v>50.572786495830741</v>
      </c>
      <c r="I12" s="20">
        <f t="shared" si="5"/>
        <v>-37.810673168755827</v>
      </c>
      <c r="J12" s="20">
        <f t="shared" si="6"/>
        <v>50.151974570620439</v>
      </c>
      <c r="K12" s="20">
        <f t="shared" si="7"/>
        <v>-37.839412902273835</v>
      </c>
    </row>
    <row r="13" spans="1:11">
      <c r="A13" s="18">
        <v>11</v>
      </c>
      <c r="B13" s="20">
        <v>304</v>
      </c>
      <c r="C13" s="20">
        <v>219</v>
      </c>
      <c r="D13" s="20">
        <f t="shared" si="0"/>
        <v>89.80001531797565</v>
      </c>
      <c r="E13" s="20">
        <f t="shared" si="1"/>
        <v>53.632572824209213</v>
      </c>
      <c r="F13" s="20">
        <f t="shared" si="2"/>
        <v>29.962927190983297</v>
      </c>
      <c r="G13" s="20">
        <f t="shared" si="3"/>
        <v>90.157518447791716</v>
      </c>
      <c r="H13" s="20">
        <f t="shared" si="4"/>
        <v>50.201478775195795</v>
      </c>
      <c r="I13" s="20">
        <f t="shared" si="5"/>
        <v>-37.807998380131281</v>
      </c>
      <c r="J13" s="20">
        <f t="shared" si="6"/>
        <v>49.780666849985494</v>
      </c>
      <c r="K13" s="20">
        <f t="shared" si="7"/>
        <v>-37.83673811364929</v>
      </c>
    </row>
    <row r="14" spans="1:11">
      <c r="A14" s="18">
        <v>12</v>
      </c>
      <c r="B14" s="20">
        <v>305</v>
      </c>
      <c r="C14" s="20">
        <v>217</v>
      </c>
      <c r="D14" s="20">
        <f t="shared" si="0"/>
        <v>90.225514641431715</v>
      </c>
      <c r="E14" s="20">
        <f t="shared" si="1"/>
        <v>52.78157417729706</v>
      </c>
      <c r="F14" s="20">
        <f t="shared" si="2"/>
        <v>29.889012297096112</v>
      </c>
      <c r="G14" s="20">
        <f t="shared" si="3"/>
        <v>89.935110824974174</v>
      </c>
      <c r="H14" s="20">
        <f t="shared" si="4"/>
        <v>50.127563881308618</v>
      </c>
      <c r="I14" s="20">
        <f t="shared" si="5"/>
        <v>-38.030406002948823</v>
      </c>
      <c r="J14" s="20">
        <f t="shared" si="6"/>
        <v>49.706751956098316</v>
      </c>
      <c r="K14" s="20">
        <f t="shared" si="7"/>
        <v>-38.059145736466832</v>
      </c>
    </row>
    <row r="15" spans="1:11">
      <c r="A15" s="18">
        <v>13</v>
      </c>
      <c r="B15" s="20">
        <v>306</v>
      </c>
      <c r="C15" s="20">
        <v>216</v>
      </c>
      <c r="D15" s="20">
        <f t="shared" si="0"/>
        <v>90.651013964887795</v>
      </c>
      <c r="E15" s="20">
        <f t="shared" si="1"/>
        <v>52.356074853840987</v>
      </c>
      <c r="F15" s="20">
        <f t="shared" si="2"/>
        <v>29.51770580515873</v>
      </c>
      <c r="G15" s="20">
        <f t="shared" si="3"/>
        <v>89.932270588639724</v>
      </c>
      <c r="H15" s="20">
        <f t="shared" si="4"/>
        <v>49.756257389371228</v>
      </c>
      <c r="I15" s="20">
        <f t="shared" si="5"/>
        <v>-38.033246239283272</v>
      </c>
      <c r="J15" s="20">
        <f t="shared" si="6"/>
        <v>49.335445464160927</v>
      </c>
      <c r="K15" s="20">
        <f t="shared" si="7"/>
        <v>-38.061985972801281</v>
      </c>
    </row>
    <row r="16" spans="1:11">
      <c r="A16" s="18">
        <v>14</v>
      </c>
      <c r="B16" s="20">
        <v>307</v>
      </c>
      <c r="C16" s="20">
        <v>215</v>
      </c>
      <c r="D16" s="20">
        <f t="shared" si="0"/>
        <v>91.076513288343875</v>
      </c>
      <c r="E16" s="20">
        <f t="shared" si="1"/>
        <v>51.930575530384907</v>
      </c>
      <c r="F16" s="20">
        <f t="shared" si="2"/>
        <v>29.146430644550477</v>
      </c>
      <c r="G16" s="20">
        <f t="shared" si="3"/>
        <v>89.926672998747819</v>
      </c>
      <c r="H16" s="20">
        <f t="shared" si="4"/>
        <v>49.384982228762979</v>
      </c>
      <c r="I16" s="20">
        <f t="shared" si="5"/>
        <v>-38.038843829175178</v>
      </c>
      <c r="J16" s="20">
        <f t="shared" si="6"/>
        <v>48.964170303552677</v>
      </c>
      <c r="K16" s="20">
        <f t="shared" si="7"/>
        <v>-38.067583562693187</v>
      </c>
    </row>
    <row r="17" spans="1:11">
      <c r="A17" s="18">
        <v>15</v>
      </c>
      <c r="B17" s="20">
        <v>308</v>
      </c>
      <c r="C17" s="20">
        <v>214</v>
      </c>
      <c r="D17" s="20">
        <f t="shared" si="0"/>
        <v>91.502012611799955</v>
      </c>
      <c r="E17" s="20">
        <f t="shared" si="1"/>
        <v>51.505076206928834</v>
      </c>
      <c r="F17" s="20">
        <f t="shared" si="2"/>
        <v>28.775207291330787</v>
      </c>
      <c r="G17" s="20">
        <f t="shared" si="3"/>
        <v>89.918318364009039</v>
      </c>
      <c r="H17" s="20">
        <f t="shared" si="4"/>
        <v>49.013758875543289</v>
      </c>
      <c r="I17" s="20">
        <f t="shared" si="5"/>
        <v>-38.047198463913958</v>
      </c>
      <c r="J17" s="20">
        <f t="shared" si="6"/>
        <v>48.592946950332987</v>
      </c>
      <c r="K17" s="20">
        <f t="shared" si="7"/>
        <v>-38.075938197431967</v>
      </c>
    </row>
    <row r="18" spans="1:11">
      <c r="A18" s="18">
        <v>16</v>
      </c>
      <c r="B18" s="20">
        <v>309</v>
      </c>
      <c r="C18" s="20">
        <v>213</v>
      </c>
      <c r="D18" s="20">
        <f t="shared" si="0"/>
        <v>91.927511935256021</v>
      </c>
      <c r="E18" s="20">
        <f t="shared" si="1"/>
        <v>51.079576883472754</v>
      </c>
      <c r="F18" s="20">
        <f t="shared" si="2"/>
        <v>28.404056218701925</v>
      </c>
      <c r="G18" s="20">
        <f t="shared" si="3"/>
        <v>89.907207145186803</v>
      </c>
      <c r="H18" s="20">
        <f t="shared" si="4"/>
        <v>48.642607802914426</v>
      </c>
      <c r="I18" s="20">
        <f t="shared" si="5"/>
        <v>-38.058309682736194</v>
      </c>
      <c r="J18" s="20">
        <f t="shared" si="6"/>
        <v>48.221795877704125</v>
      </c>
      <c r="K18" s="20">
        <f t="shared" si="7"/>
        <v>-38.087049416254203</v>
      </c>
    </row>
    <row r="19" spans="1:11">
      <c r="A19" s="18">
        <v>17</v>
      </c>
      <c r="B19" s="20">
        <v>311</v>
      </c>
      <c r="C19" s="20">
        <v>212</v>
      </c>
      <c r="D19" s="20">
        <f t="shared" si="0"/>
        <v>92.778510582168181</v>
      </c>
      <c r="E19" s="20">
        <f t="shared" si="1"/>
        <v>50.654077560016681</v>
      </c>
      <c r="F19" s="20">
        <f t="shared" si="2"/>
        <v>27.364650335373071</v>
      </c>
      <c r="G19" s="20">
        <f t="shared" si="3"/>
        <v>90.099042455129762</v>
      </c>
      <c r="H19" s="20">
        <f t="shared" si="4"/>
        <v>47.603201919585572</v>
      </c>
      <c r="I19" s="20">
        <f t="shared" si="5"/>
        <v>-37.866474372793235</v>
      </c>
      <c r="J19" s="20">
        <f t="shared" si="6"/>
        <v>47.182389994375271</v>
      </c>
      <c r="K19" s="20">
        <f t="shared" si="7"/>
        <v>-37.895214106311244</v>
      </c>
    </row>
    <row r="20" spans="1:11">
      <c r="A20" s="18">
        <v>18</v>
      </c>
      <c r="B20" s="20">
        <v>312</v>
      </c>
      <c r="C20" s="20">
        <v>211</v>
      </c>
      <c r="D20" s="20">
        <f t="shared" si="0"/>
        <v>93.204009905624247</v>
      </c>
      <c r="E20" s="20">
        <f t="shared" si="1"/>
        <v>50.228578236560608</v>
      </c>
      <c r="F20" s="20">
        <f t="shared" si="2"/>
        <v>26.993838898222652</v>
      </c>
      <c r="G20" s="20">
        <f t="shared" si="3"/>
        <v>90.07966576873352</v>
      </c>
      <c r="H20" s="20">
        <f t="shared" si="4"/>
        <v>47.23239048243515</v>
      </c>
      <c r="I20" s="20">
        <f t="shared" si="5"/>
        <v>-37.885851059189477</v>
      </c>
      <c r="J20" s="20">
        <f t="shared" si="6"/>
        <v>46.811578557224848</v>
      </c>
      <c r="K20" s="20">
        <f t="shared" si="7"/>
        <v>-37.914590792707486</v>
      </c>
    </row>
    <row r="21" spans="1:11">
      <c r="A21" s="18">
        <v>19</v>
      </c>
      <c r="B21" s="20">
        <v>313</v>
      </c>
      <c r="C21" s="20">
        <v>210</v>
      </c>
      <c r="D21" s="20">
        <f t="shared" si="0"/>
        <v>93.629509229080327</v>
      </c>
      <c r="E21" s="20">
        <f t="shared" si="1"/>
        <v>49.803078913104528</v>
      </c>
      <c r="F21" s="20">
        <f t="shared" si="2"/>
        <v>26.623181583321298</v>
      </c>
      <c r="G21" s="20">
        <f t="shared" si="3"/>
        <v>90.057535861200989</v>
      </c>
      <c r="H21" s="20">
        <f t="shared" si="4"/>
        <v>46.861733167533799</v>
      </c>
      <c r="I21" s="20">
        <f t="shared" si="5"/>
        <v>-37.907980966722008</v>
      </c>
      <c r="J21" s="20">
        <f t="shared" si="6"/>
        <v>46.440921242323498</v>
      </c>
      <c r="K21" s="20">
        <f t="shared" si="7"/>
        <v>-37.936720700240016</v>
      </c>
    </row>
    <row r="22" spans="1:11">
      <c r="A22" s="18">
        <v>20</v>
      </c>
      <c r="B22" s="20">
        <v>314</v>
      </c>
      <c r="C22" s="20">
        <v>209</v>
      </c>
      <c r="D22" s="20">
        <f t="shared" si="0"/>
        <v>94.055008552536407</v>
      </c>
      <c r="E22" s="20">
        <f t="shared" si="1"/>
        <v>49.377579589648455</v>
      </c>
      <c r="F22" s="20">
        <f t="shared" si="2"/>
        <v>26.252698832653866</v>
      </c>
      <c r="G22" s="20">
        <f t="shared" si="3"/>
        <v>90.032653953010524</v>
      </c>
      <c r="H22" s="20">
        <f t="shared" si="4"/>
        <v>46.491250416866365</v>
      </c>
      <c r="I22" s="20">
        <f t="shared" si="5"/>
        <v>-37.932862874912473</v>
      </c>
      <c r="J22" s="20">
        <f t="shared" si="6"/>
        <v>46.070438491656063</v>
      </c>
      <c r="K22" s="20">
        <f t="shared" si="7"/>
        <v>-37.961602608430482</v>
      </c>
    </row>
    <row r="23" spans="1:11">
      <c r="A23" s="18">
        <v>21</v>
      </c>
      <c r="B23" s="20">
        <v>315</v>
      </c>
      <c r="C23" s="20">
        <v>208</v>
      </c>
      <c r="D23" s="20">
        <f t="shared" si="0"/>
        <v>94.480507875992473</v>
      </c>
      <c r="E23" s="20">
        <f t="shared" si="1"/>
        <v>48.952080266192375</v>
      </c>
      <c r="F23" s="20">
        <f t="shared" si="2"/>
        <v>25.882411078577988</v>
      </c>
      <c r="G23" s="20">
        <f t="shared" si="3"/>
        <v>90.005021416415047</v>
      </c>
      <c r="H23" s="20">
        <f t="shared" si="4"/>
        <v>46.12096266279049</v>
      </c>
      <c r="I23" s="20">
        <f t="shared" si="5"/>
        <v>-37.960495411507949</v>
      </c>
      <c r="J23" s="20">
        <f t="shared" si="6"/>
        <v>45.700150737580188</v>
      </c>
      <c r="K23" s="20">
        <f t="shared" si="7"/>
        <v>-37.989235145025958</v>
      </c>
    </row>
    <row r="24" spans="1:11">
      <c r="A24" s="18">
        <v>22</v>
      </c>
      <c r="B24" s="20">
        <v>316</v>
      </c>
      <c r="C24" s="20">
        <v>207</v>
      </c>
      <c r="D24" s="20">
        <f t="shared" si="0"/>
        <v>94.906007199448553</v>
      </c>
      <c r="E24" s="20">
        <f t="shared" si="1"/>
        <v>48.526580942736302</v>
      </c>
      <c r="F24" s="20">
        <f t="shared" si="2"/>
        <v>25.512338742696919</v>
      </c>
      <c r="G24" s="20">
        <f t="shared" si="3"/>
        <v>89.974639775366398</v>
      </c>
      <c r="H24" s="20">
        <f t="shared" si="4"/>
        <v>45.75089032690942</v>
      </c>
      <c r="I24" s="20">
        <f t="shared" si="5"/>
        <v>-37.990877052556598</v>
      </c>
      <c r="J24" s="20">
        <f t="shared" si="6"/>
        <v>45.330078401699119</v>
      </c>
      <c r="K24" s="20">
        <f t="shared" si="7"/>
        <v>-38.019616786074607</v>
      </c>
    </row>
    <row r="25" spans="1:11">
      <c r="A25" s="18">
        <v>23</v>
      </c>
      <c r="B25" s="20">
        <v>317</v>
      </c>
      <c r="C25" s="20">
        <v>206</v>
      </c>
      <c r="D25" s="20">
        <f t="shared" si="0"/>
        <v>95.331506522904633</v>
      </c>
      <c r="E25" s="20">
        <f t="shared" si="1"/>
        <v>48.10108161928023</v>
      </c>
      <c r="F25" s="20">
        <f t="shared" si="2"/>
        <v>25.142502234733549</v>
      </c>
      <c r="G25" s="20">
        <f t="shared" si="3"/>
        <v>89.941510705431313</v>
      </c>
      <c r="H25" s="20">
        <f t="shared" si="4"/>
        <v>45.38105381894605</v>
      </c>
      <c r="I25" s="20">
        <f t="shared" si="5"/>
        <v>-38.024006122491684</v>
      </c>
      <c r="J25" s="20">
        <f t="shared" si="6"/>
        <v>44.960241893735748</v>
      </c>
      <c r="K25" s="20">
        <f t="shared" si="7"/>
        <v>-38.052745856009693</v>
      </c>
    </row>
    <row r="26" spans="1:11">
      <c r="A26" s="18">
        <v>24</v>
      </c>
      <c r="B26" s="20">
        <v>318</v>
      </c>
      <c r="C26" s="20">
        <v>205</v>
      </c>
      <c r="D26" s="20">
        <f t="shared" si="0"/>
        <v>95.757005846360713</v>
      </c>
      <c r="E26" s="20">
        <f t="shared" si="1"/>
        <v>47.67558229582415</v>
      </c>
      <c r="F26" s="20">
        <f t="shared" si="2"/>
        <v>24.77292195140479</v>
      </c>
      <c r="G26" s="20">
        <f t="shared" si="3"/>
        <v>89.905636033698826</v>
      </c>
      <c r="H26" s="20">
        <f t="shared" si="4"/>
        <v>45.011473535617291</v>
      </c>
      <c r="I26" s="20">
        <f t="shared" si="5"/>
        <v>-38.059880794224171</v>
      </c>
      <c r="J26" s="20">
        <f t="shared" si="6"/>
        <v>44.59066161040699</v>
      </c>
      <c r="K26" s="20">
        <f t="shared" si="7"/>
        <v>-38.088620527742179</v>
      </c>
    </row>
    <row r="27" spans="1:11">
      <c r="A27" s="18">
        <v>25</v>
      </c>
      <c r="B27" s="20">
        <v>319</v>
      </c>
      <c r="C27" s="20">
        <v>205</v>
      </c>
      <c r="D27" s="20">
        <f t="shared" si="0"/>
        <v>96.182505169816778</v>
      </c>
      <c r="E27" s="20">
        <f t="shared" si="1"/>
        <v>47.67558229582415</v>
      </c>
      <c r="F27" s="20">
        <f t="shared" si="2"/>
        <v>24.104572974202853</v>
      </c>
      <c r="G27" s="20">
        <f t="shared" si="3"/>
        <v>90.087127906075722</v>
      </c>
      <c r="H27" s="20">
        <f t="shared" si="4"/>
        <v>44.343124558415354</v>
      </c>
      <c r="I27" s="20">
        <f t="shared" si="5"/>
        <v>-37.878388921847275</v>
      </c>
      <c r="J27" s="20">
        <f t="shared" si="6"/>
        <v>43.922312633205053</v>
      </c>
      <c r="K27" s="20">
        <f t="shared" si="7"/>
        <v>-37.907128655365284</v>
      </c>
    </row>
    <row r="28" spans="1:11">
      <c r="A28" s="18">
        <v>26</v>
      </c>
      <c r="B28" s="20">
        <v>320</v>
      </c>
      <c r="C28" s="20">
        <v>204</v>
      </c>
      <c r="D28" s="20">
        <f t="shared" si="0"/>
        <v>96.608004493272858</v>
      </c>
      <c r="E28" s="20">
        <f t="shared" si="1"/>
        <v>47.250082972368077</v>
      </c>
      <c r="F28" s="20">
        <f t="shared" si="2"/>
        <v>23.735566272645819</v>
      </c>
      <c r="G28" s="20">
        <f t="shared" si="3"/>
        <v>90.04576811759344</v>
      </c>
      <c r="H28" s="20">
        <f t="shared" si="4"/>
        <v>43.974117856858321</v>
      </c>
      <c r="I28" s="20">
        <f t="shared" si="5"/>
        <v>-37.919748710329557</v>
      </c>
      <c r="J28" s="20">
        <f t="shared" si="6"/>
        <v>43.553305931648019</v>
      </c>
      <c r="K28" s="20">
        <f t="shared" si="7"/>
        <v>-37.948488443847566</v>
      </c>
    </row>
    <row r="29" spans="1:11">
      <c r="A29" s="18">
        <v>27</v>
      </c>
      <c r="B29" s="20">
        <v>321</v>
      </c>
      <c r="C29" s="20">
        <v>203</v>
      </c>
      <c r="D29" s="20">
        <f t="shared" si="0"/>
        <v>97.033503816728938</v>
      </c>
      <c r="E29" s="20">
        <f t="shared" si="1"/>
        <v>46.824583648911997</v>
      </c>
      <c r="F29" s="20">
        <f t="shared" si="2"/>
        <v>23.366876896592597</v>
      </c>
      <c r="G29" s="20">
        <f t="shared" si="3"/>
        <v>90.001669116666335</v>
      </c>
      <c r="H29" s="20">
        <f t="shared" si="4"/>
        <v>43.605428480805102</v>
      </c>
      <c r="I29" s="20">
        <f t="shared" si="5"/>
        <v>-37.963847711256662</v>
      </c>
      <c r="J29" s="20">
        <f t="shared" si="6"/>
        <v>43.184616555594801</v>
      </c>
      <c r="K29" s="20">
        <f t="shared" si="7"/>
        <v>-37.992587444774671</v>
      </c>
    </row>
    <row r="30" spans="1:11">
      <c r="A30" s="18">
        <v>28</v>
      </c>
      <c r="B30" s="20">
        <v>322</v>
      </c>
      <c r="C30" s="20">
        <v>202</v>
      </c>
      <c r="D30" s="20">
        <f t="shared" si="0"/>
        <v>97.459003140185004</v>
      </c>
      <c r="E30" s="20">
        <f t="shared" si="1"/>
        <v>46.399084325455924</v>
      </c>
      <c r="F30" s="20">
        <f t="shared" si="2"/>
        <v>22.99852517949498</v>
      </c>
      <c r="G30" s="20">
        <f t="shared" si="3"/>
        <v>89.954833335382176</v>
      </c>
      <c r="H30" s="20">
        <f t="shared" si="4"/>
        <v>43.237076763707478</v>
      </c>
      <c r="I30" s="20">
        <f t="shared" si="5"/>
        <v>-38.010683492540821</v>
      </c>
      <c r="J30" s="20">
        <f t="shared" si="6"/>
        <v>42.816264838497176</v>
      </c>
      <c r="K30" s="20">
        <f t="shared" si="7"/>
        <v>-38.03942322605883</v>
      </c>
    </row>
    <row r="31" spans="1:11">
      <c r="A31" s="18">
        <v>29</v>
      </c>
      <c r="B31" s="20">
        <v>323</v>
      </c>
      <c r="C31" s="20">
        <v>201</v>
      </c>
      <c r="D31" s="20">
        <f t="shared" si="0"/>
        <v>97.884502463641084</v>
      </c>
      <c r="E31" s="20">
        <f t="shared" si="1"/>
        <v>45.973585001999851</v>
      </c>
      <c r="F31" s="20">
        <f t="shared" si="2"/>
        <v>22.630531436182569</v>
      </c>
      <c r="G31" s="20">
        <f t="shared" si="3"/>
        <v>89.905263356763896</v>
      </c>
      <c r="H31" s="20">
        <f t="shared" si="4"/>
        <v>42.869083020395067</v>
      </c>
      <c r="I31" s="20">
        <f t="shared" si="5"/>
        <v>-38.060253471159101</v>
      </c>
      <c r="J31" s="20">
        <f t="shared" si="6"/>
        <v>42.448271095184765</v>
      </c>
      <c r="K31" s="20">
        <f t="shared" si="7"/>
        <v>-38.088993204677109</v>
      </c>
    </row>
    <row r="32" spans="1:11">
      <c r="A32" s="18">
        <v>30</v>
      </c>
      <c r="B32" s="20">
        <v>324</v>
      </c>
      <c r="C32" s="20">
        <v>201</v>
      </c>
      <c r="D32" s="20">
        <f t="shared" si="0"/>
        <v>98.310001787097164</v>
      </c>
      <c r="E32" s="20">
        <f t="shared" si="1"/>
        <v>45.973585001999851</v>
      </c>
      <c r="F32" s="20">
        <f t="shared" si="2"/>
        <v>21.962244303684361</v>
      </c>
      <c r="G32" s="20">
        <f t="shared" si="3"/>
        <v>90.070845213522915</v>
      </c>
      <c r="H32" s="20">
        <f t="shared" si="4"/>
        <v>42.200795887896859</v>
      </c>
      <c r="I32" s="20">
        <f t="shared" si="5"/>
        <v>-37.894671614400082</v>
      </c>
      <c r="J32" s="20">
        <f t="shared" si="6"/>
        <v>41.779983962686558</v>
      </c>
      <c r="K32" s="20">
        <f t="shared" si="7"/>
        <v>-37.923411347918091</v>
      </c>
    </row>
    <row r="33" spans="1:11">
      <c r="A33" s="18">
        <v>31</v>
      </c>
      <c r="B33" s="20">
        <v>325</v>
      </c>
      <c r="C33" s="20">
        <v>200</v>
      </c>
      <c r="D33" s="20">
        <f t="shared" si="0"/>
        <v>98.73550111055323</v>
      </c>
      <c r="E33" s="20">
        <f t="shared" si="1"/>
        <v>45.548085678543771</v>
      </c>
      <c r="F33" s="20">
        <f t="shared" si="2"/>
        <v>21.595027372342365</v>
      </c>
      <c r="G33" s="20">
        <f t="shared" si="3"/>
        <v>90.015815192325036</v>
      </c>
      <c r="H33" s="20">
        <f t="shared" si="4"/>
        <v>41.833578956554867</v>
      </c>
      <c r="I33" s="20">
        <f t="shared" si="5"/>
        <v>-37.949701635597961</v>
      </c>
      <c r="J33" s="20">
        <f t="shared" si="6"/>
        <v>41.412767031344565</v>
      </c>
      <c r="K33" s="20">
        <f t="shared" si="7"/>
        <v>-37.97844136911597</v>
      </c>
    </row>
    <row r="34" spans="1:11">
      <c r="A34" s="18">
        <v>32</v>
      </c>
      <c r="B34" s="20">
        <v>326</v>
      </c>
      <c r="C34" s="20">
        <v>199</v>
      </c>
      <c r="D34" s="20">
        <f t="shared" si="0"/>
        <v>99.16100043400931</v>
      </c>
      <c r="E34" s="20">
        <f t="shared" si="1"/>
        <v>45.122586355087698</v>
      </c>
      <c r="F34" s="20">
        <f t="shared" si="2"/>
        <v>21.228229236343793</v>
      </c>
      <c r="G34" s="20">
        <f t="shared" si="3"/>
        <v>89.958059627006563</v>
      </c>
      <c r="H34" s="20">
        <f t="shared" si="4"/>
        <v>41.466780820556295</v>
      </c>
      <c r="I34" s="20">
        <f t="shared" si="5"/>
        <v>-38.007457200916434</v>
      </c>
      <c r="J34" s="20">
        <f t="shared" si="6"/>
        <v>41.045968895345993</v>
      </c>
      <c r="K34" s="20">
        <f t="shared" si="7"/>
        <v>-38.036196934434443</v>
      </c>
    </row>
    <row r="35" spans="1:11">
      <c r="A35" s="18">
        <v>33</v>
      </c>
      <c r="B35" s="20">
        <v>327</v>
      </c>
      <c r="C35" s="20">
        <v>199</v>
      </c>
      <c r="D35" s="20">
        <f t="shared" si="0"/>
        <v>99.58649975746539</v>
      </c>
      <c r="E35" s="20">
        <f t="shared" si="1"/>
        <v>45.122586355087698</v>
      </c>
      <c r="F35" s="20">
        <f t="shared" si="2"/>
        <v>20.559588692046148</v>
      </c>
      <c r="G35" s="20">
        <f t="shared" si="3"/>
        <v>90.113226116817714</v>
      </c>
      <c r="H35" s="20">
        <f t="shared" si="4"/>
        <v>40.79814027625865</v>
      </c>
      <c r="I35" s="20">
        <f t="shared" si="5"/>
        <v>-37.852290711105283</v>
      </c>
      <c r="J35" s="20">
        <f t="shared" si="6"/>
        <v>40.377328351048348</v>
      </c>
      <c r="K35" s="20">
        <f t="shared" si="7"/>
        <v>-37.881030444623292</v>
      </c>
    </row>
    <row r="36" spans="1:11">
      <c r="A36" s="18">
        <v>34</v>
      </c>
      <c r="B36" s="20">
        <v>328</v>
      </c>
      <c r="C36" s="20">
        <v>198</v>
      </c>
      <c r="D36" s="20">
        <f t="shared" si="0"/>
        <v>100.01199908092147</v>
      </c>
      <c r="E36" s="20">
        <f t="shared" si="1"/>
        <v>44.697087031631618</v>
      </c>
      <c r="F36" s="20">
        <f t="shared" si="2"/>
        <v>20.193688809968112</v>
      </c>
      <c r="G36" s="20">
        <f t="shared" si="3"/>
        <v>90.05002916916547</v>
      </c>
      <c r="H36" s="20">
        <f t="shared" si="4"/>
        <v>40.43224039418061</v>
      </c>
      <c r="I36" s="20">
        <f t="shared" si="5"/>
        <v>-37.915487658757527</v>
      </c>
      <c r="J36" s="20">
        <f t="shared" si="6"/>
        <v>40.011428468970308</v>
      </c>
      <c r="K36" s="20">
        <f t="shared" si="7"/>
        <v>-37.944227392275536</v>
      </c>
    </row>
    <row r="37" spans="1:11">
      <c r="A37" s="18">
        <v>35</v>
      </c>
      <c r="B37" s="20">
        <v>329</v>
      </c>
      <c r="C37" s="20">
        <v>197</v>
      </c>
      <c r="D37" s="20">
        <f t="shared" si="0"/>
        <v>100.43749840437754</v>
      </c>
      <c r="E37" s="20">
        <f t="shared" si="1"/>
        <v>44.271587708175545</v>
      </c>
      <c r="F37" s="20">
        <f t="shared" si="2"/>
        <v>19.828268336927906</v>
      </c>
      <c r="G37" s="20">
        <f t="shared" si="3"/>
        <v>89.98411668339574</v>
      </c>
      <c r="H37" s="20">
        <f t="shared" si="4"/>
        <v>40.066819921140407</v>
      </c>
      <c r="I37" s="20">
        <f t="shared" si="5"/>
        <v>-37.981400144527257</v>
      </c>
      <c r="J37" s="20">
        <f t="shared" si="6"/>
        <v>39.646007995930105</v>
      </c>
      <c r="K37" s="20">
        <f t="shared" si="7"/>
        <v>-38.010139878045266</v>
      </c>
    </row>
    <row r="38" spans="1:11">
      <c r="A38" s="18">
        <v>36</v>
      </c>
      <c r="B38" s="20">
        <v>330</v>
      </c>
      <c r="C38" s="20">
        <v>197</v>
      </c>
      <c r="D38" s="20">
        <f t="shared" si="0"/>
        <v>100.86299772783362</v>
      </c>
      <c r="E38" s="20">
        <f t="shared" si="1"/>
        <v>44.271587708175545</v>
      </c>
      <c r="F38" s="20">
        <f t="shared" si="2"/>
        <v>19.159472889582879</v>
      </c>
      <c r="G38" s="20">
        <f t="shared" si="3"/>
        <v>90.128885930791</v>
      </c>
      <c r="H38" s="20">
        <f t="shared" si="4"/>
        <v>39.398024473795381</v>
      </c>
      <c r="I38" s="20">
        <f t="shared" si="5"/>
        <v>-37.836630897131997</v>
      </c>
      <c r="J38" s="20">
        <f t="shared" si="6"/>
        <v>38.977212548585079</v>
      </c>
      <c r="K38" s="20">
        <f t="shared" si="7"/>
        <v>-37.865370630650006</v>
      </c>
    </row>
    <row r="39" spans="1:11">
      <c r="A39" s="18">
        <v>37</v>
      </c>
      <c r="B39" s="20">
        <v>331</v>
      </c>
      <c r="C39" s="20">
        <v>196</v>
      </c>
      <c r="D39" s="20">
        <f t="shared" si="0"/>
        <v>101.2884970512897</v>
      </c>
      <c r="E39" s="20">
        <f t="shared" si="1"/>
        <v>43.846088384719472</v>
      </c>
      <c r="F39" s="20">
        <f t="shared" si="2"/>
        <v>18.795071666576309</v>
      </c>
      <c r="G39" s="20">
        <f t="shared" si="3"/>
        <v>90.057553423695026</v>
      </c>
      <c r="H39" s="20">
        <f t="shared" si="4"/>
        <v>39.033623250788807</v>
      </c>
      <c r="I39" s="20">
        <f t="shared" si="5"/>
        <v>-37.907963404227971</v>
      </c>
      <c r="J39" s="20">
        <f t="shared" si="6"/>
        <v>38.612811325578505</v>
      </c>
      <c r="K39" s="20">
        <f t="shared" si="7"/>
        <v>-37.93670313774598</v>
      </c>
    </row>
    <row r="40" spans="1:11">
      <c r="A40" s="18">
        <v>38</v>
      </c>
      <c r="B40" s="20">
        <v>331</v>
      </c>
      <c r="C40" s="20">
        <v>195</v>
      </c>
      <c r="D40" s="20">
        <f t="shared" si="0"/>
        <v>101.2884970512897</v>
      </c>
      <c r="E40" s="20">
        <f t="shared" si="1"/>
        <v>43.420589061263392</v>
      </c>
      <c r="F40" s="20">
        <f t="shared" si="2"/>
        <v>19.098946203088651</v>
      </c>
      <c r="G40" s="20">
        <f t="shared" si="3"/>
        <v>89.844159787527744</v>
      </c>
      <c r="H40" s="20">
        <f t="shared" si="4"/>
        <v>39.337497787301153</v>
      </c>
      <c r="I40" s="20">
        <f t="shared" si="5"/>
        <v>-38.121357040395253</v>
      </c>
      <c r="J40" s="20">
        <f t="shared" si="6"/>
        <v>38.916685862090851</v>
      </c>
      <c r="K40" s="20">
        <f t="shared" si="7"/>
        <v>-38.150096773913262</v>
      </c>
    </row>
    <row r="41" spans="1:11">
      <c r="A41" s="18">
        <v>39</v>
      </c>
      <c r="B41" s="20">
        <v>332</v>
      </c>
      <c r="C41" s="20">
        <v>195</v>
      </c>
      <c r="D41" s="20">
        <f t="shared" si="0"/>
        <v>101.71399637474576</v>
      </c>
      <c r="E41" s="20">
        <f t="shared" si="1"/>
        <v>43.420589061263392</v>
      </c>
      <c r="F41" s="20">
        <f t="shared" si="2"/>
        <v>18.431210228353294</v>
      </c>
      <c r="G41" s="20">
        <f t="shared" si="3"/>
        <v>89.983516732307919</v>
      </c>
      <c r="H41" s="20">
        <f t="shared" si="4"/>
        <v>38.669761812565795</v>
      </c>
      <c r="I41" s="20">
        <f t="shared" si="5"/>
        <v>-37.982000095615078</v>
      </c>
      <c r="J41" s="20">
        <f t="shared" si="6"/>
        <v>38.248949887355494</v>
      </c>
      <c r="K41" s="20">
        <f t="shared" si="7"/>
        <v>-38.010739829133087</v>
      </c>
    </row>
    <row r="42" spans="1:11">
      <c r="A42" s="18">
        <v>40</v>
      </c>
      <c r="B42" s="20">
        <v>333</v>
      </c>
      <c r="C42" s="20">
        <v>194</v>
      </c>
      <c r="D42" s="20">
        <f t="shared" si="0"/>
        <v>102.13949569820184</v>
      </c>
      <c r="E42" s="20">
        <f t="shared" si="1"/>
        <v>42.995089737807319</v>
      </c>
      <c r="F42" s="20">
        <f t="shared" si="2"/>
        <v>18.067908642101774</v>
      </c>
      <c r="G42" s="20">
        <f t="shared" si="3"/>
        <v>89.90677993979989</v>
      </c>
      <c r="H42" s="20">
        <f t="shared" si="4"/>
        <v>38.306460226314272</v>
      </c>
      <c r="I42" s="20">
        <f t="shared" si="5"/>
        <v>-38.058736888123107</v>
      </c>
      <c r="J42" s="20">
        <f t="shared" si="6"/>
        <v>37.88564830110397</v>
      </c>
      <c r="K42" s="20">
        <f t="shared" si="7"/>
        <v>-38.087476621641116</v>
      </c>
    </row>
    <row r="43" spans="1:11">
      <c r="A43" s="18">
        <v>41</v>
      </c>
      <c r="B43" s="20">
        <v>334</v>
      </c>
      <c r="C43" s="20">
        <v>194</v>
      </c>
      <c r="D43" s="20">
        <f t="shared" si="0"/>
        <v>102.56499502165792</v>
      </c>
      <c r="E43" s="20">
        <f t="shared" si="1"/>
        <v>42.995089737807319</v>
      </c>
      <c r="F43" s="20">
        <f t="shared" si="2"/>
        <v>17.39973606277259</v>
      </c>
      <c r="G43" s="20">
        <f t="shared" si="3"/>
        <v>90.038478367800025</v>
      </c>
      <c r="H43" s="20">
        <f t="shared" si="4"/>
        <v>37.638287646985091</v>
      </c>
      <c r="I43" s="20">
        <f t="shared" si="5"/>
        <v>-37.927038460122972</v>
      </c>
      <c r="J43" s="20">
        <f t="shared" si="6"/>
        <v>37.21747572177479</v>
      </c>
      <c r="K43" s="20">
        <f t="shared" si="7"/>
        <v>-37.955778193640981</v>
      </c>
    </row>
    <row r="44" spans="1:11">
      <c r="A44" s="18">
        <v>42</v>
      </c>
      <c r="B44" s="20">
        <v>335</v>
      </c>
      <c r="C44" s="20">
        <v>193</v>
      </c>
      <c r="D44" s="20">
        <f t="shared" si="0"/>
        <v>102.99049434511399</v>
      </c>
      <c r="E44" s="20">
        <f t="shared" si="1"/>
        <v>42.569590414351239</v>
      </c>
      <c r="F44" s="20">
        <f t="shared" si="2"/>
        <v>17.037614257418298</v>
      </c>
      <c r="G44" s="20">
        <f t="shared" si="3"/>
        <v>89.956354217976696</v>
      </c>
      <c r="H44" s="20">
        <f t="shared" si="4"/>
        <v>37.276165841630799</v>
      </c>
      <c r="I44" s="20">
        <f t="shared" si="5"/>
        <v>-38.009162609946301</v>
      </c>
      <c r="J44" s="20">
        <f t="shared" si="6"/>
        <v>36.855353916420498</v>
      </c>
      <c r="K44" s="20">
        <f t="shared" si="7"/>
        <v>-38.03790234346431</v>
      </c>
    </row>
    <row r="45" spans="1:11">
      <c r="A45" s="18">
        <v>43</v>
      </c>
      <c r="B45" s="20">
        <v>336</v>
      </c>
      <c r="C45" s="20">
        <v>193</v>
      </c>
      <c r="D45" s="20">
        <f t="shared" si="0"/>
        <v>103.41599366857007</v>
      </c>
      <c r="E45" s="20">
        <f t="shared" si="1"/>
        <v>42.569590414351239</v>
      </c>
      <c r="F45" s="20">
        <f t="shared" si="2"/>
        <v>16.369101935523219</v>
      </c>
      <c r="G45" s="20">
        <f t="shared" si="3"/>
        <v>90.080400007988032</v>
      </c>
      <c r="H45" s="20">
        <f t="shared" si="4"/>
        <v>36.60765351973572</v>
      </c>
      <c r="I45" s="20">
        <f t="shared" si="5"/>
        <v>-37.885116819934964</v>
      </c>
      <c r="J45" s="20">
        <f t="shared" si="6"/>
        <v>36.186841594525418</v>
      </c>
      <c r="K45" s="20">
        <f t="shared" si="7"/>
        <v>-37.913856553452973</v>
      </c>
    </row>
    <row r="46" spans="1:11">
      <c r="A46" s="18">
        <v>44</v>
      </c>
      <c r="B46" s="20">
        <v>337</v>
      </c>
      <c r="C46" s="20">
        <v>192</v>
      </c>
      <c r="D46" s="20">
        <f t="shared" si="0"/>
        <v>103.84149299202615</v>
      </c>
      <c r="E46" s="20">
        <f t="shared" si="1"/>
        <v>42.144091090895166</v>
      </c>
      <c r="F46" s="20">
        <f t="shared" si="2"/>
        <v>16.008239794949127</v>
      </c>
      <c r="G46" s="20">
        <f t="shared" si="3"/>
        <v>89.992906617394425</v>
      </c>
      <c r="H46" s="20">
        <f t="shared" si="4"/>
        <v>36.246791379161628</v>
      </c>
      <c r="I46" s="20">
        <f t="shared" si="5"/>
        <v>-37.972610210528572</v>
      </c>
      <c r="J46" s="20">
        <f t="shared" si="6"/>
        <v>35.825979453951327</v>
      </c>
      <c r="K46" s="20">
        <f t="shared" si="7"/>
        <v>-38.001349944046581</v>
      </c>
    </row>
    <row r="47" spans="1:11">
      <c r="A47" s="18">
        <v>45</v>
      </c>
      <c r="B47" s="20">
        <v>338</v>
      </c>
      <c r="C47" s="20">
        <v>192</v>
      </c>
      <c r="D47" s="20">
        <f t="shared" si="0"/>
        <v>104.26699231548223</v>
      </c>
      <c r="E47" s="20">
        <f t="shared" si="1"/>
        <v>42.144091090895166</v>
      </c>
      <c r="F47" s="20">
        <f t="shared" si="2"/>
        <v>15.339484409445886</v>
      </c>
      <c r="G47" s="20">
        <f t="shared" si="3"/>
        <v>90.109306960113912</v>
      </c>
      <c r="H47" s="20">
        <f t="shared" si="4"/>
        <v>35.578035993658389</v>
      </c>
      <c r="I47" s="20">
        <f t="shared" si="5"/>
        <v>-37.856209867809085</v>
      </c>
      <c r="J47" s="20">
        <f t="shared" si="6"/>
        <v>35.157224068448087</v>
      </c>
      <c r="K47" s="20">
        <f t="shared" si="7"/>
        <v>-37.884949601327094</v>
      </c>
    </row>
    <row r="48" spans="1:11">
      <c r="A48" s="18">
        <v>46</v>
      </c>
      <c r="B48" s="20">
        <v>339</v>
      </c>
      <c r="C48" s="20">
        <v>191</v>
      </c>
      <c r="D48" s="20">
        <f t="shared" si="0"/>
        <v>104.69249163893829</v>
      </c>
      <c r="E48" s="20">
        <f t="shared" si="1"/>
        <v>41.718591767439094</v>
      </c>
      <c r="F48" s="20">
        <f t="shared" si="2"/>
        <v>14.979961539653704</v>
      </c>
      <c r="G48" s="20">
        <f t="shared" si="3"/>
        <v>90.016463629746752</v>
      </c>
      <c r="H48" s="20">
        <f t="shared" si="4"/>
        <v>35.218513123866202</v>
      </c>
      <c r="I48" s="20">
        <f t="shared" si="5"/>
        <v>-37.949053198176244</v>
      </c>
      <c r="J48" s="20">
        <f t="shared" si="6"/>
        <v>34.797701198655901</v>
      </c>
      <c r="K48" s="20">
        <f t="shared" si="7"/>
        <v>-37.977792931694253</v>
      </c>
    </row>
    <row r="49" spans="1:11">
      <c r="A49" s="18">
        <v>47</v>
      </c>
      <c r="B49" s="20">
        <v>339</v>
      </c>
      <c r="C49" s="20">
        <v>191</v>
      </c>
      <c r="D49" s="20">
        <f t="shared" si="0"/>
        <v>104.69249163893829</v>
      </c>
      <c r="E49" s="20">
        <f t="shared" si="1"/>
        <v>41.718591767439094</v>
      </c>
      <c r="F49" s="20">
        <f t="shared" si="2"/>
        <v>14.979961539653704</v>
      </c>
      <c r="G49" s="20">
        <f t="shared" si="3"/>
        <v>90.016463629746752</v>
      </c>
      <c r="H49" s="20">
        <f t="shared" si="4"/>
        <v>35.218513123866202</v>
      </c>
      <c r="I49" s="20">
        <f t="shared" si="5"/>
        <v>-37.949053198176244</v>
      </c>
      <c r="J49" s="20">
        <f t="shared" si="6"/>
        <v>34.797701198655901</v>
      </c>
      <c r="K49" s="20">
        <f t="shared" si="7"/>
        <v>-37.977792931694253</v>
      </c>
    </row>
    <row r="50" spans="1:11">
      <c r="A50" s="18">
        <v>48</v>
      </c>
      <c r="B50" s="20">
        <v>340</v>
      </c>
      <c r="C50" s="20">
        <v>190</v>
      </c>
      <c r="D50" s="20">
        <f t="shared" si="0"/>
        <v>105.11799096239437</v>
      </c>
      <c r="E50" s="20">
        <f t="shared" si="1"/>
        <v>41.293092443983014</v>
      </c>
      <c r="F50" s="20">
        <f t="shared" si="2"/>
        <v>14.62113806586154</v>
      </c>
      <c r="G50" s="20">
        <f t="shared" si="3"/>
        <v>89.920952936350645</v>
      </c>
      <c r="H50" s="20">
        <f t="shared" si="4"/>
        <v>34.859689650074046</v>
      </c>
      <c r="I50" s="20">
        <f t="shared" si="5"/>
        <v>-38.044563891572352</v>
      </c>
      <c r="J50" s="20">
        <f t="shared" si="6"/>
        <v>34.438877724863744</v>
      </c>
      <c r="K50" s="20">
        <f t="shared" si="7"/>
        <v>-38.073303625090361</v>
      </c>
    </row>
    <row r="51" spans="1:11">
      <c r="A51" s="18">
        <v>49</v>
      </c>
      <c r="B51" s="20">
        <v>341</v>
      </c>
      <c r="C51" s="20">
        <v>190</v>
      </c>
      <c r="D51" s="20">
        <f t="shared" si="0"/>
        <v>105.54349028585045</v>
      </c>
      <c r="E51" s="20">
        <f t="shared" si="1"/>
        <v>41.293092443983014</v>
      </c>
      <c r="F51" s="20">
        <f t="shared" si="2"/>
        <v>13.952955279452571</v>
      </c>
      <c r="G51" s="20">
        <f t="shared" si="3"/>
        <v>90.027054235335129</v>
      </c>
      <c r="H51" s="20">
        <f t="shared" si="4"/>
        <v>34.191506863665069</v>
      </c>
      <c r="I51" s="20">
        <f t="shared" si="5"/>
        <v>-37.938462592587868</v>
      </c>
      <c r="J51" s="20">
        <f t="shared" si="6"/>
        <v>33.770694938454767</v>
      </c>
      <c r="K51" s="20">
        <f t="shared" si="7"/>
        <v>-37.967202326105877</v>
      </c>
    </row>
    <row r="52" spans="1:11">
      <c r="A52" s="18">
        <v>50</v>
      </c>
      <c r="B52" s="20">
        <v>342</v>
      </c>
      <c r="C52" s="20">
        <v>189</v>
      </c>
      <c r="D52" s="20">
        <f t="shared" si="0"/>
        <v>105.96898960930652</v>
      </c>
      <c r="E52" s="20">
        <f t="shared" si="1"/>
        <v>40.867593120526941</v>
      </c>
      <c r="F52" s="20">
        <f t="shared" si="2"/>
        <v>13.595589926020137</v>
      </c>
      <c r="G52" s="20">
        <f t="shared" si="3"/>
        <v>89.926224765122427</v>
      </c>
      <c r="H52" s="20">
        <f t="shared" si="4"/>
        <v>33.834141510232641</v>
      </c>
      <c r="I52" s="20">
        <f t="shared" si="5"/>
        <v>-38.03929206280057</v>
      </c>
      <c r="J52" s="20">
        <f t="shared" si="6"/>
        <v>33.413329585022339</v>
      </c>
      <c r="K52" s="20">
        <f t="shared" si="7"/>
        <v>-38.068031796318579</v>
      </c>
    </row>
    <row r="53" spans="1:11">
      <c r="A53" s="18">
        <v>51</v>
      </c>
      <c r="B53" s="20">
        <v>343</v>
      </c>
      <c r="C53" s="20">
        <v>189</v>
      </c>
      <c r="D53" s="20">
        <f t="shared" si="0"/>
        <v>106.3944889327626</v>
      </c>
      <c r="E53" s="20">
        <f t="shared" si="1"/>
        <v>40.867593120526941</v>
      </c>
      <c r="F53" s="20">
        <f t="shared" si="2"/>
        <v>12.927396269264388</v>
      </c>
      <c r="G53" s="20">
        <f t="shared" si="3"/>
        <v>90.024709894790703</v>
      </c>
      <c r="H53" s="20">
        <f t="shared" si="4"/>
        <v>33.165947853476894</v>
      </c>
      <c r="I53" s="20">
        <f t="shared" si="5"/>
        <v>-37.940806933132293</v>
      </c>
      <c r="J53" s="20">
        <f t="shared" si="6"/>
        <v>32.745135928266592</v>
      </c>
      <c r="K53" s="20">
        <f t="shared" si="7"/>
        <v>-37.969546666650302</v>
      </c>
    </row>
    <row r="54" spans="1:11">
      <c r="A54" s="18">
        <v>52</v>
      </c>
      <c r="B54" s="20">
        <v>344</v>
      </c>
      <c r="C54" s="20">
        <v>189</v>
      </c>
      <c r="D54" s="20">
        <f t="shared" si="0"/>
        <v>106.81998825621868</v>
      </c>
      <c r="E54" s="20">
        <f t="shared" si="1"/>
        <v>40.867593120526941</v>
      </c>
      <c r="F54" s="20">
        <f t="shared" si="2"/>
        <v>12.258489658445157</v>
      </c>
      <c r="G54" s="20">
        <f t="shared" si="3"/>
        <v>90.118230104888383</v>
      </c>
      <c r="H54" s="20">
        <f t="shared" si="4"/>
        <v>32.497041242657659</v>
      </c>
      <c r="I54" s="20">
        <f t="shared" si="5"/>
        <v>-37.847286723034614</v>
      </c>
      <c r="J54" s="20">
        <f t="shared" si="6"/>
        <v>32.076229317447357</v>
      </c>
      <c r="K54" s="20">
        <f t="shared" si="7"/>
        <v>-37.876026456552623</v>
      </c>
    </row>
    <row r="55" spans="1:11">
      <c r="A55" s="18">
        <v>53</v>
      </c>
      <c r="B55" s="20">
        <v>344</v>
      </c>
      <c r="C55" s="20">
        <v>188</v>
      </c>
      <c r="D55" s="20">
        <f t="shared" si="0"/>
        <v>106.81998825621868</v>
      </c>
      <c r="E55" s="20">
        <f t="shared" si="1"/>
        <v>40.442093797070861</v>
      </c>
      <c r="F55" s="20">
        <f t="shared" si="2"/>
        <v>12.57156787080385</v>
      </c>
      <c r="G55" s="20">
        <f t="shared" si="3"/>
        <v>89.918583890690442</v>
      </c>
      <c r="H55" s="20">
        <f t="shared" si="4"/>
        <v>32.810119455016348</v>
      </c>
      <c r="I55" s="20">
        <f t="shared" si="5"/>
        <v>-38.046932937232555</v>
      </c>
      <c r="J55" s="20">
        <f t="shared" si="6"/>
        <v>32.389307529806047</v>
      </c>
      <c r="K55" s="20">
        <f t="shared" si="7"/>
        <v>-38.075672670750563</v>
      </c>
    </row>
    <row r="56" spans="1:11">
      <c r="A56" s="18">
        <v>54</v>
      </c>
      <c r="B56" s="20">
        <v>345</v>
      </c>
      <c r="C56" s="20">
        <v>188</v>
      </c>
      <c r="D56" s="20">
        <f t="shared" si="0"/>
        <v>107.24548757967474</v>
      </c>
      <c r="E56" s="20">
        <f t="shared" si="1"/>
        <v>40.442093797070861</v>
      </c>
      <c r="F56" s="20">
        <f t="shared" si="2"/>
        <v>11.903459195173902</v>
      </c>
      <c r="G56" s="20">
        <f t="shared" si="3"/>
        <v>90.009464540270386</v>
      </c>
      <c r="H56" s="20">
        <f t="shared" si="4"/>
        <v>32.142010779386403</v>
      </c>
      <c r="I56" s="20">
        <f t="shared" si="5"/>
        <v>-37.956052287652611</v>
      </c>
      <c r="J56" s="20">
        <f t="shared" si="6"/>
        <v>31.721198854176102</v>
      </c>
      <c r="K56" s="20">
        <f t="shared" si="7"/>
        <v>-37.98479202117062</v>
      </c>
    </row>
    <row r="57" spans="1:11">
      <c r="A57" s="18">
        <v>55</v>
      </c>
      <c r="B57" s="20">
        <v>346</v>
      </c>
      <c r="C57" s="20">
        <v>187</v>
      </c>
      <c r="D57" s="20">
        <f t="shared" si="0"/>
        <v>107.67098690313082</v>
      </c>
      <c r="E57" s="20">
        <f t="shared" si="1"/>
        <v>40.016594473614788</v>
      </c>
      <c r="F57" s="20">
        <f t="shared" si="2"/>
        <v>11.549246247246028</v>
      </c>
      <c r="G57" s="20">
        <f t="shared" si="3"/>
        <v>89.898065413624195</v>
      </c>
      <c r="H57" s="20">
        <f t="shared" si="4"/>
        <v>31.78779783145853</v>
      </c>
      <c r="I57" s="20">
        <f t="shared" si="5"/>
        <v>-38.067451414298802</v>
      </c>
      <c r="J57" s="20">
        <f t="shared" si="6"/>
        <v>31.366985906248228</v>
      </c>
      <c r="K57" s="20">
        <f t="shared" si="7"/>
        <v>-38.09619114781681</v>
      </c>
    </row>
    <row r="58" spans="1:11">
      <c r="A58" s="18">
        <v>56</v>
      </c>
      <c r="B58" s="20">
        <v>347</v>
      </c>
      <c r="C58" s="20">
        <v>187</v>
      </c>
      <c r="D58" s="20">
        <f t="shared" si="0"/>
        <v>108.0964862265869</v>
      </c>
      <c r="E58" s="20">
        <f t="shared" si="1"/>
        <v>40.016594473614788</v>
      </c>
      <c r="F58" s="20">
        <f t="shared" si="2"/>
        <v>10.881318138739523</v>
      </c>
      <c r="G58" s="20">
        <f t="shared" si="3"/>
        <v>89.981354566128431</v>
      </c>
      <c r="H58" s="20">
        <f t="shared" si="4"/>
        <v>31.119869722952025</v>
      </c>
      <c r="I58" s="20">
        <f t="shared" si="5"/>
        <v>-37.984162261794566</v>
      </c>
      <c r="J58" s="20">
        <f t="shared" si="6"/>
        <v>30.699057797741723</v>
      </c>
      <c r="K58" s="20">
        <f t="shared" si="7"/>
        <v>-38.012901995312575</v>
      </c>
    </row>
    <row r="59" spans="1:11">
      <c r="A59" s="18">
        <v>57</v>
      </c>
      <c r="B59" s="20">
        <v>348</v>
      </c>
      <c r="C59" s="20">
        <v>187</v>
      </c>
      <c r="D59" s="20">
        <f t="shared" si="0"/>
        <v>108.52198555004298</v>
      </c>
      <c r="E59" s="20">
        <f t="shared" si="1"/>
        <v>40.016594473614788</v>
      </c>
      <c r="F59" s="20">
        <f t="shared" si="2"/>
        <v>10.212789918669836</v>
      </c>
      <c r="G59" s="20">
        <f t="shared" si="3"/>
        <v>90.059681190135791</v>
      </c>
      <c r="H59" s="20">
        <f t="shared" si="4"/>
        <v>30.451341502882336</v>
      </c>
      <c r="I59" s="20">
        <f t="shared" si="5"/>
        <v>-37.905835637787206</v>
      </c>
      <c r="J59" s="20">
        <f t="shared" si="6"/>
        <v>30.030529577672034</v>
      </c>
      <c r="K59" s="20">
        <f t="shared" si="7"/>
        <v>-37.934575371305215</v>
      </c>
    </row>
    <row r="60" spans="1:11">
      <c r="A60" s="18">
        <v>58</v>
      </c>
      <c r="B60" s="20">
        <v>348</v>
      </c>
      <c r="C60" s="20">
        <v>187</v>
      </c>
      <c r="D60" s="20">
        <f t="shared" si="0"/>
        <v>108.52198555004298</v>
      </c>
      <c r="E60" s="20">
        <f t="shared" si="1"/>
        <v>40.016594473614788</v>
      </c>
      <c r="F60" s="20">
        <f t="shared" si="2"/>
        <v>10.212789918669836</v>
      </c>
      <c r="G60" s="20">
        <f t="shared" si="3"/>
        <v>90.059681190135791</v>
      </c>
      <c r="H60" s="20">
        <f t="shared" si="4"/>
        <v>30.451341502882336</v>
      </c>
      <c r="I60" s="20">
        <f t="shared" si="5"/>
        <v>-37.905835637787206</v>
      </c>
      <c r="J60" s="20">
        <f t="shared" si="6"/>
        <v>30.030529577672034</v>
      </c>
      <c r="K60" s="20">
        <f t="shared" si="7"/>
        <v>-37.934575371305215</v>
      </c>
    </row>
    <row r="61" spans="1:11">
      <c r="A61" s="18">
        <v>59</v>
      </c>
      <c r="B61" s="20">
        <v>349</v>
      </c>
      <c r="C61" s="20">
        <v>186</v>
      </c>
      <c r="D61" s="20">
        <f t="shared" si="0"/>
        <v>108.94748487349905</v>
      </c>
      <c r="E61" s="20">
        <f t="shared" si="1"/>
        <v>39.591095150158715</v>
      </c>
      <c r="F61" s="20">
        <f t="shared" si="2"/>
        <v>9.8611465414477841</v>
      </c>
      <c r="G61" s="20">
        <f t="shared" si="3"/>
        <v>89.940418819066167</v>
      </c>
      <c r="H61" s="20">
        <f t="shared" si="4"/>
        <v>30.099698125660286</v>
      </c>
      <c r="I61" s="20">
        <f t="shared" si="5"/>
        <v>-38.02509800885683</v>
      </c>
      <c r="J61" s="20">
        <f t="shared" si="6"/>
        <v>29.678886200449984</v>
      </c>
      <c r="K61" s="20">
        <f t="shared" si="7"/>
        <v>-38.053837742374839</v>
      </c>
    </row>
    <row r="62" spans="1:11">
      <c r="A62" s="18">
        <v>60</v>
      </c>
      <c r="B62" s="20">
        <v>350</v>
      </c>
      <c r="C62" s="20">
        <v>186</v>
      </c>
      <c r="D62" s="20">
        <f t="shared" si="0"/>
        <v>109.37298419695513</v>
      </c>
      <c r="E62" s="20">
        <f t="shared" si="1"/>
        <v>39.591095150158715</v>
      </c>
      <c r="F62" s="20">
        <f t="shared" si="2"/>
        <v>9.1929504539023128</v>
      </c>
      <c r="G62" s="20">
        <f t="shared" si="3"/>
        <v>90.011170475741707</v>
      </c>
      <c r="H62" s="20">
        <f t="shared" si="4"/>
        <v>29.431502038114814</v>
      </c>
      <c r="I62" s="20">
        <f t="shared" si="5"/>
        <v>-37.95434635218129</v>
      </c>
      <c r="J62" s="20">
        <f t="shared" si="6"/>
        <v>29.010690112904513</v>
      </c>
      <c r="K62" s="20">
        <f t="shared" si="7"/>
        <v>-37.983086085699298</v>
      </c>
    </row>
    <row r="63" spans="1:11">
      <c r="A63" s="18">
        <v>61</v>
      </c>
      <c r="B63" s="20">
        <v>351</v>
      </c>
      <c r="C63" s="20">
        <v>186</v>
      </c>
      <c r="D63" s="20">
        <f t="shared" si="0"/>
        <v>109.79848352041121</v>
      </c>
      <c r="E63" s="20">
        <f t="shared" si="1"/>
        <v>39.591095150158715</v>
      </c>
      <c r="F63" s="20">
        <f t="shared" si="2"/>
        <v>8.5242473693370933</v>
      </c>
      <c r="G63" s="20">
        <f t="shared" si="3"/>
        <v>90.076957959554164</v>
      </c>
      <c r="H63" s="20">
        <f t="shared" si="4"/>
        <v>28.762798953549595</v>
      </c>
      <c r="I63" s="20">
        <f t="shared" si="5"/>
        <v>-37.888558868368833</v>
      </c>
      <c r="J63" s="20">
        <f t="shared" si="6"/>
        <v>28.341987028339293</v>
      </c>
      <c r="K63" s="20">
        <f t="shared" si="7"/>
        <v>-37.917298601886841</v>
      </c>
    </row>
    <row r="64" spans="1:11">
      <c r="A64" s="18">
        <v>62</v>
      </c>
      <c r="B64" s="20">
        <v>352</v>
      </c>
      <c r="C64" s="20">
        <v>185</v>
      </c>
      <c r="D64" s="20">
        <f t="shared" si="0"/>
        <v>110.22398284386728</v>
      </c>
      <c r="E64" s="20">
        <f t="shared" si="1"/>
        <v>39.165595826702635</v>
      </c>
      <c r="F64" s="20">
        <f t="shared" si="2"/>
        <v>8.175348096591371</v>
      </c>
      <c r="G64" s="20">
        <f t="shared" si="3"/>
        <v>89.949891538439971</v>
      </c>
      <c r="H64" s="20">
        <f t="shared" si="4"/>
        <v>28.413899680803873</v>
      </c>
      <c r="I64" s="20">
        <f t="shared" si="5"/>
        <v>-38.015625289483026</v>
      </c>
      <c r="J64" s="20">
        <f t="shared" si="6"/>
        <v>27.993087755593571</v>
      </c>
      <c r="K64" s="20">
        <f t="shared" si="7"/>
        <v>-38.044365023001035</v>
      </c>
    </row>
    <row r="65" spans="1:11">
      <c r="A65" s="18">
        <v>63</v>
      </c>
      <c r="B65" s="20">
        <v>352</v>
      </c>
      <c r="C65" s="20">
        <v>185</v>
      </c>
      <c r="D65" s="20">
        <f t="shared" si="0"/>
        <v>110.22398284386728</v>
      </c>
      <c r="E65" s="20">
        <f t="shared" si="1"/>
        <v>39.165595826702635</v>
      </c>
      <c r="F65" s="20">
        <f t="shared" si="2"/>
        <v>8.175348096591371</v>
      </c>
      <c r="G65" s="20">
        <f t="shared" si="3"/>
        <v>89.949891538439971</v>
      </c>
      <c r="H65" s="20">
        <f t="shared" si="4"/>
        <v>28.413899680803873</v>
      </c>
      <c r="I65" s="20">
        <f t="shared" si="5"/>
        <v>-38.015625289483026</v>
      </c>
      <c r="J65" s="20">
        <f t="shared" si="6"/>
        <v>27.993087755593571</v>
      </c>
      <c r="K65" s="20">
        <f t="shared" si="7"/>
        <v>-38.044365023001035</v>
      </c>
    </row>
    <row r="66" spans="1:11">
      <c r="A66" s="18">
        <v>64</v>
      </c>
      <c r="B66" s="20">
        <v>353</v>
      </c>
      <c r="C66" s="20">
        <v>185</v>
      </c>
      <c r="D66" s="20">
        <f t="shared" ref="D66:D129" si="8">(B66-92.9538)/2.35018</f>
        <v>110.64948216732336</v>
      </c>
      <c r="E66" s="20">
        <f t="shared" ref="E66:E129" si="9">(C66-92.9538)/2.35018</f>
        <v>39.165595826702635</v>
      </c>
      <c r="F66" s="20">
        <f t="shared" ref="F66:F129" si="10">50*COS(RADIANS(D66))+50*COS(RADIANS(D66+E66-90))</f>
        <v>7.5071281482529884</v>
      </c>
      <c r="G66" s="20">
        <f t="shared" ref="G66:G129" si="11">50*SIN(RADIANS(D66))+50*SIN(RADIANS(D66+E66-90))</f>
        <v>90.008123695826825</v>
      </c>
      <c r="H66" s="20">
        <f t="shared" ref="H66:H129" si="12">F66+20.2385515842125</f>
        <v>27.74567973246549</v>
      </c>
      <c r="I66" s="20">
        <f t="shared" ref="I66:I129" si="13">G66+-127.965516827923</f>
        <v>-37.957393132096172</v>
      </c>
      <c r="J66" s="20">
        <f t="shared" ref="J66:J129" si="14">F66+19.8177396590022</f>
        <v>27.324867807255188</v>
      </c>
      <c r="K66" s="20">
        <f t="shared" ref="K66:K129" si="15">G66+-127.994256561441</f>
        <v>-37.986132865614181</v>
      </c>
    </row>
    <row r="67" spans="1:11">
      <c r="A67" s="18">
        <v>65</v>
      </c>
      <c r="B67" s="20">
        <v>354</v>
      </c>
      <c r="C67" s="20">
        <v>185</v>
      </c>
      <c r="D67" s="20">
        <f t="shared" si="8"/>
        <v>111.07498149077944</v>
      </c>
      <c r="E67" s="20">
        <f t="shared" si="9"/>
        <v>39.165595826702635</v>
      </c>
      <c r="F67" s="20">
        <f t="shared" si="10"/>
        <v>6.8384941770590473</v>
      </c>
      <c r="G67" s="20">
        <f t="shared" si="11"/>
        <v>90.061391848382428</v>
      </c>
      <c r="H67" s="20">
        <f t="shared" si="12"/>
        <v>27.077045761271549</v>
      </c>
      <c r="I67" s="20">
        <f t="shared" si="13"/>
        <v>-37.904124979540569</v>
      </c>
      <c r="J67" s="20">
        <f t="shared" si="14"/>
        <v>26.656233836061247</v>
      </c>
      <c r="K67" s="20">
        <f t="shared" si="15"/>
        <v>-37.932864713058578</v>
      </c>
    </row>
    <row r="68" spans="1:11">
      <c r="A68" s="18">
        <v>66</v>
      </c>
      <c r="B68" s="20">
        <v>355</v>
      </c>
      <c r="C68" s="20">
        <v>185</v>
      </c>
      <c r="D68" s="20">
        <f t="shared" si="8"/>
        <v>111.5004808142355</v>
      </c>
      <c r="E68" s="20">
        <f t="shared" si="9"/>
        <v>39.165595826702635</v>
      </c>
      <c r="F68" s="20">
        <f t="shared" si="10"/>
        <v>6.169483058595052</v>
      </c>
      <c r="G68" s="20">
        <f t="shared" si="11"/>
        <v>90.109693058334543</v>
      </c>
      <c r="H68" s="20">
        <f t="shared" si="12"/>
        <v>26.408034642807554</v>
      </c>
      <c r="I68" s="20">
        <f t="shared" si="13"/>
        <v>-37.855823769588454</v>
      </c>
      <c r="J68" s="20">
        <f t="shared" si="14"/>
        <v>25.987222717597252</v>
      </c>
      <c r="K68" s="20">
        <f t="shared" si="15"/>
        <v>-37.884563503106463</v>
      </c>
    </row>
    <row r="69" spans="1:11">
      <c r="A69" s="18">
        <v>67</v>
      </c>
      <c r="B69" s="20">
        <v>355</v>
      </c>
      <c r="C69" s="20">
        <v>184</v>
      </c>
      <c r="D69" s="20">
        <f t="shared" si="8"/>
        <v>111.5004808142355</v>
      </c>
      <c r="E69" s="20">
        <f t="shared" si="9"/>
        <v>38.740096503246562</v>
      </c>
      <c r="F69" s="20">
        <f t="shared" si="10"/>
        <v>6.4925121805583252</v>
      </c>
      <c r="G69" s="20">
        <f t="shared" si="11"/>
        <v>89.92658444504471</v>
      </c>
      <c r="H69" s="20">
        <f t="shared" si="12"/>
        <v>26.731063764770827</v>
      </c>
      <c r="I69" s="20">
        <f t="shared" si="13"/>
        <v>-38.038932382878286</v>
      </c>
      <c r="J69" s="20">
        <f t="shared" si="14"/>
        <v>26.310251839560525</v>
      </c>
      <c r="K69" s="20">
        <f t="shared" si="15"/>
        <v>-38.067672116396295</v>
      </c>
    </row>
    <row r="70" spans="1:11">
      <c r="A70" s="18">
        <v>68</v>
      </c>
      <c r="B70" s="20">
        <v>356</v>
      </c>
      <c r="C70" s="20">
        <v>184</v>
      </c>
      <c r="D70" s="20">
        <f t="shared" si="8"/>
        <v>111.92598013769158</v>
      </c>
      <c r="E70" s="20">
        <f t="shared" si="9"/>
        <v>38.740096503246562</v>
      </c>
      <c r="F70" s="20">
        <f t="shared" si="10"/>
        <v>5.8245117223234644</v>
      </c>
      <c r="G70" s="20">
        <f t="shared" si="11"/>
        <v>89.972320007672209</v>
      </c>
      <c r="H70" s="20">
        <f t="shared" si="12"/>
        <v>26.063063306535966</v>
      </c>
      <c r="I70" s="20">
        <f t="shared" si="13"/>
        <v>-37.993196820250787</v>
      </c>
      <c r="J70" s="20">
        <f t="shared" si="14"/>
        <v>25.642251381325664</v>
      </c>
      <c r="K70" s="20">
        <f t="shared" si="15"/>
        <v>-38.021936553768796</v>
      </c>
    </row>
    <row r="71" spans="1:11">
      <c r="A71" s="18">
        <v>69</v>
      </c>
      <c r="B71" s="20">
        <v>357</v>
      </c>
      <c r="C71" s="20">
        <v>184</v>
      </c>
      <c r="D71" s="20">
        <f t="shared" si="8"/>
        <v>112.35147946114766</v>
      </c>
      <c r="E71" s="20">
        <f t="shared" si="9"/>
        <v>38.740096503246562</v>
      </c>
      <c r="F71" s="20">
        <f t="shared" si="10"/>
        <v>5.1561900385909354</v>
      </c>
      <c r="G71" s="20">
        <f t="shared" si="11"/>
        <v>90.01309354006446</v>
      </c>
      <c r="H71" s="20">
        <f t="shared" si="12"/>
        <v>25.394741622803437</v>
      </c>
      <c r="I71" s="20">
        <f t="shared" si="13"/>
        <v>-37.952423287858537</v>
      </c>
      <c r="J71" s="20">
        <f t="shared" si="14"/>
        <v>24.973929697593135</v>
      </c>
      <c r="K71" s="20">
        <f t="shared" si="15"/>
        <v>-37.981163021376545</v>
      </c>
    </row>
    <row r="72" spans="1:11">
      <c r="A72" s="18">
        <v>70</v>
      </c>
      <c r="B72" s="20">
        <v>357</v>
      </c>
      <c r="C72" s="20">
        <v>184</v>
      </c>
      <c r="D72" s="20">
        <f t="shared" si="8"/>
        <v>112.35147946114766</v>
      </c>
      <c r="E72" s="20">
        <f t="shared" si="9"/>
        <v>38.740096503246562</v>
      </c>
      <c r="F72" s="20">
        <f t="shared" si="10"/>
        <v>5.1561900385909354</v>
      </c>
      <c r="G72" s="20">
        <f t="shared" si="11"/>
        <v>90.01309354006446</v>
      </c>
      <c r="H72" s="20">
        <f t="shared" si="12"/>
        <v>25.394741622803437</v>
      </c>
      <c r="I72" s="20">
        <f t="shared" si="13"/>
        <v>-37.952423287858537</v>
      </c>
      <c r="J72" s="20">
        <f t="shared" si="14"/>
        <v>24.973929697593135</v>
      </c>
      <c r="K72" s="20">
        <f t="shared" si="15"/>
        <v>-37.981163021376545</v>
      </c>
    </row>
    <row r="73" spans="1:11">
      <c r="A73" s="18">
        <v>71</v>
      </c>
      <c r="B73" s="20">
        <v>358</v>
      </c>
      <c r="C73" s="20">
        <v>184</v>
      </c>
      <c r="D73" s="20">
        <f t="shared" si="8"/>
        <v>112.77697878460374</v>
      </c>
      <c r="E73" s="20">
        <f t="shared" si="9"/>
        <v>38.740096503246562</v>
      </c>
      <c r="F73" s="20">
        <f t="shared" si="10"/>
        <v>4.4875839877233936</v>
      </c>
      <c r="G73" s="20">
        <f t="shared" si="11"/>
        <v>90.048902793535376</v>
      </c>
      <c r="H73" s="20">
        <f t="shared" si="12"/>
        <v>24.726135571935895</v>
      </c>
      <c r="I73" s="20">
        <f t="shared" si="13"/>
        <v>-37.916614034387621</v>
      </c>
      <c r="J73" s="20">
        <f t="shared" si="14"/>
        <v>24.305323646725594</v>
      </c>
      <c r="K73" s="20">
        <f t="shared" si="15"/>
        <v>-37.94535376790563</v>
      </c>
    </row>
    <row r="74" spans="1:11">
      <c r="A74" s="18">
        <v>72</v>
      </c>
      <c r="B74" s="20">
        <v>359</v>
      </c>
      <c r="C74" s="20">
        <v>184</v>
      </c>
      <c r="D74" s="20">
        <f t="shared" si="8"/>
        <v>113.20247810805981</v>
      </c>
      <c r="E74" s="20">
        <f t="shared" si="9"/>
        <v>38.740096503246562</v>
      </c>
      <c r="F74" s="20">
        <f t="shared" si="10"/>
        <v>3.8187304437665581</v>
      </c>
      <c r="G74" s="20">
        <f t="shared" si="11"/>
        <v>90.079745793182099</v>
      </c>
      <c r="H74" s="20">
        <f t="shared" si="12"/>
        <v>24.05728202797906</v>
      </c>
      <c r="I74" s="20">
        <f t="shared" si="13"/>
        <v>-37.885771034740898</v>
      </c>
      <c r="J74" s="20">
        <f t="shared" si="14"/>
        <v>23.636470102768758</v>
      </c>
      <c r="K74" s="20">
        <f t="shared" si="15"/>
        <v>-37.914510768258907</v>
      </c>
    </row>
    <row r="75" spans="1:11">
      <c r="A75" s="18">
        <v>73</v>
      </c>
      <c r="B75" s="20">
        <v>360</v>
      </c>
      <c r="C75" s="20">
        <v>183</v>
      </c>
      <c r="D75" s="20">
        <f t="shared" si="8"/>
        <v>113.62797743151589</v>
      </c>
      <c r="E75" s="20">
        <f t="shared" si="9"/>
        <v>38.314597179790482</v>
      </c>
      <c r="F75" s="20">
        <f t="shared" si="10"/>
        <v>3.4779914291751908</v>
      </c>
      <c r="G75" s="20">
        <f t="shared" si="11"/>
        <v>89.932187323982319</v>
      </c>
      <c r="H75" s="20">
        <f t="shared" si="12"/>
        <v>23.716543013387692</v>
      </c>
      <c r="I75" s="20">
        <f t="shared" si="13"/>
        <v>-38.033329503940678</v>
      </c>
      <c r="J75" s="20">
        <f t="shared" si="14"/>
        <v>23.295731088177391</v>
      </c>
      <c r="K75" s="20">
        <f t="shared" si="15"/>
        <v>-38.062069237458687</v>
      </c>
    </row>
    <row r="76" spans="1:11">
      <c r="A76" s="18">
        <v>74</v>
      </c>
      <c r="B76" s="20">
        <v>360</v>
      </c>
      <c r="C76" s="20">
        <v>183</v>
      </c>
      <c r="D76" s="20">
        <f t="shared" si="8"/>
        <v>113.62797743151589</v>
      </c>
      <c r="E76" s="20">
        <f t="shared" si="9"/>
        <v>38.314597179790482</v>
      </c>
      <c r="F76" s="20">
        <f t="shared" si="10"/>
        <v>3.4779914291751908</v>
      </c>
      <c r="G76" s="20">
        <f t="shared" si="11"/>
        <v>89.932187323982319</v>
      </c>
      <c r="H76" s="20">
        <f t="shared" si="12"/>
        <v>23.716543013387692</v>
      </c>
      <c r="I76" s="20">
        <f t="shared" si="13"/>
        <v>-38.033329503940678</v>
      </c>
      <c r="J76" s="20">
        <f t="shared" si="14"/>
        <v>23.295731088177391</v>
      </c>
      <c r="K76" s="20">
        <f t="shared" si="15"/>
        <v>-38.062069237458687</v>
      </c>
    </row>
    <row r="77" spans="1:11">
      <c r="A77" s="18">
        <v>75</v>
      </c>
      <c r="B77" s="20">
        <v>361</v>
      </c>
      <c r="C77" s="20">
        <v>183</v>
      </c>
      <c r="D77" s="20">
        <f t="shared" si="8"/>
        <v>114.05347675497197</v>
      </c>
      <c r="E77" s="20">
        <f t="shared" si="9"/>
        <v>38.314597179790482</v>
      </c>
      <c r="F77" s="20">
        <f t="shared" si="10"/>
        <v>2.8100324886645289</v>
      </c>
      <c r="G77" s="20">
        <f t="shared" si="11"/>
        <v>89.955536009018971</v>
      </c>
      <c r="H77" s="20">
        <f t="shared" si="12"/>
        <v>23.048584072877031</v>
      </c>
      <c r="I77" s="20">
        <f t="shared" si="13"/>
        <v>-38.009980818904026</v>
      </c>
      <c r="J77" s="20">
        <f t="shared" si="14"/>
        <v>22.627772147666729</v>
      </c>
      <c r="K77" s="20">
        <f t="shared" si="15"/>
        <v>-38.038720552422035</v>
      </c>
    </row>
    <row r="78" spans="1:11">
      <c r="A78" s="18">
        <v>76</v>
      </c>
      <c r="B78" s="20">
        <v>362</v>
      </c>
      <c r="C78" s="20">
        <v>183</v>
      </c>
      <c r="D78" s="20">
        <f t="shared" si="8"/>
        <v>114.47897607842803</v>
      </c>
      <c r="E78" s="20">
        <f t="shared" si="9"/>
        <v>38.314597179790482</v>
      </c>
      <c r="F78" s="20">
        <f t="shared" si="10"/>
        <v>2.1419185730885211</v>
      </c>
      <c r="G78" s="20">
        <f t="shared" si="11"/>
        <v>89.973923589468512</v>
      </c>
      <c r="H78" s="20">
        <f t="shared" si="12"/>
        <v>22.380470157301023</v>
      </c>
      <c r="I78" s="20">
        <f t="shared" si="13"/>
        <v>-37.991593238454485</v>
      </c>
      <c r="J78" s="20">
        <f t="shared" si="14"/>
        <v>21.959658232090721</v>
      </c>
      <c r="K78" s="20">
        <f t="shared" si="15"/>
        <v>-38.020332971972493</v>
      </c>
    </row>
    <row r="79" spans="1:11">
      <c r="A79" s="18">
        <v>77</v>
      </c>
      <c r="B79" s="20">
        <v>362</v>
      </c>
      <c r="C79" s="20">
        <v>183</v>
      </c>
      <c r="D79" s="20">
        <f t="shared" si="8"/>
        <v>114.47897607842803</v>
      </c>
      <c r="E79" s="20">
        <f t="shared" si="9"/>
        <v>38.314597179790482</v>
      </c>
      <c r="F79" s="20">
        <f t="shared" si="10"/>
        <v>2.1419185730885211</v>
      </c>
      <c r="G79" s="20">
        <f t="shared" si="11"/>
        <v>89.973923589468512</v>
      </c>
      <c r="H79" s="20">
        <f t="shared" si="12"/>
        <v>22.380470157301023</v>
      </c>
      <c r="I79" s="20">
        <f t="shared" si="13"/>
        <v>-37.991593238454485</v>
      </c>
      <c r="J79" s="20">
        <f t="shared" si="14"/>
        <v>21.959658232090721</v>
      </c>
      <c r="K79" s="20">
        <f t="shared" si="15"/>
        <v>-38.020332971972493</v>
      </c>
    </row>
    <row r="80" spans="1:11">
      <c r="A80" s="18">
        <v>78</v>
      </c>
      <c r="B80" s="20">
        <v>363</v>
      </c>
      <c r="C80" s="20">
        <v>183</v>
      </c>
      <c r="D80" s="20">
        <f t="shared" si="8"/>
        <v>114.90447540188411</v>
      </c>
      <c r="E80" s="20">
        <f t="shared" si="9"/>
        <v>38.314597179790482</v>
      </c>
      <c r="F80" s="20">
        <f t="shared" si="10"/>
        <v>1.4736865293513155</v>
      </c>
      <c r="G80" s="20">
        <f t="shared" si="11"/>
        <v>89.987349051244252</v>
      </c>
      <c r="H80" s="20">
        <f t="shared" si="12"/>
        <v>21.712238113563817</v>
      </c>
      <c r="I80" s="20">
        <f t="shared" si="13"/>
        <v>-37.978167776678745</v>
      </c>
      <c r="J80" s="20">
        <f t="shared" si="14"/>
        <v>21.291426188353515</v>
      </c>
      <c r="K80" s="20">
        <f t="shared" si="15"/>
        <v>-38.006907510196754</v>
      </c>
    </row>
    <row r="81" spans="1:11">
      <c r="A81" s="18">
        <v>79</v>
      </c>
      <c r="B81" s="20">
        <v>364</v>
      </c>
      <c r="C81" s="20">
        <v>183</v>
      </c>
      <c r="D81" s="20">
        <f t="shared" si="8"/>
        <v>115.32997472534019</v>
      </c>
      <c r="E81" s="20">
        <f t="shared" si="9"/>
        <v>38.314597179790482</v>
      </c>
      <c r="F81" s="20">
        <f t="shared" si="10"/>
        <v>0.80537321087187053</v>
      </c>
      <c r="G81" s="20">
        <f t="shared" si="11"/>
        <v>89.995811653923482</v>
      </c>
      <c r="H81" s="20">
        <f t="shared" si="12"/>
        <v>21.043924795084372</v>
      </c>
      <c r="I81" s="20">
        <f t="shared" si="13"/>
        <v>-37.969705173999515</v>
      </c>
      <c r="J81" s="20">
        <f t="shared" si="14"/>
        <v>20.62311286987407</v>
      </c>
      <c r="K81" s="20">
        <f t="shared" si="15"/>
        <v>-37.998444907517523</v>
      </c>
    </row>
    <row r="82" spans="1:11">
      <c r="A82" s="18">
        <v>80</v>
      </c>
      <c r="B82" s="20">
        <v>364</v>
      </c>
      <c r="C82" s="20">
        <v>183</v>
      </c>
      <c r="D82" s="20">
        <f t="shared" si="8"/>
        <v>115.32997472534019</v>
      </c>
      <c r="E82" s="20">
        <f t="shared" si="9"/>
        <v>38.314597179790482</v>
      </c>
      <c r="F82" s="20">
        <f t="shared" si="10"/>
        <v>0.80537321087187053</v>
      </c>
      <c r="G82" s="20">
        <f t="shared" si="11"/>
        <v>89.995811653923482</v>
      </c>
      <c r="H82" s="20">
        <f t="shared" si="12"/>
        <v>21.043924795084372</v>
      </c>
      <c r="I82" s="20">
        <f t="shared" si="13"/>
        <v>-37.969705173999515</v>
      </c>
      <c r="J82" s="20">
        <f t="shared" si="14"/>
        <v>20.62311286987407</v>
      </c>
      <c r="K82" s="20">
        <f t="shared" si="15"/>
        <v>-37.998444907517523</v>
      </c>
    </row>
    <row r="83" spans="1:11">
      <c r="A83" s="18">
        <v>81</v>
      </c>
      <c r="B83" s="20">
        <v>365</v>
      </c>
      <c r="C83" s="20">
        <v>183</v>
      </c>
      <c r="D83" s="20">
        <f t="shared" si="8"/>
        <v>115.75547404879626</v>
      </c>
      <c r="E83" s="20">
        <f t="shared" si="9"/>
        <v>38.314597179790482</v>
      </c>
      <c r="F83" s="20">
        <f t="shared" si="10"/>
        <v>0.13701547555155003</v>
      </c>
      <c r="G83" s="20">
        <f t="shared" si="11"/>
        <v>89.99931093078834</v>
      </c>
      <c r="H83" s="20">
        <f t="shared" si="12"/>
        <v>20.375567059764052</v>
      </c>
      <c r="I83" s="20">
        <f t="shared" si="13"/>
        <v>-37.966205897134657</v>
      </c>
      <c r="J83" s="20">
        <f t="shared" si="14"/>
        <v>19.95475513455375</v>
      </c>
      <c r="K83" s="20">
        <f t="shared" si="15"/>
        <v>-37.994945630652666</v>
      </c>
    </row>
    <row r="84" spans="1:11">
      <c r="A84" s="18">
        <v>82</v>
      </c>
      <c r="B84" s="20">
        <v>366</v>
      </c>
      <c r="C84" s="20">
        <v>183</v>
      </c>
      <c r="D84" s="20">
        <f t="shared" si="8"/>
        <v>116.18097337225234</v>
      </c>
      <c r="E84" s="20">
        <f t="shared" si="9"/>
        <v>38.314597179790482</v>
      </c>
      <c r="F84" s="20">
        <f t="shared" si="10"/>
        <v>-0.53134981625872157</v>
      </c>
      <c r="G84" s="20">
        <f t="shared" si="11"/>
        <v>89.997846688851496</v>
      </c>
      <c r="H84" s="20">
        <f t="shared" si="12"/>
        <v>19.70720176795378</v>
      </c>
      <c r="I84" s="20">
        <f t="shared" si="13"/>
        <v>-37.967670139071501</v>
      </c>
      <c r="J84" s="20">
        <f t="shared" si="14"/>
        <v>19.286389842743478</v>
      </c>
      <c r="K84" s="20">
        <f t="shared" si="15"/>
        <v>-37.99640987258951</v>
      </c>
    </row>
    <row r="85" spans="1:11">
      <c r="A85" s="18">
        <v>83</v>
      </c>
      <c r="B85" s="20">
        <v>366</v>
      </c>
      <c r="C85" s="20">
        <v>183</v>
      </c>
      <c r="D85" s="20">
        <f t="shared" si="8"/>
        <v>116.18097337225234</v>
      </c>
      <c r="E85" s="20">
        <f t="shared" si="9"/>
        <v>38.314597179790482</v>
      </c>
      <c r="F85" s="20">
        <f t="shared" si="10"/>
        <v>-0.53134981625872157</v>
      </c>
      <c r="G85" s="20">
        <f t="shared" si="11"/>
        <v>89.997846688851496</v>
      </c>
      <c r="H85" s="20">
        <f t="shared" si="12"/>
        <v>19.70720176795378</v>
      </c>
      <c r="I85" s="20">
        <f t="shared" si="13"/>
        <v>-37.967670139071501</v>
      </c>
      <c r="J85" s="20">
        <f t="shared" si="14"/>
        <v>19.286389842743478</v>
      </c>
      <c r="K85" s="20">
        <f t="shared" si="15"/>
        <v>-37.99640987258951</v>
      </c>
    </row>
    <row r="86" spans="1:11">
      <c r="A86" s="18">
        <v>84</v>
      </c>
      <c r="B86" s="20">
        <v>367</v>
      </c>
      <c r="C86" s="20">
        <v>183</v>
      </c>
      <c r="D86" s="20">
        <f t="shared" si="8"/>
        <v>116.60647269570842</v>
      </c>
      <c r="E86" s="20">
        <f t="shared" si="9"/>
        <v>38.314597179790482</v>
      </c>
      <c r="F86" s="20">
        <f t="shared" si="10"/>
        <v>-1.1996858037912901</v>
      </c>
      <c r="G86" s="20">
        <f t="shared" si="11"/>
        <v>89.99141900886687</v>
      </c>
      <c r="H86" s="20">
        <f t="shared" si="12"/>
        <v>19.038865780421212</v>
      </c>
      <c r="I86" s="20">
        <f t="shared" si="13"/>
        <v>-37.974097819056126</v>
      </c>
      <c r="J86" s="20">
        <f t="shared" si="14"/>
        <v>18.61805385521091</v>
      </c>
      <c r="K86" s="20">
        <f t="shared" si="15"/>
        <v>-38.002837552574135</v>
      </c>
    </row>
    <row r="87" spans="1:11">
      <c r="A87" s="18">
        <v>85</v>
      </c>
      <c r="B87" s="20">
        <v>367</v>
      </c>
      <c r="C87" s="20">
        <v>183</v>
      </c>
      <c r="D87" s="20">
        <f t="shared" si="8"/>
        <v>116.60647269570842</v>
      </c>
      <c r="E87" s="20">
        <f t="shared" si="9"/>
        <v>38.314597179790482</v>
      </c>
      <c r="F87" s="20">
        <f t="shared" si="10"/>
        <v>-1.1996858037912901</v>
      </c>
      <c r="G87" s="20">
        <f t="shared" si="11"/>
        <v>89.99141900886687</v>
      </c>
      <c r="H87" s="20">
        <f t="shared" si="12"/>
        <v>19.038865780421212</v>
      </c>
      <c r="I87" s="20">
        <f t="shared" si="13"/>
        <v>-37.974097819056126</v>
      </c>
      <c r="J87" s="20">
        <f t="shared" si="14"/>
        <v>18.61805385521091</v>
      </c>
      <c r="K87" s="20">
        <f t="shared" si="15"/>
        <v>-38.002837552574135</v>
      </c>
    </row>
    <row r="88" spans="1:11">
      <c r="A88" s="18">
        <v>86</v>
      </c>
      <c r="B88" s="20">
        <v>368</v>
      </c>
      <c r="C88" s="20">
        <v>183</v>
      </c>
      <c r="D88" s="20">
        <f t="shared" si="8"/>
        <v>117.0319720191645</v>
      </c>
      <c r="E88" s="20">
        <f t="shared" si="9"/>
        <v>38.314597179790482</v>
      </c>
      <c r="F88" s="20">
        <f t="shared" si="10"/>
        <v>-1.8679556278945562</v>
      </c>
      <c r="G88" s="20">
        <f t="shared" si="11"/>
        <v>89.980028245324945</v>
      </c>
      <c r="H88" s="20">
        <f t="shared" si="12"/>
        <v>18.370595956317946</v>
      </c>
      <c r="I88" s="20">
        <f t="shared" si="13"/>
        <v>-37.985488582598052</v>
      </c>
      <c r="J88" s="20">
        <f t="shared" si="14"/>
        <v>17.949784031107644</v>
      </c>
      <c r="K88" s="20">
        <f t="shared" si="15"/>
        <v>-38.014228316116061</v>
      </c>
    </row>
    <row r="89" spans="1:11">
      <c r="A89" s="18">
        <v>87</v>
      </c>
      <c r="B89" s="20">
        <v>369</v>
      </c>
      <c r="C89" s="20">
        <v>183</v>
      </c>
      <c r="D89" s="20">
        <f t="shared" si="8"/>
        <v>117.45747134262056</v>
      </c>
      <c r="E89" s="20">
        <f t="shared" si="9"/>
        <v>38.314597179790482</v>
      </c>
      <c r="F89" s="20">
        <f t="shared" si="10"/>
        <v>-2.5361224330659731</v>
      </c>
      <c r="G89" s="20">
        <f t="shared" si="11"/>
        <v>89.963675026433634</v>
      </c>
      <c r="H89" s="20">
        <f t="shared" si="12"/>
        <v>17.702429151146529</v>
      </c>
      <c r="I89" s="20">
        <f t="shared" si="13"/>
        <v>-38.001841801489363</v>
      </c>
      <c r="J89" s="20">
        <f t="shared" si="14"/>
        <v>17.281617225936227</v>
      </c>
      <c r="K89" s="20">
        <f t="shared" si="15"/>
        <v>-38.030581535007371</v>
      </c>
    </row>
    <row r="90" spans="1:11">
      <c r="A90" s="18">
        <v>88</v>
      </c>
      <c r="B90" s="20">
        <v>369</v>
      </c>
      <c r="C90" s="20">
        <v>183</v>
      </c>
      <c r="D90" s="20">
        <f t="shared" si="8"/>
        <v>117.45747134262056</v>
      </c>
      <c r="E90" s="20">
        <f t="shared" si="9"/>
        <v>38.314597179790482</v>
      </c>
      <c r="F90" s="20">
        <f t="shared" si="10"/>
        <v>-2.5361224330659731</v>
      </c>
      <c r="G90" s="20">
        <f t="shared" si="11"/>
        <v>89.963675026433634</v>
      </c>
      <c r="H90" s="20">
        <f t="shared" si="12"/>
        <v>17.702429151146529</v>
      </c>
      <c r="I90" s="20">
        <f t="shared" si="13"/>
        <v>-38.001841801489363</v>
      </c>
      <c r="J90" s="20">
        <f t="shared" si="14"/>
        <v>17.281617225936227</v>
      </c>
      <c r="K90" s="20">
        <f t="shared" si="15"/>
        <v>-38.030581535007371</v>
      </c>
    </row>
    <row r="91" spans="1:11">
      <c r="A91" s="18">
        <v>89</v>
      </c>
      <c r="B91" s="20">
        <v>370</v>
      </c>
      <c r="C91" s="20">
        <v>183</v>
      </c>
      <c r="D91" s="20">
        <f t="shared" si="8"/>
        <v>117.88297066607664</v>
      </c>
      <c r="E91" s="20">
        <f t="shared" si="9"/>
        <v>38.314597179790482</v>
      </c>
      <c r="F91" s="20">
        <f t="shared" si="10"/>
        <v>-3.2041493694845329</v>
      </c>
      <c r="G91" s="20">
        <f t="shared" si="11"/>
        <v>89.942360254083241</v>
      </c>
      <c r="H91" s="20">
        <f t="shared" si="12"/>
        <v>17.034402214727969</v>
      </c>
      <c r="I91" s="20">
        <f t="shared" si="13"/>
        <v>-38.023156573839756</v>
      </c>
      <c r="J91" s="20">
        <f t="shared" si="14"/>
        <v>16.613590289517667</v>
      </c>
      <c r="K91" s="20">
        <f t="shared" si="15"/>
        <v>-38.051896307357765</v>
      </c>
    </row>
    <row r="92" spans="1:11">
      <c r="A92" s="18">
        <v>90</v>
      </c>
      <c r="B92" s="20">
        <v>370</v>
      </c>
      <c r="C92" s="20">
        <v>183</v>
      </c>
      <c r="D92" s="20">
        <f t="shared" si="8"/>
        <v>117.88297066607664</v>
      </c>
      <c r="E92" s="20">
        <f t="shared" si="9"/>
        <v>38.314597179790482</v>
      </c>
      <c r="F92" s="20">
        <f t="shared" si="10"/>
        <v>-3.2041493694845329</v>
      </c>
      <c r="G92" s="20">
        <f t="shared" si="11"/>
        <v>89.942360254083241</v>
      </c>
      <c r="H92" s="20">
        <f t="shared" si="12"/>
        <v>17.034402214727969</v>
      </c>
      <c r="I92" s="20">
        <f t="shared" si="13"/>
        <v>-38.023156573839756</v>
      </c>
      <c r="J92" s="20">
        <f t="shared" si="14"/>
        <v>16.613590289517667</v>
      </c>
      <c r="K92" s="20">
        <f t="shared" si="15"/>
        <v>-38.051896307357765</v>
      </c>
    </row>
    <row r="93" spans="1:11">
      <c r="A93" s="18">
        <v>91</v>
      </c>
      <c r="B93" s="20">
        <v>371</v>
      </c>
      <c r="C93" s="20">
        <v>184</v>
      </c>
      <c r="D93" s="20">
        <f t="shared" si="8"/>
        <v>118.30846998953272</v>
      </c>
      <c r="E93" s="20">
        <f t="shared" si="9"/>
        <v>38.740096503246562</v>
      </c>
      <c r="F93" s="20">
        <f t="shared" si="10"/>
        <v>-4.2133818723401752</v>
      </c>
      <c r="G93" s="20">
        <f t="shared" si="11"/>
        <v>90.062149194677176</v>
      </c>
      <c r="H93" s="20">
        <f t="shared" si="12"/>
        <v>16.025169711872326</v>
      </c>
      <c r="I93" s="20">
        <f t="shared" si="13"/>
        <v>-37.903367633245821</v>
      </c>
      <c r="J93" s="20">
        <f t="shared" si="14"/>
        <v>15.604357786662025</v>
      </c>
      <c r="K93" s="20">
        <f t="shared" si="15"/>
        <v>-37.93210736676383</v>
      </c>
    </row>
    <row r="94" spans="1:11">
      <c r="A94" s="18">
        <v>92</v>
      </c>
      <c r="B94" s="20">
        <v>372</v>
      </c>
      <c r="C94" s="20">
        <v>184</v>
      </c>
      <c r="D94" s="20">
        <f t="shared" si="8"/>
        <v>118.73396931298879</v>
      </c>
      <c r="E94" s="20">
        <f t="shared" si="9"/>
        <v>38.740096503246562</v>
      </c>
      <c r="F94" s="20">
        <f t="shared" si="10"/>
        <v>-4.8820938561120037</v>
      </c>
      <c r="G94" s="20">
        <f t="shared" si="11"/>
        <v>90.028375881977183</v>
      </c>
      <c r="H94" s="20">
        <f t="shared" si="12"/>
        <v>15.356457728100498</v>
      </c>
      <c r="I94" s="20">
        <f t="shared" si="13"/>
        <v>-37.937140945945814</v>
      </c>
      <c r="J94" s="20">
        <f t="shared" si="14"/>
        <v>14.935645802890196</v>
      </c>
      <c r="K94" s="20">
        <f t="shared" si="15"/>
        <v>-37.965880679463822</v>
      </c>
    </row>
    <row r="95" spans="1:11">
      <c r="A95" s="18">
        <v>93</v>
      </c>
      <c r="B95" s="20">
        <v>372</v>
      </c>
      <c r="C95" s="20">
        <v>184</v>
      </c>
      <c r="D95" s="20">
        <f t="shared" si="8"/>
        <v>118.73396931298879</v>
      </c>
      <c r="E95" s="20">
        <f t="shared" si="9"/>
        <v>38.740096503246562</v>
      </c>
      <c r="F95" s="20">
        <f t="shared" si="10"/>
        <v>-4.8820938561120037</v>
      </c>
      <c r="G95" s="20">
        <f t="shared" si="11"/>
        <v>90.028375881977183</v>
      </c>
      <c r="H95" s="20">
        <f t="shared" si="12"/>
        <v>15.356457728100498</v>
      </c>
      <c r="I95" s="20">
        <f t="shared" si="13"/>
        <v>-37.937140945945814</v>
      </c>
      <c r="J95" s="20">
        <f t="shared" si="14"/>
        <v>14.935645802890196</v>
      </c>
      <c r="K95" s="20">
        <f t="shared" si="15"/>
        <v>-37.965880679463822</v>
      </c>
    </row>
    <row r="96" spans="1:11">
      <c r="A96" s="18">
        <v>94</v>
      </c>
      <c r="B96" s="20">
        <v>373</v>
      </c>
      <c r="C96" s="20">
        <v>184</v>
      </c>
      <c r="D96" s="20">
        <f t="shared" si="8"/>
        <v>119.15946863644487</v>
      </c>
      <c r="E96" s="20">
        <f t="shared" si="9"/>
        <v>38.740096503246562</v>
      </c>
      <c r="F96" s="20">
        <f t="shared" si="10"/>
        <v>-5.5505365893263559</v>
      </c>
      <c r="G96" s="20">
        <f t="shared" si="11"/>
        <v>89.98963744752507</v>
      </c>
      <c r="H96" s="20">
        <f t="shared" si="12"/>
        <v>14.688014994886146</v>
      </c>
      <c r="I96" s="20">
        <f t="shared" si="13"/>
        <v>-37.975879380397927</v>
      </c>
      <c r="J96" s="20">
        <f t="shared" si="14"/>
        <v>14.267203069675844</v>
      </c>
      <c r="K96" s="20">
        <f t="shared" si="15"/>
        <v>-38.004619113915936</v>
      </c>
    </row>
    <row r="97" spans="1:11">
      <c r="A97" s="18">
        <v>95</v>
      </c>
      <c r="B97" s="20">
        <v>373</v>
      </c>
      <c r="C97" s="20">
        <v>184</v>
      </c>
      <c r="D97" s="20">
        <f t="shared" si="8"/>
        <v>119.15946863644487</v>
      </c>
      <c r="E97" s="20">
        <f t="shared" si="9"/>
        <v>38.740096503246562</v>
      </c>
      <c r="F97" s="20">
        <f t="shared" si="10"/>
        <v>-5.5505365893263559</v>
      </c>
      <c r="G97" s="20">
        <f t="shared" si="11"/>
        <v>89.98963744752507</v>
      </c>
      <c r="H97" s="20">
        <f t="shared" si="12"/>
        <v>14.688014994886146</v>
      </c>
      <c r="I97" s="20">
        <f t="shared" si="13"/>
        <v>-37.975879380397927</v>
      </c>
      <c r="J97" s="20">
        <f t="shared" si="14"/>
        <v>14.267203069675844</v>
      </c>
      <c r="K97" s="20">
        <f t="shared" si="15"/>
        <v>-38.004619113915936</v>
      </c>
    </row>
    <row r="98" spans="1:11">
      <c r="A98" s="18">
        <v>96</v>
      </c>
      <c r="B98" s="20">
        <v>374</v>
      </c>
      <c r="C98" s="20">
        <v>184</v>
      </c>
      <c r="D98" s="20">
        <f t="shared" si="8"/>
        <v>119.58496795990095</v>
      </c>
      <c r="E98" s="20">
        <f t="shared" si="9"/>
        <v>38.740096503246562</v>
      </c>
      <c r="F98" s="20">
        <f t="shared" si="10"/>
        <v>-6.2186732069444908</v>
      </c>
      <c r="G98" s="20">
        <f t="shared" si="11"/>
        <v>89.94593602776996</v>
      </c>
      <c r="H98" s="20">
        <f t="shared" si="12"/>
        <v>14.019878377268011</v>
      </c>
      <c r="I98" s="20">
        <f t="shared" si="13"/>
        <v>-38.019580800153037</v>
      </c>
      <c r="J98" s="20">
        <f t="shared" si="14"/>
        <v>13.599066452057709</v>
      </c>
      <c r="K98" s="20">
        <f t="shared" si="15"/>
        <v>-38.048320533671045</v>
      </c>
    </row>
    <row r="99" spans="1:11">
      <c r="A99" s="18">
        <v>97</v>
      </c>
      <c r="B99" s="20">
        <v>374</v>
      </c>
      <c r="C99" s="20">
        <v>185</v>
      </c>
      <c r="D99" s="20">
        <f t="shared" si="8"/>
        <v>119.58496795990095</v>
      </c>
      <c r="E99" s="20">
        <f t="shared" si="9"/>
        <v>39.165595826702635</v>
      </c>
      <c r="F99" s="20">
        <f t="shared" si="10"/>
        <v>-6.5642431374685941</v>
      </c>
      <c r="G99" s="20">
        <f t="shared" si="11"/>
        <v>90.081796253792305</v>
      </c>
      <c r="H99" s="20">
        <f t="shared" si="12"/>
        <v>13.674308446743908</v>
      </c>
      <c r="I99" s="20">
        <f t="shared" si="13"/>
        <v>-37.883720574130692</v>
      </c>
      <c r="J99" s="20">
        <f t="shared" si="14"/>
        <v>13.253496521533606</v>
      </c>
      <c r="K99" s="20">
        <f t="shared" si="15"/>
        <v>-37.912460307648701</v>
      </c>
    </row>
    <row r="100" spans="1:11">
      <c r="A100" s="18">
        <v>98</v>
      </c>
      <c r="B100" s="20">
        <v>375</v>
      </c>
      <c r="C100" s="20">
        <v>185</v>
      </c>
      <c r="D100" s="20">
        <f t="shared" si="8"/>
        <v>120.01046728335702</v>
      </c>
      <c r="E100" s="20">
        <f t="shared" si="9"/>
        <v>39.165595826702635</v>
      </c>
      <c r="F100" s="20">
        <f t="shared" si="10"/>
        <v>-7.233036200373693</v>
      </c>
      <c r="G100" s="20">
        <f t="shared" si="11"/>
        <v>90.03056420794907</v>
      </c>
      <c r="H100" s="20">
        <f t="shared" si="12"/>
        <v>13.005515383838809</v>
      </c>
      <c r="I100" s="20">
        <f t="shared" si="13"/>
        <v>-37.934952619973927</v>
      </c>
      <c r="J100" s="20">
        <f t="shared" si="14"/>
        <v>12.584703458628507</v>
      </c>
      <c r="K100" s="20">
        <f t="shared" si="15"/>
        <v>-37.963692353491936</v>
      </c>
    </row>
    <row r="101" spans="1:11">
      <c r="A101" s="18">
        <v>99</v>
      </c>
      <c r="B101" s="20">
        <v>376</v>
      </c>
      <c r="C101" s="20">
        <v>185</v>
      </c>
      <c r="D101" s="20">
        <f t="shared" si="8"/>
        <v>120.4359666068131</v>
      </c>
      <c r="E101" s="20">
        <f t="shared" si="9"/>
        <v>39.165595826702635</v>
      </c>
      <c r="F101" s="20">
        <f t="shared" si="10"/>
        <v>-7.9014303567671504</v>
      </c>
      <c r="G101" s="20">
        <f t="shared" si="11"/>
        <v>89.974366919666153</v>
      </c>
      <c r="H101" s="20">
        <f t="shared" si="12"/>
        <v>12.337121227445351</v>
      </c>
      <c r="I101" s="20">
        <f t="shared" si="13"/>
        <v>-37.991149908256844</v>
      </c>
      <c r="J101" s="20">
        <f t="shared" si="14"/>
        <v>11.916309302235049</v>
      </c>
      <c r="K101" s="20">
        <f t="shared" si="15"/>
        <v>-38.019889641774853</v>
      </c>
    </row>
    <row r="102" spans="1:11">
      <c r="A102" s="18">
        <v>100</v>
      </c>
      <c r="B102" s="20">
        <v>376</v>
      </c>
      <c r="C102" s="20">
        <v>185</v>
      </c>
      <c r="D102" s="20">
        <f t="shared" si="8"/>
        <v>120.4359666068131</v>
      </c>
      <c r="E102" s="20">
        <f t="shared" si="9"/>
        <v>39.165595826702635</v>
      </c>
      <c r="F102" s="20">
        <f t="shared" si="10"/>
        <v>-7.9014303567671504</v>
      </c>
      <c r="G102" s="20">
        <f t="shared" si="11"/>
        <v>89.974366919666153</v>
      </c>
      <c r="H102" s="20">
        <f t="shared" si="12"/>
        <v>12.337121227445351</v>
      </c>
      <c r="I102" s="20">
        <f t="shared" si="13"/>
        <v>-37.991149908256844</v>
      </c>
      <c r="J102" s="20">
        <f t="shared" si="14"/>
        <v>11.916309302235049</v>
      </c>
      <c r="K102" s="20">
        <f t="shared" si="15"/>
        <v>-38.019889641774853</v>
      </c>
    </row>
    <row r="103" spans="1:11">
      <c r="A103" s="18">
        <v>101</v>
      </c>
      <c r="B103" s="20">
        <v>377</v>
      </c>
      <c r="C103" s="20">
        <v>185</v>
      </c>
      <c r="D103" s="20">
        <f t="shared" si="8"/>
        <v>120.86146593026918</v>
      </c>
      <c r="E103" s="20">
        <f t="shared" si="9"/>
        <v>39.165595826702635</v>
      </c>
      <c r="F103" s="20">
        <f t="shared" si="10"/>
        <v>-8.5693887442893697</v>
      </c>
      <c r="G103" s="20">
        <f t="shared" si="11"/>
        <v>89.913207488259502</v>
      </c>
      <c r="H103" s="20">
        <f t="shared" si="12"/>
        <v>11.669162839923132</v>
      </c>
      <c r="I103" s="20">
        <f t="shared" si="13"/>
        <v>-38.052309339663495</v>
      </c>
      <c r="J103" s="20">
        <f t="shared" si="14"/>
        <v>11.24835091471283</v>
      </c>
      <c r="K103" s="20">
        <f t="shared" si="15"/>
        <v>-38.081049073181504</v>
      </c>
    </row>
    <row r="104" spans="1:11">
      <c r="A104" s="18">
        <v>102</v>
      </c>
      <c r="B104" s="20">
        <v>377</v>
      </c>
      <c r="C104" s="20">
        <v>186</v>
      </c>
      <c r="D104" s="20">
        <f t="shared" si="8"/>
        <v>120.86146593026918</v>
      </c>
      <c r="E104" s="20">
        <f t="shared" si="9"/>
        <v>39.591095150158715</v>
      </c>
      <c r="F104" s="20">
        <f t="shared" si="10"/>
        <v>-8.9188414146651631</v>
      </c>
      <c r="G104" s="20">
        <f t="shared" si="11"/>
        <v>90.038743973252934</v>
      </c>
      <c r="H104" s="20">
        <f t="shared" si="12"/>
        <v>11.319710169547339</v>
      </c>
      <c r="I104" s="20">
        <f t="shared" si="13"/>
        <v>-37.926772854670062</v>
      </c>
      <c r="J104" s="20">
        <f t="shared" si="14"/>
        <v>10.898898244337037</v>
      </c>
      <c r="K104" s="20">
        <f t="shared" si="15"/>
        <v>-37.955512588188071</v>
      </c>
    </row>
    <row r="105" spans="1:11">
      <c r="A105" s="18">
        <v>103</v>
      </c>
      <c r="B105" s="20">
        <v>378</v>
      </c>
      <c r="C105" s="20">
        <v>186</v>
      </c>
      <c r="D105" s="20">
        <f t="shared" si="8"/>
        <v>121.28696525372526</v>
      </c>
      <c r="E105" s="20">
        <f t="shared" si="9"/>
        <v>39.591095150158715</v>
      </c>
      <c r="F105" s="20">
        <f t="shared" si="10"/>
        <v>-9.5872498298053479</v>
      </c>
      <c r="G105" s="20">
        <f t="shared" si="11"/>
        <v>89.970027171063123</v>
      </c>
      <c r="H105" s="20">
        <f t="shared" si="12"/>
        <v>10.651301754407154</v>
      </c>
      <c r="I105" s="20">
        <f t="shared" si="13"/>
        <v>-37.995489656859874</v>
      </c>
      <c r="J105" s="20">
        <f t="shared" si="14"/>
        <v>10.230489829196852</v>
      </c>
      <c r="K105" s="20">
        <f t="shared" si="15"/>
        <v>-38.024229390377883</v>
      </c>
    </row>
    <row r="106" spans="1:11">
      <c r="A106" s="18">
        <v>104</v>
      </c>
      <c r="B106" s="20">
        <v>378</v>
      </c>
      <c r="C106" s="20">
        <v>186</v>
      </c>
      <c r="D106" s="20">
        <f t="shared" si="8"/>
        <v>121.28696525372526</v>
      </c>
      <c r="E106" s="20">
        <f t="shared" si="9"/>
        <v>39.591095150158715</v>
      </c>
      <c r="F106" s="20">
        <f t="shared" si="10"/>
        <v>-9.5872498298053479</v>
      </c>
      <c r="G106" s="20">
        <f t="shared" si="11"/>
        <v>89.970027171063123</v>
      </c>
      <c r="H106" s="20">
        <f t="shared" si="12"/>
        <v>10.651301754407154</v>
      </c>
      <c r="I106" s="20">
        <f t="shared" si="13"/>
        <v>-37.995489656859874</v>
      </c>
      <c r="J106" s="20">
        <f t="shared" si="14"/>
        <v>10.230489829196852</v>
      </c>
      <c r="K106" s="20">
        <f t="shared" si="15"/>
        <v>-38.024229390377883</v>
      </c>
    </row>
    <row r="107" spans="1:11">
      <c r="A107" s="18">
        <v>105</v>
      </c>
      <c r="B107" s="20">
        <v>379</v>
      </c>
      <c r="C107" s="20">
        <v>187</v>
      </c>
      <c r="D107" s="20">
        <f t="shared" si="8"/>
        <v>121.71246457718132</v>
      </c>
      <c r="E107" s="20">
        <f t="shared" si="9"/>
        <v>40.016594473614788</v>
      </c>
      <c r="F107" s="20">
        <f t="shared" si="10"/>
        <v>-10.607292056813824</v>
      </c>
      <c r="G107" s="20">
        <f t="shared" si="11"/>
        <v>90.01406895154355</v>
      </c>
      <c r="H107" s="20">
        <f t="shared" si="12"/>
        <v>9.6312595273986776</v>
      </c>
      <c r="I107" s="20">
        <f t="shared" si="13"/>
        <v>-37.951447876379447</v>
      </c>
      <c r="J107" s="20">
        <f t="shared" si="14"/>
        <v>9.2104476021883759</v>
      </c>
      <c r="K107" s="20">
        <f t="shared" si="15"/>
        <v>-37.980187609897456</v>
      </c>
    </row>
    <row r="108" spans="1:11">
      <c r="A108" s="18">
        <v>106</v>
      </c>
      <c r="B108" s="20">
        <v>379</v>
      </c>
      <c r="C108" s="20">
        <v>187</v>
      </c>
      <c r="D108" s="20">
        <f t="shared" si="8"/>
        <v>121.71246457718132</v>
      </c>
      <c r="E108" s="20">
        <f t="shared" si="9"/>
        <v>40.016594473614788</v>
      </c>
      <c r="F108" s="20">
        <f t="shared" si="10"/>
        <v>-10.607292056813824</v>
      </c>
      <c r="G108" s="20">
        <f t="shared" si="11"/>
        <v>90.01406895154355</v>
      </c>
      <c r="H108" s="20">
        <f t="shared" si="12"/>
        <v>9.6312595273986776</v>
      </c>
      <c r="I108" s="20">
        <f t="shared" si="13"/>
        <v>-37.951447876379447</v>
      </c>
      <c r="J108" s="20">
        <f t="shared" si="14"/>
        <v>9.2104476021883759</v>
      </c>
      <c r="K108" s="20">
        <f t="shared" si="15"/>
        <v>-37.980187609897456</v>
      </c>
    </row>
    <row r="109" spans="1:11">
      <c r="A109" s="18">
        <v>107</v>
      </c>
      <c r="B109" s="20">
        <v>379</v>
      </c>
      <c r="C109" s="20">
        <v>187</v>
      </c>
      <c r="D109" s="20">
        <f t="shared" si="8"/>
        <v>121.71246457718132</v>
      </c>
      <c r="E109" s="20">
        <f t="shared" si="9"/>
        <v>40.016594473614788</v>
      </c>
      <c r="F109" s="20">
        <f t="shared" si="10"/>
        <v>-10.607292056813824</v>
      </c>
      <c r="G109" s="20">
        <f t="shared" si="11"/>
        <v>90.01406895154355</v>
      </c>
      <c r="H109" s="20">
        <f t="shared" si="12"/>
        <v>9.6312595273986776</v>
      </c>
      <c r="I109" s="20">
        <f t="shared" si="13"/>
        <v>-37.951447876379447</v>
      </c>
      <c r="J109" s="20">
        <f t="shared" si="14"/>
        <v>9.2104476021883759</v>
      </c>
      <c r="K109" s="20">
        <f t="shared" si="15"/>
        <v>-37.980187609897456</v>
      </c>
    </row>
    <row r="110" spans="1:11">
      <c r="A110" s="18">
        <v>108</v>
      </c>
      <c r="B110" s="20">
        <v>380</v>
      </c>
      <c r="C110" s="20">
        <v>188</v>
      </c>
      <c r="D110" s="20">
        <f t="shared" si="8"/>
        <v>122.1379639006374</v>
      </c>
      <c r="E110" s="20">
        <f t="shared" si="9"/>
        <v>40.442093797070861</v>
      </c>
      <c r="F110" s="20">
        <f t="shared" si="10"/>
        <v>-11.629342785808049</v>
      </c>
      <c r="G110" s="20">
        <f t="shared" si="11"/>
        <v>90.045291015174911</v>
      </c>
      <c r="H110" s="20">
        <f t="shared" si="12"/>
        <v>8.6092087984044525</v>
      </c>
      <c r="I110" s="20">
        <f t="shared" si="13"/>
        <v>-37.920225812748086</v>
      </c>
      <c r="J110" s="20">
        <f t="shared" si="14"/>
        <v>8.1883968731941508</v>
      </c>
      <c r="K110" s="20">
        <f t="shared" si="15"/>
        <v>-37.948965546266095</v>
      </c>
    </row>
    <row r="111" spans="1:11">
      <c r="A111" s="18">
        <v>109</v>
      </c>
      <c r="B111" s="20">
        <v>380</v>
      </c>
      <c r="C111" s="20">
        <v>188</v>
      </c>
      <c r="D111" s="20">
        <f t="shared" si="8"/>
        <v>122.1379639006374</v>
      </c>
      <c r="E111" s="20">
        <f t="shared" si="9"/>
        <v>40.442093797070861</v>
      </c>
      <c r="F111" s="20">
        <f t="shared" si="10"/>
        <v>-11.629342785808049</v>
      </c>
      <c r="G111" s="20">
        <f t="shared" si="11"/>
        <v>90.045291015174911</v>
      </c>
      <c r="H111" s="20">
        <f t="shared" si="12"/>
        <v>8.6092087984044525</v>
      </c>
      <c r="I111" s="20">
        <f t="shared" si="13"/>
        <v>-37.920225812748086</v>
      </c>
      <c r="J111" s="20">
        <f t="shared" si="14"/>
        <v>8.1883968731941508</v>
      </c>
      <c r="K111" s="20">
        <f t="shared" si="15"/>
        <v>-37.948965546266095</v>
      </c>
    </row>
    <row r="112" spans="1:11">
      <c r="A112" s="18">
        <v>110</v>
      </c>
      <c r="B112" s="20">
        <v>381</v>
      </c>
      <c r="C112" s="20">
        <v>188</v>
      </c>
      <c r="D112" s="20">
        <f t="shared" si="8"/>
        <v>122.56346322409348</v>
      </c>
      <c r="E112" s="20">
        <f t="shared" si="9"/>
        <v>40.442093797070861</v>
      </c>
      <c r="F112" s="20">
        <f t="shared" si="10"/>
        <v>-12.297725078288114</v>
      </c>
      <c r="G112" s="20">
        <f t="shared" si="11"/>
        <v>89.956445047234979</v>
      </c>
      <c r="H112" s="20">
        <f t="shared" si="12"/>
        <v>7.9408265059243881</v>
      </c>
      <c r="I112" s="20">
        <f t="shared" si="13"/>
        <v>-38.009071780688018</v>
      </c>
      <c r="J112" s="20">
        <f t="shared" si="14"/>
        <v>7.5200145807140863</v>
      </c>
      <c r="K112" s="20">
        <f t="shared" si="15"/>
        <v>-38.037811514206027</v>
      </c>
    </row>
    <row r="113" spans="1:11">
      <c r="A113" s="18">
        <v>111</v>
      </c>
      <c r="B113" s="20">
        <v>381</v>
      </c>
      <c r="C113" s="20">
        <v>189</v>
      </c>
      <c r="D113" s="20">
        <f t="shared" si="8"/>
        <v>122.56346322409348</v>
      </c>
      <c r="E113" s="20">
        <f t="shared" si="9"/>
        <v>40.867593120526941</v>
      </c>
      <c r="F113" s="20">
        <f t="shared" si="10"/>
        <v>-12.653228694386103</v>
      </c>
      <c r="G113" s="20">
        <f t="shared" si="11"/>
        <v>90.063653987340444</v>
      </c>
      <c r="H113" s="20">
        <f t="shared" si="12"/>
        <v>7.5853228898263989</v>
      </c>
      <c r="I113" s="20">
        <f t="shared" si="13"/>
        <v>-37.901862840582552</v>
      </c>
      <c r="J113" s="20">
        <f t="shared" si="14"/>
        <v>7.1645109646160972</v>
      </c>
      <c r="K113" s="20">
        <f t="shared" si="15"/>
        <v>-37.930602574100561</v>
      </c>
    </row>
    <row r="114" spans="1:11">
      <c r="A114" s="18">
        <v>112</v>
      </c>
      <c r="B114" s="20">
        <v>382</v>
      </c>
      <c r="C114" s="20">
        <v>189</v>
      </c>
      <c r="D114" s="20">
        <f t="shared" si="8"/>
        <v>122.98896254754955</v>
      </c>
      <c r="E114" s="20">
        <f t="shared" si="9"/>
        <v>40.867593120526941</v>
      </c>
      <c r="F114" s="20">
        <f t="shared" si="10"/>
        <v>-13.321719121753967</v>
      </c>
      <c r="G114" s="20">
        <f t="shared" si="11"/>
        <v>89.967203833313135</v>
      </c>
      <c r="H114" s="20">
        <f t="shared" si="12"/>
        <v>6.9168324624585349</v>
      </c>
      <c r="I114" s="20">
        <f t="shared" si="13"/>
        <v>-37.998312994609861</v>
      </c>
      <c r="J114" s="20">
        <f t="shared" si="14"/>
        <v>6.4960205372482331</v>
      </c>
      <c r="K114" s="20">
        <f t="shared" si="15"/>
        <v>-38.02705272812787</v>
      </c>
    </row>
    <row r="115" spans="1:11">
      <c r="A115" s="18">
        <v>113</v>
      </c>
      <c r="B115" s="20">
        <v>382</v>
      </c>
      <c r="C115" s="20">
        <v>189</v>
      </c>
      <c r="D115" s="20">
        <f t="shared" si="8"/>
        <v>122.98896254754955</v>
      </c>
      <c r="E115" s="20">
        <f t="shared" si="9"/>
        <v>40.867593120526941</v>
      </c>
      <c r="F115" s="20">
        <f t="shared" si="10"/>
        <v>-13.321719121753967</v>
      </c>
      <c r="G115" s="20">
        <f t="shared" si="11"/>
        <v>89.967203833313135</v>
      </c>
      <c r="H115" s="20">
        <f t="shared" si="12"/>
        <v>6.9168324624585349</v>
      </c>
      <c r="I115" s="20">
        <f t="shared" si="13"/>
        <v>-37.998312994609861</v>
      </c>
      <c r="J115" s="20">
        <f t="shared" si="14"/>
        <v>6.4960205372482331</v>
      </c>
      <c r="K115" s="20">
        <f t="shared" si="15"/>
        <v>-38.02705272812787</v>
      </c>
    </row>
    <row r="116" spans="1:11">
      <c r="A116" s="18">
        <v>114</v>
      </c>
      <c r="B116" s="20">
        <v>383</v>
      </c>
      <c r="C116" s="20">
        <v>190</v>
      </c>
      <c r="D116" s="20">
        <f t="shared" si="8"/>
        <v>123.41446187100563</v>
      </c>
      <c r="E116" s="20">
        <f t="shared" si="9"/>
        <v>41.293092443983014</v>
      </c>
      <c r="F116" s="20">
        <f t="shared" si="10"/>
        <v>-14.347278559429041</v>
      </c>
      <c r="G116" s="20">
        <f t="shared" si="11"/>
        <v>89.965054622672923</v>
      </c>
      <c r="H116" s="20">
        <f t="shared" si="12"/>
        <v>5.8912730247834606</v>
      </c>
      <c r="I116" s="20">
        <f t="shared" si="13"/>
        <v>-38.000462205250074</v>
      </c>
      <c r="J116" s="20">
        <f t="shared" si="14"/>
        <v>5.4704610995731588</v>
      </c>
      <c r="K116" s="20">
        <f t="shared" si="15"/>
        <v>-38.029201938768082</v>
      </c>
    </row>
    <row r="117" spans="1:11">
      <c r="A117" s="18">
        <v>115</v>
      </c>
      <c r="B117" s="20">
        <v>383</v>
      </c>
      <c r="C117" s="20">
        <v>190</v>
      </c>
      <c r="D117" s="20">
        <f t="shared" si="8"/>
        <v>123.41446187100563</v>
      </c>
      <c r="E117" s="20">
        <f t="shared" si="9"/>
        <v>41.293092443983014</v>
      </c>
      <c r="F117" s="20">
        <f t="shared" si="10"/>
        <v>-14.347278559429041</v>
      </c>
      <c r="G117" s="20">
        <f t="shared" si="11"/>
        <v>89.965054622672923</v>
      </c>
      <c r="H117" s="20">
        <f t="shared" si="12"/>
        <v>5.8912730247834606</v>
      </c>
      <c r="I117" s="20">
        <f t="shared" si="13"/>
        <v>-38.000462205250074</v>
      </c>
      <c r="J117" s="20">
        <f t="shared" si="14"/>
        <v>5.4704610995731588</v>
      </c>
      <c r="K117" s="20">
        <f t="shared" si="15"/>
        <v>-38.029201938768082</v>
      </c>
    </row>
    <row r="118" spans="1:11">
      <c r="A118" s="18">
        <v>116</v>
      </c>
      <c r="B118" s="20">
        <v>383</v>
      </c>
      <c r="C118" s="20">
        <v>191</v>
      </c>
      <c r="D118" s="20">
        <f t="shared" si="8"/>
        <v>123.41446187100563</v>
      </c>
      <c r="E118" s="20">
        <f t="shared" si="9"/>
        <v>41.718591767439094</v>
      </c>
      <c r="F118" s="20">
        <f t="shared" si="10"/>
        <v>-14.705809558522068</v>
      </c>
      <c r="G118" s="20">
        <f t="shared" si="11"/>
        <v>90.061657420699873</v>
      </c>
      <c r="H118" s="20">
        <f t="shared" si="12"/>
        <v>5.5327420256904336</v>
      </c>
      <c r="I118" s="20">
        <f t="shared" si="13"/>
        <v>-37.903859407223123</v>
      </c>
      <c r="J118" s="20">
        <f t="shared" si="14"/>
        <v>5.1119301004801319</v>
      </c>
      <c r="K118" s="20">
        <f t="shared" si="15"/>
        <v>-37.932599140741132</v>
      </c>
    </row>
    <row r="119" spans="1:11">
      <c r="A119" s="18">
        <v>117</v>
      </c>
      <c r="B119" s="20">
        <v>384</v>
      </c>
      <c r="C119" s="20">
        <v>191</v>
      </c>
      <c r="D119" s="20">
        <f t="shared" si="8"/>
        <v>123.83996119446171</v>
      </c>
      <c r="E119" s="20">
        <f t="shared" si="9"/>
        <v>41.718591767439094</v>
      </c>
      <c r="F119" s="20">
        <f t="shared" si="10"/>
        <v>-15.374228558230234</v>
      </c>
      <c r="G119" s="20">
        <f t="shared" si="11"/>
        <v>89.949964248877393</v>
      </c>
      <c r="H119" s="20">
        <f t="shared" si="12"/>
        <v>4.8643230259822676</v>
      </c>
      <c r="I119" s="20">
        <f t="shared" si="13"/>
        <v>-38.015552579045604</v>
      </c>
      <c r="J119" s="20">
        <f t="shared" si="14"/>
        <v>4.4435111007719659</v>
      </c>
      <c r="K119" s="20">
        <f t="shared" si="15"/>
        <v>-38.044292312563613</v>
      </c>
    </row>
    <row r="120" spans="1:11">
      <c r="A120" s="18">
        <v>118</v>
      </c>
      <c r="B120" s="20">
        <v>384</v>
      </c>
      <c r="C120" s="20">
        <v>192</v>
      </c>
      <c r="D120" s="20">
        <f t="shared" si="8"/>
        <v>123.83996119446171</v>
      </c>
      <c r="E120" s="20">
        <f t="shared" si="9"/>
        <v>42.144091090895166</v>
      </c>
      <c r="F120" s="20">
        <f t="shared" si="10"/>
        <v>-15.734154773807013</v>
      </c>
      <c r="G120" s="20">
        <f t="shared" si="11"/>
        <v>90.041231423906879</v>
      </c>
      <c r="H120" s="20">
        <f t="shared" si="12"/>
        <v>4.5043968104054883</v>
      </c>
      <c r="I120" s="20">
        <f t="shared" si="13"/>
        <v>-37.924285404016118</v>
      </c>
      <c r="J120" s="20">
        <f t="shared" si="14"/>
        <v>4.0835848851951866</v>
      </c>
      <c r="K120" s="20">
        <f t="shared" si="15"/>
        <v>-37.953025137534127</v>
      </c>
    </row>
    <row r="121" spans="1:11">
      <c r="A121" s="18">
        <v>119</v>
      </c>
      <c r="B121" s="20">
        <v>385</v>
      </c>
      <c r="C121" s="20">
        <v>192</v>
      </c>
      <c r="D121" s="20">
        <f t="shared" si="8"/>
        <v>124.26546051791777</v>
      </c>
      <c r="E121" s="20">
        <f t="shared" si="9"/>
        <v>42.144091090895166</v>
      </c>
      <c r="F121" s="20">
        <f t="shared" si="10"/>
        <v>-16.402393727075101</v>
      </c>
      <c r="G121" s="20">
        <f t="shared" si="11"/>
        <v>89.921902019483966</v>
      </c>
      <c r="H121" s="20">
        <f t="shared" si="12"/>
        <v>3.8361578571374011</v>
      </c>
      <c r="I121" s="20">
        <f t="shared" si="13"/>
        <v>-38.043614808439031</v>
      </c>
      <c r="J121" s="20">
        <f t="shared" si="14"/>
        <v>3.4153459319270993</v>
      </c>
      <c r="K121" s="20">
        <f t="shared" si="15"/>
        <v>-38.07235454195704</v>
      </c>
    </row>
    <row r="122" spans="1:11">
      <c r="A122" s="18">
        <v>120</v>
      </c>
      <c r="B122" s="20">
        <v>385</v>
      </c>
      <c r="C122" s="20">
        <v>193</v>
      </c>
      <c r="D122" s="20">
        <f t="shared" si="8"/>
        <v>124.26546051791777</v>
      </c>
      <c r="E122" s="20">
        <f t="shared" si="9"/>
        <v>42.569590414351239</v>
      </c>
      <c r="F122" s="20">
        <f t="shared" si="10"/>
        <v>-16.763635759598543</v>
      </c>
      <c r="G122" s="20">
        <f t="shared" si="11"/>
        <v>90.0078134380243</v>
      </c>
      <c r="H122" s="20">
        <f t="shared" si="12"/>
        <v>3.4749158246139586</v>
      </c>
      <c r="I122" s="20">
        <f t="shared" si="13"/>
        <v>-37.957703389898697</v>
      </c>
      <c r="J122" s="20">
        <f t="shared" si="14"/>
        <v>3.0541038994036569</v>
      </c>
      <c r="K122" s="20">
        <f t="shared" si="15"/>
        <v>-37.986443123416706</v>
      </c>
    </row>
    <row r="123" spans="1:11">
      <c r="A123" s="18">
        <v>121</v>
      </c>
      <c r="B123" s="20">
        <v>385</v>
      </c>
      <c r="C123" s="20">
        <v>193</v>
      </c>
      <c r="D123" s="20">
        <f t="shared" si="8"/>
        <v>124.26546051791777</v>
      </c>
      <c r="E123" s="20">
        <f t="shared" si="9"/>
        <v>42.569590414351239</v>
      </c>
      <c r="F123" s="20">
        <f t="shared" si="10"/>
        <v>-16.763635759598543</v>
      </c>
      <c r="G123" s="20">
        <f t="shared" si="11"/>
        <v>90.0078134380243</v>
      </c>
      <c r="H123" s="20">
        <f t="shared" si="12"/>
        <v>3.4749158246139586</v>
      </c>
      <c r="I123" s="20">
        <f t="shared" si="13"/>
        <v>-37.957703389898697</v>
      </c>
      <c r="J123" s="20">
        <f t="shared" si="14"/>
        <v>3.0541038994036569</v>
      </c>
      <c r="K123" s="20">
        <f t="shared" si="15"/>
        <v>-37.986443123416706</v>
      </c>
    </row>
    <row r="124" spans="1:11">
      <c r="A124" s="18">
        <v>122</v>
      </c>
      <c r="B124" s="20">
        <v>386</v>
      </c>
      <c r="C124" s="20">
        <v>194</v>
      </c>
      <c r="D124" s="20">
        <f t="shared" si="8"/>
        <v>124.69095984137385</v>
      </c>
      <c r="E124" s="20">
        <f t="shared" si="9"/>
        <v>42.995089737807319</v>
      </c>
      <c r="F124" s="20">
        <f t="shared" si="10"/>
        <v>-17.794076312416621</v>
      </c>
      <c r="G124" s="20">
        <f t="shared" si="11"/>
        <v>89.961376434727995</v>
      </c>
      <c r="H124" s="20">
        <f t="shared" si="12"/>
        <v>2.4444752717958806</v>
      </c>
      <c r="I124" s="20">
        <f t="shared" si="13"/>
        <v>-38.004140393195001</v>
      </c>
      <c r="J124" s="20">
        <f t="shared" si="14"/>
        <v>2.0236633465855789</v>
      </c>
      <c r="K124" s="20">
        <f t="shared" si="15"/>
        <v>-38.03288012671301</v>
      </c>
    </row>
    <row r="125" spans="1:11">
      <c r="A125" s="18">
        <v>123</v>
      </c>
      <c r="B125" s="20">
        <v>386</v>
      </c>
      <c r="C125" s="20">
        <v>194</v>
      </c>
      <c r="D125" s="20">
        <f t="shared" si="8"/>
        <v>124.69095984137385</v>
      </c>
      <c r="E125" s="20">
        <f t="shared" si="9"/>
        <v>42.995089737807319</v>
      </c>
      <c r="F125" s="20">
        <f t="shared" si="10"/>
        <v>-17.794076312416621</v>
      </c>
      <c r="G125" s="20">
        <f t="shared" si="11"/>
        <v>89.961376434727995</v>
      </c>
      <c r="H125" s="20">
        <f t="shared" si="12"/>
        <v>2.4444752717958806</v>
      </c>
      <c r="I125" s="20">
        <f t="shared" si="13"/>
        <v>-38.004140393195001</v>
      </c>
      <c r="J125" s="20">
        <f t="shared" si="14"/>
        <v>2.0236633465855789</v>
      </c>
      <c r="K125" s="20">
        <f t="shared" si="15"/>
        <v>-38.03288012671301</v>
      </c>
    </row>
    <row r="126" spans="1:11">
      <c r="A126" s="18">
        <v>124</v>
      </c>
      <c r="B126" s="20">
        <v>386</v>
      </c>
      <c r="C126" s="20">
        <v>195</v>
      </c>
      <c r="D126" s="20">
        <f t="shared" si="8"/>
        <v>124.69095984137385</v>
      </c>
      <c r="E126" s="20">
        <f t="shared" si="9"/>
        <v>43.420589061263392</v>
      </c>
      <c r="F126" s="20">
        <f t="shared" si="10"/>
        <v>-18.157142566070817</v>
      </c>
      <c r="G126" s="20">
        <f t="shared" si="11"/>
        <v>90.03921905386936</v>
      </c>
      <c r="H126" s="20">
        <f t="shared" si="12"/>
        <v>2.0814090181416844</v>
      </c>
      <c r="I126" s="20">
        <f t="shared" si="13"/>
        <v>-37.926297774053637</v>
      </c>
      <c r="J126" s="20">
        <f t="shared" si="14"/>
        <v>1.6605970929313827</v>
      </c>
      <c r="K126" s="20">
        <f t="shared" si="15"/>
        <v>-37.955037507571646</v>
      </c>
    </row>
    <row r="127" spans="1:11">
      <c r="A127" s="18">
        <v>125</v>
      </c>
      <c r="B127" s="20">
        <v>387</v>
      </c>
      <c r="C127" s="20">
        <v>196</v>
      </c>
      <c r="D127" s="20">
        <f t="shared" si="8"/>
        <v>125.11645916482993</v>
      </c>
      <c r="E127" s="20">
        <f t="shared" si="9"/>
        <v>43.846088384719472</v>
      </c>
      <c r="F127" s="20">
        <f t="shared" si="10"/>
        <v>-19.189482100535628</v>
      </c>
      <c r="G127" s="20">
        <f t="shared" si="11"/>
        <v>89.974337587595755</v>
      </c>
      <c r="H127" s="20">
        <f t="shared" si="12"/>
        <v>1.0490694836768739</v>
      </c>
      <c r="I127" s="20">
        <f t="shared" si="13"/>
        <v>-37.991179240327241</v>
      </c>
      <c r="J127" s="20">
        <f t="shared" si="14"/>
        <v>0.62825755846657216</v>
      </c>
      <c r="K127" s="20">
        <f t="shared" si="15"/>
        <v>-38.01991897384525</v>
      </c>
    </row>
    <row r="128" spans="1:11">
      <c r="A128" s="18">
        <v>126</v>
      </c>
      <c r="B128" s="20">
        <v>387</v>
      </c>
      <c r="C128" s="20">
        <v>196</v>
      </c>
      <c r="D128" s="20">
        <f t="shared" si="8"/>
        <v>125.11645916482993</v>
      </c>
      <c r="E128" s="20">
        <f t="shared" si="9"/>
        <v>43.846088384719472</v>
      </c>
      <c r="F128" s="20">
        <f t="shared" si="10"/>
        <v>-19.189482100535628</v>
      </c>
      <c r="G128" s="20">
        <f t="shared" si="11"/>
        <v>89.974337587595755</v>
      </c>
      <c r="H128" s="20">
        <f t="shared" si="12"/>
        <v>1.0490694836768739</v>
      </c>
      <c r="I128" s="20">
        <f t="shared" si="13"/>
        <v>-37.991179240327241</v>
      </c>
      <c r="J128" s="20">
        <f t="shared" si="14"/>
        <v>0.62825755846657216</v>
      </c>
      <c r="K128" s="20">
        <f t="shared" si="15"/>
        <v>-38.01991897384525</v>
      </c>
    </row>
    <row r="129" spans="1:11">
      <c r="A129" s="18">
        <v>127</v>
      </c>
      <c r="B129" s="20">
        <v>387</v>
      </c>
      <c r="C129" s="20">
        <v>197</v>
      </c>
      <c r="D129" s="20">
        <f t="shared" si="8"/>
        <v>125.11645916482993</v>
      </c>
      <c r="E129" s="20">
        <f t="shared" si="9"/>
        <v>44.271587708175545</v>
      </c>
      <c r="F129" s="20">
        <f t="shared" si="10"/>
        <v>-19.554192371948922</v>
      </c>
      <c r="G129" s="20">
        <f t="shared" si="11"/>
        <v>90.044072771132534</v>
      </c>
      <c r="H129" s="20">
        <f t="shared" si="12"/>
        <v>0.68435921226357976</v>
      </c>
      <c r="I129" s="20">
        <f t="shared" si="13"/>
        <v>-37.921444056790463</v>
      </c>
      <c r="J129" s="20">
        <f t="shared" si="14"/>
        <v>0.26354728705327801</v>
      </c>
      <c r="K129" s="20">
        <f t="shared" si="15"/>
        <v>-37.950183790308472</v>
      </c>
    </row>
    <row r="130" spans="1:11">
      <c r="A130" s="18">
        <v>128</v>
      </c>
      <c r="B130" s="20">
        <v>387</v>
      </c>
      <c r="C130" s="20">
        <v>197</v>
      </c>
      <c r="D130" s="20">
        <f t="shared" ref="D130:D193" si="16">(B130-92.9538)/2.35018</f>
        <v>125.11645916482993</v>
      </c>
      <c r="E130" s="20">
        <f t="shared" ref="E130:E193" si="17">(C130-92.9538)/2.35018</f>
        <v>44.271587708175545</v>
      </c>
      <c r="F130" s="20">
        <f t="shared" ref="F130:F193" si="18">50*COS(RADIANS(D130))+50*COS(RADIANS(D130+E130-90))</f>
        <v>-19.554192371948922</v>
      </c>
      <c r="G130" s="20">
        <f t="shared" ref="G130:G193" si="19">50*SIN(RADIANS(D130))+50*SIN(RADIANS(D130+E130-90))</f>
        <v>90.044072771132534</v>
      </c>
      <c r="H130" s="20">
        <f t="shared" ref="H130:H193" si="20">F130+20.2385515842125</f>
        <v>0.68435921226357976</v>
      </c>
      <c r="I130" s="20">
        <f t="shared" ref="I130:I193" si="21">G130+-127.965516827923</f>
        <v>-37.921444056790463</v>
      </c>
      <c r="J130" s="20">
        <f t="shared" ref="J130:J193" si="22">F130+19.8177396590022</f>
        <v>0.26354728705327801</v>
      </c>
      <c r="K130" s="20">
        <f t="shared" ref="K130:K193" si="23">G130+-127.994256561441</f>
        <v>-37.950183790308472</v>
      </c>
    </row>
    <row r="131" spans="1:11">
      <c r="A131" s="18">
        <v>129</v>
      </c>
      <c r="B131" s="20">
        <v>388</v>
      </c>
      <c r="C131" s="20">
        <v>198</v>
      </c>
      <c r="D131" s="20">
        <f t="shared" si="16"/>
        <v>125.54195848828601</v>
      </c>
      <c r="E131" s="20">
        <f t="shared" si="17"/>
        <v>44.697087031631618</v>
      </c>
      <c r="F131" s="20">
        <f t="shared" si="18"/>
        <v>-20.588052850778428</v>
      </c>
      <c r="G131" s="20">
        <f t="shared" si="19"/>
        <v>89.960685307165917</v>
      </c>
      <c r="H131" s="20">
        <f t="shared" si="20"/>
        <v>-0.34950126656592673</v>
      </c>
      <c r="I131" s="20">
        <f t="shared" si="21"/>
        <v>-38.004831520757079</v>
      </c>
      <c r="J131" s="20">
        <f t="shared" si="22"/>
        <v>-0.77031319177622848</v>
      </c>
      <c r="K131" s="20">
        <f t="shared" si="23"/>
        <v>-38.033571254275088</v>
      </c>
    </row>
    <row r="132" spans="1:11">
      <c r="A132" s="18">
        <v>130</v>
      </c>
      <c r="B132" s="20">
        <v>388</v>
      </c>
      <c r="C132" s="20">
        <v>199</v>
      </c>
      <c r="D132" s="20">
        <f t="shared" si="16"/>
        <v>125.54195848828601</v>
      </c>
      <c r="E132" s="20">
        <f t="shared" si="17"/>
        <v>45.122586355087698</v>
      </c>
      <c r="F132" s="20">
        <f t="shared" si="18"/>
        <v>-20.95422612059167</v>
      </c>
      <c r="G132" s="20">
        <f t="shared" si="19"/>
        <v>90.022278442916246</v>
      </c>
      <c r="H132" s="20">
        <f t="shared" si="20"/>
        <v>-0.71567453637916856</v>
      </c>
      <c r="I132" s="20">
        <f t="shared" si="21"/>
        <v>-37.943238385006751</v>
      </c>
      <c r="J132" s="20">
        <f t="shared" si="22"/>
        <v>-1.1364864615894703</v>
      </c>
      <c r="K132" s="20">
        <f t="shared" si="23"/>
        <v>-37.97197811852476</v>
      </c>
    </row>
    <row r="133" spans="1:11">
      <c r="A133" s="18">
        <v>131</v>
      </c>
      <c r="B133" s="20">
        <v>388</v>
      </c>
      <c r="C133" s="20">
        <v>199</v>
      </c>
      <c r="D133" s="20">
        <f t="shared" si="16"/>
        <v>125.54195848828601</v>
      </c>
      <c r="E133" s="20">
        <f t="shared" si="17"/>
        <v>45.122586355087698</v>
      </c>
      <c r="F133" s="20">
        <f t="shared" si="18"/>
        <v>-20.95422612059167</v>
      </c>
      <c r="G133" s="20">
        <f t="shared" si="19"/>
        <v>90.022278442916246</v>
      </c>
      <c r="H133" s="20">
        <f t="shared" si="20"/>
        <v>-0.71567453637916856</v>
      </c>
      <c r="I133" s="20">
        <f t="shared" si="21"/>
        <v>-37.943238385006751</v>
      </c>
      <c r="J133" s="20">
        <f t="shared" si="22"/>
        <v>-1.1364864615894703</v>
      </c>
      <c r="K133" s="20">
        <f t="shared" si="23"/>
        <v>-37.97197811852476</v>
      </c>
    </row>
    <row r="134" spans="1:11">
      <c r="A134" s="18">
        <v>132</v>
      </c>
      <c r="B134" s="20">
        <v>389</v>
      </c>
      <c r="C134" s="20">
        <v>200</v>
      </c>
      <c r="D134" s="20">
        <f t="shared" si="16"/>
        <v>125.96745781174208</v>
      </c>
      <c r="E134" s="20">
        <f t="shared" si="17"/>
        <v>45.548085678543771</v>
      </c>
      <c r="F134" s="20">
        <f t="shared" si="18"/>
        <v>-21.989228051772599</v>
      </c>
      <c r="G134" s="20">
        <f t="shared" si="19"/>
        <v>89.920331636611351</v>
      </c>
      <c r="H134" s="20">
        <f t="shared" si="20"/>
        <v>-1.7506764675600976</v>
      </c>
      <c r="I134" s="20">
        <f t="shared" si="21"/>
        <v>-38.045185191311646</v>
      </c>
      <c r="J134" s="20">
        <f t="shared" si="22"/>
        <v>-2.1714883927703994</v>
      </c>
      <c r="K134" s="20">
        <f t="shared" si="23"/>
        <v>-38.073924924829655</v>
      </c>
    </row>
    <row r="135" spans="1:11">
      <c r="A135" s="18">
        <v>133</v>
      </c>
      <c r="B135" s="20">
        <v>389</v>
      </c>
      <c r="C135" s="20">
        <v>201</v>
      </c>
      <c r="D135" s="20">
        <f t="shared" si="16"/>
        <v>125.96745781174208</v>
      </c>
      <c r="E135" s="20">
        <f t="shared" si="17"/>
        <v>45.973585001999851</v>
      </c>
      <c r="F135" s="20">
        <f t="shared" si="18"/>
        <v>-22.356682574485738</v>
      </c>
      <c r="G135" s="20">
        <f t="shared" si="19"/>
        <v>89.973752153596479</v>
      </c>
      <c r="H135" s="20">
        <f t="shared" si="20"/>
        <v>-2.1181309902732366</v>
      </c>
      <c r="I135" s="20">
        <f t="shared" si="21"/>
        <v>-37.991764674326518</v>
      </c>
      <c r="J135" s="20">
        <f t="shared" si="22"/>
        <v>-2.5389429154835383</v>
      </c>
      <c r="K135" s="20">
        <f t="shared" si="23"/>
        <v>-38.020504407844527</v>
      </c>
    </row>
    <row r="136" spans="1:11">
      <c r="A136" s="18">
        <v>134</v>
      </c>
      <c r="B136" s="20">
        <v>389</v>
      </c>
      <c r="C136" s="20">
        <v>202</v>
      </c>
      <c r="D136" s="20">
        <f t="shared" si="16"/>
        <v>125.96745781174208</v>
      </c>
      <c r="E136" s="20">
        <f t="shared" si="17"/>
        <v>46.399084325455924</v>
      </c>
      <c r="F136" s="20">
        <f t="shared" si="18"/>
        <v>-22.724523681090545</v>
      </c>
      <c r="G136" s="20">
        <f t="shared" si="19"/>
        <v>90.024442371479353</v>
      </c>
      <c r="H136" s="20">
        <f t="shared" si="20"/>
        <v>-2.4859720968780437</v>
      </c>
      <c r="I136" s="20">
        <f t="shared" si="21"/>
        <v>-37.941074456443644</v>
      </c>
      <c r="J136" s="20">
        <f t="shared" si="22"/>
        <v>-2.9067840220883454</v>
      </c>
      <c r="K136" s="20">
        <f t="shared" si="23"/>
        <v>-37.969814189961653</v>
      </c>
    </row>
    <row r="137" spans="1:11">
      <c r="A137" s="18">
        <v>135</v>
      </c>
      <c r="B137" s="20">
        <v>389</v>
      </c>
      <c r="C137" s="20">
        <v>202</v>
      </c>
      <c r="D137" s="20">
        <f t="shared" si="16"/>
        <v>125.96745781174208</v>
      </c>
      <c r="E137" s="20">
        <f t="shared" si="17"/>
        <v>46.399084325455924</v>
      </c>
      <c r="F137" s="20">
        <f t="shared" si="18"/>
        <v>-22.724523681090545</v>
      </c>
      <c r="G137" s="20">
        <f t="shared" si="19"/>
        <v>90.024442371479353</v>
      </c>
      <c r="H137" s="20">
        <f t="shared" si="20"/>
        <v>-2.4859720968780437</v>
      </c>
      <c r="I137" s="20">
        <f t="shared" si="21"/>
        <v>-37.941074456443644</v>
      </c>
      <c r="J137" s="20">
        <f t="shared" si="22"/>
        <v>-2.9067840220883454</v>
      </c>
      <c r="K137" s="20">
        <f t="shared" si="23"/>
        <v>-37.969814189961653</v>
      </c>
    </row>
    <row r="138" spans="1:11">
      <c r="A138" s="18">
        <v>136</v>
      </c>
      <c r="B138" s="20">
        <v>389</v>
      </c>
      <c r="C138" s="20">
        <v>203</v>
      </c>
      <c r="D138" s="20">
        <f t="shared" si="16"/>
        <v>125.96745781174208</v>
      </c>
      <c r="E138" s="20">
        <f t="shared" si="17"/>
        <v>46.824583648911997</v>
      </c>
      <c r="F138" s="20">
        <f t="shared" si="18"/>
        <v>-23.092731084917911</v>
      </c>
      <c r="G138" s="20">
        <f t="shared" si="19"/>
        <v>90.072399494662477</v>
      </c>
      <c r="H138" s="20">
        <f t="shared" si="20"/>
        <v>-2.8541795007054098</v>
      </c>
      <c r="I138" s="20">
        <f t="shared" si="21"/>
        <v>-37.89311733326052</v>
      </c>
      <c r="J138" s="20">
        <f t="shared" si="22"/>
        <v>-3.2749914259157116</v>
      </c>
      <c r="K138" s="20">
        <f t="shared" si="23"/>
        <v>-37.921857066778529</v>
      </c>
    </row>
    <row r="139" spans="1:11">
      <c r="A139" s="18">
        <v>137</v>
      </c>
      <c r="B139" s="20">
        <v>390</v>
      </c>
      <c r="C139" s="20">
        <v>204</v>
      </c>
      <c r="D139" s="20">
        <f t="shared" si="16"/>
        <v>126.39295713519816</v>
      </c>
      <c r="E139" s="20">
        <f t="shared" si="17"/>
        <v>47.250082972368077</v>
      </c>
      <c r="F139" s="20">
        <f t="shared" si="18"/>
        <v>-24.129877645016705</v>
      </c>
      <c r="G139" s="20">
        <f t="shared" si="19"/>
        <v>89.940905415762245</v>
      </c>
      <c r="H139" s="20">
        <f t="shared" si="20"/>
        <v>-3.8913260608042037</v>
      </c>
      <c r="I139" s="20">
        <f t="shared" si="21"/>
        <v>-38.024611412160752</v>
      </c>
      <c r="J139" s="20">
        <f t="shared" si="22"/>
        <v>-4.3121379860145055</v>
      </c>
      <c r="K139" s="20">
        <f t="shared" si="23"/>
        <v>-38.053351145678761</v>
      </c>
    </row>
    <row r="140" spans="1:11">
      <c r="A140" s="18">
        <v>138</v>
      </c>
      <c r="B140" s="20">
        <v>390</v>
      </c>
      <c r="C140" s="20">
        <v>205</v>
      </c>
      <c r="D140" s="20">
        <f t="shared" si="16"/>
        <v>126.39295713519816</v>
      </c>
      <c r="E140" s="20">
        <f t="shared" si="17"/>
        <v>47.67558229582415</v>
      </c>
      <c r="F140" s="20">
        <f t="shared" si="18"/>
        <v>-24.499062024081958</v>
      </c>
      <c r="G140" s="20">
        <f t="shared" si="19"/>
        <v>89.980647989301019</v>
      </c>
      <c r="H140" s="20">
        <f t="shared" si="20"/>
        <v>-4.2605104398694564</v>
      </c>
      <c r="I140" s="20">
        <f t="shared" si="21"/>
        <v>-37.984868838621978</v>
      </c>
      <c r="J140" s="20">
        <f t="shared" si="22"/>
        <v>-4.6813223650797582</v>
      </c>
      <c r="K140" s="20">
        <f t="shared" si="23"/>
        <v>-38.013608572139987</v>
      </c>
    </row>
    <row r="141" spans="1:11">
      <c r="A141" s="18">
        <v>139</v>
      </c>
      <c r="B141" s="20">
        <v>390</v>
      </c>
      <c r="C141" s="20">
        <v>206</v>
      </c>
      <c r="D141" s="20">
        <f t="shared" si="16"/>
        <v>126.39295713519816</v>
      </c>
      <c r="E141" s="20">
        <f t="shared" si="17"/>
        <v>48.10108161928023</v>
      </c>
      <c r="F141" s="20">
        <f t="shared" si="18"/>
        <v>-24.868531362882287</v>
      </c>
      <c r="G141" s="20">
        <f t="shared" si="19"/>
        <v>90.017647794486038</v>
      </c>
      <c r="H141" s="20">
        <f t="shared" si="20"/>
        <v>-4.6299797786697852</v>
      </c>
      <c r="I141" s="20">
        <f t="shared" si="21"/>
        <v>-37.947869033436959</v>
      </c>
      <c r="J141" s="20">
        <f t="shared" si="22"/>
        <v>-5.0507917038800869</v>
      </c>
      <c r="K141" s="20">
        <f t="shared" si="23"/>
        <v>-37.976608766954968</v>
      </c>
    </row>
    <row r="142" spans="1:11">
      <c r="A142" s="18">
        <v>140</v>
      </c>
      <c r="B142" s="20">
        <v>390</v>
      </c>
      <c r="C142" s="20">
        <v>207</v>
      </c>
      <c r="D142" s="20">
        <f t="shared" si="16"/>
        <v>126.39295713519816</v>
      </c>
      <c r="E142" s="20">
        <f t="shared" si="17"/>
        <v>48.526580942736302</v>
      </c>
      <c r="F142" s="20">
        <f t="shared" si="18"/>
        <v>-25.238265284950476</v>
      </c>
      <c r="G142" s="20">
        <f t="shared" si="19"/>
        <v>90.051902790754653</v>
      </c>
      <c r="H142" s="20">
        <f t="shared" si="20"/>
        <v>-4.9997137007379742</v>
      </c>
      <c r="I142" s="20">
        <f t="shared" si="21"/>
        <v>-37.913614037168344</v>
      </c>
      <c r="J142" s="20">
        <f t="shared" si="22"/>
        <v>-5.4205256259482759</v>
      </c>
      <c r="K142" s="20">
        <f t="shared" si="23"/>
        <v>-37.942353770686353</v>
      </c>
    </row>
    <row r="143" spans="1:11">
      <c r="A143" s="18">
        <v>141</v>
      </c>
      <c r="B143" s="20">
        <v>390</v>
      </c>
      <c r="C143" s="20">
        <v>207</v>
      </c>
      <c r="D143" s="20">
        <f t="shared" si="16"/>
        <v>126.39295713519816</v>
      </c>
      <c r="E143" s="20">
        <f t="shared" si="17"/>
        <v>48.526580942736302</v>
      </c>
      <c r="F143" s="20">
        <f t="shared" si="18"/>
        <v>-25.238265284950476</v>
      </c>
      <c r="G143" s="20">
        <f t="shared" si="19"/>
        <v>90.051902790754653</v>
      </c>
      <c r="H143" s="20">
        <f t="shared" si="20"/>
        <v>-4.9997137007379742</v>
      </c>
      <c r="I143" s="20">
        <f t="shared" si="21"/>
        <v>-37.913614037168344</v>
      </c>
      <c r="J143" s="20">
        <f t="shared" si="22"/>
        <v>-5.4205256259482759</v>
      </c>
      <c r="K143" s="20">
        <f t="shared" si="23"/>
        <v>-37.942353770686353</v>
      </c>
    </row>
    <row r="144" spans="1:11">
      <c r="A144" s="18">
        <v>142</v>
      </c>
      <c r="B144" s="20">
        <v>390</v>
      </c>
      <c r="C144" s="20">
        <v>208</v>
      </c>
      <c r="D144" s="20">
        <f t="shared" si="16"/>
        <v>126.39295713519816</v>
      </c>
      <c r="E144" s="20">
        <f t="shared" si="17"/>
        <v>48.952080266192375</v>
      </c>
      <c r="F144" s="20">
        <f t="shared" si="18"/>
        <v>-25.60824339922732</v>
      </c>
      <c r="G144" s="20">
        <f t="shared" si="19"/>
        <v>90.083411088922233</v>
      </c>
      <c r="H144" s="20">
        <f t="shared" si="20"/>
        <v>-5.3696918150148178</v>
      </c>
      <c r="I144" s="20">
        <f t="shared" si="21"/>
        <v>-37.882105739000764</v>
      </c>
      <c r="J144" s="20">
        <f t="shared" si="22"/>
        <v>-5.7905037402251196</v>
      </c>
      <c r="K144" s="20">
        <f t="shared" si="23"/>
        <v>-37.910845472518773</v>
      </c>
    </row>
    <row r="145" spans="1:11">
      <c r="A145" s="18">
        <v>143</v>
      </c>
      <c r="B145" s="20">
        <v>391</v>
      </c>
      <c r="C145" s="20">
        <v>209</v>
      </c>
      <c r="D145" s="20">
        <f t="shared" si="16"/>
        <v>126.81845645865424</v>
      </c>
      <c r="E145" s="20">
        <f t="shared" si="17"/>
        <v>49.377579589648455</v>
      </c>
      <c r="F145" s="20">
        <f t="shared" si="18"/>
        <v>-26.646928582831443</v>
      </c>
      <c r="G145" s="20">
        <f t="shared" si="19"/>
        <v>89.916762457964694</v>
      </c>
      <c r="H145" s="20">
        <f t="shared" si="20"/>
        <v>-6.4083769986189409</v>
      </c>
      <c r="I145" s="20">
        <f t="shared" si="21"/>
        <v>-38.048754369958303</v>
      </c>
      <c r="J145" s="20">
        <f t="shared" si="22"/>
        <v>-6.8291889238292427</v>
      </c>
      <c r="K145" s="20">
        <f t="shared" si="23"/>
        <v>-38.077494103476312</v>
      </c>
    </row>
    <row r="146" spans="1:11">
      <c r="A146" s="18">
        <v>144</v>
      </c>
      <c r="B146" s="20">
        <v>391</v>
      </c>
      <c r="C146" s="20">
        <v>210</v>
      </c>
      <c r="D146" s="20">
        <f t="shared" si="16"/>
        <v>126.81845645865424</v>
      </c>
      <c r="E146" s="20">
        <f t="shared" si="17"/>
        <v>49.803078913104528</v>
      </c>
      <c r="F146" s="20">
        <f t="shared" si="18"/>
        <v>-27.017516798333148</v>
      </c>
      <c r="G146" s="20">
        <f t="shared" si="19"/>
        <v>89.940020842013297</v>
      </c>
      <c r="H146" s="20">
        <f t="shared" si="20"/>
        <v>-6.778965214120646</v>
      </c>
      <c r="I146" s="20">
        <f t="shared" si="21"/>
        <v>-38.0254959859097</v>
      </c>
      <c r="J146" s="20">
        <f t="shared" si="22"/>
        <v>-7.1997771393309478</v>
      </c>
      <c r="K146" s="20">
        <f t="shared" si="23"/>
        <v>-38.054235719427709</v>
      </c>
    </row>
    <row r="147" spans="1:11">
      <c r="A147" s="18">
        <v>145</v>
      </c>
      <c r="B147" s="20">
        <v>391</v>
      </c>
      <c r="C147" s="20">
        <v>211</v>
      </c>
      <c r="D147" s="20">
        <f t="shared" si="16"/>
        <v>126.81845645865424</v>
      </c>
      <c r="E147" s="20">
        <f t="shared" si="17"/>
        <v>50.228578236560608</v>
      </c>
      <c r="F147" s="20">
        <f t="shared" si="18"/>
        <v>-27.388267518389895</v>
      </c>
      <c r="G147" s="20">
        <f t="shared" si="19"/>
        <v>89.960526486960106</v>
      </c>
      <c r="H147" s="20">
        <f t="shared" si="20"/>
        <v>-7.1497159341773937</v>
      </c>
      <c r="I147" s="20">
        <f t="shared" si="21"/>
        <v>-38.004990340962891</v>
      </c>
      <c r="J147" s="20">
        <f t="shared" si="22"/>
        <v>-7.5705278593876955</v>
      </c>
      <c r="K147" s="20">
        <f t="shared" si="23"/>
        <v>-38.0337300744809</v>
      </c>
    </row>
    <row r="148" spans="1:11">
      <c r="A148" s="18">
        <v>146</v>
      </c>
      <c r="B148" s="20">
        <v>391</v>
      </c>
      <c r="C148" s="20">
        <v>212</v>
      </c>
      <c r="D148" s="20">
        <f t="shared" si="16"/>
        <v>126.81845645865424</v>
      </c>
      <c r="E148" s="20">
        <f t="shared" si="17"/>
        <v>50.654077560016681</v>
      </c>
      <c r="F148" s="20">
        <f t="shared" si="18"/>
        <v>-27.759160295865485</v>
      </c>
      <c r="G148" s="20">
        <f t="shared" si="19"/>
        <v>89.978278261905842</v>
      </c>
      <c r="H148" s="20">
        <f t="shared" si="20"/>
        <v>-7.5206087116529829</v>
      </c>
      <c r="I148" s="20">
        <f t="shared" si="21"/>
        <v>-37.987238566017155</v>
      </c>
      <c r="J148" s="20">
        <f t="shared" si="22"/>
        <v>-7.9414206368632847</v>
      </c>
      <c r="K148" s="20">
        <f t="shared" si="23"/>
        <v>-38.015978299535163</v>
      </c>
    </row>
    <row r="149" spans="1:11">
      <c r="A149" s="18">
        <v>147</v>
      </c>
      <c r="B149" s="20">
        <v>391</v>
      </c>
      <c r="C149" s="20">
        <v>213</v>
      </c>
      <c r="D149" s="20">
        <f t="shared" si="16"/>
        <v>126.81845645865424</v>
      </c>
      <c r="E149" s="20">
        <f t="shared" si="17"/>
        <v>51.079576883472754</v>
      </c>
      <c r="F149" s="20">
        <f t="shared" si="18"/>
        <v>-28.130174675789156</v>
      </c>
      <c r="G149" s="20">
        <f t="shared" si="19"/>
        <v>89.993275187828885</v>
      </c>
      <c r="H149" s="20">
        <f t="shared" si="20"/>
        <v>-7.8916230915766548</v>
      </c>
      <c r="I149" s="20">
        <f t="shared" si="21"/>
        <v>-37.972241640094111</v>
      </c>
      <c r="J149" s="20">
        <f t="shared" si="22"/>
        <v>-8.3124350167869565</v>
      </c>
      <c r="K149" s="20">
        <f t="shared" si="23"/>
        <v>-38.00098137361212</v>
      </c>
    </row>
    <row r="150" spans="1:11">
      <c r="A150" s="18">
        <v>148</v>
      </c>
      <c r="B150" s="20">
        <v>391</v>
      </c>
      <c r="C150" s="20">
        <v>214</v>
      </c>
      <c r="D150" s="20">
        <f t="shared" si="16"/>
        <v>126.81845645865424</v>
      </c>
      <c r="E150" s="20">
        <f t="shared" si="17"/>
        <v>51.505076206928834</v>
      </c>
      <c r="F150" s="20">
        <f t="shared" si="18"/>
        <v>-28.501290196483644</v>
      </c>
      <c r="G150" s="20">
        <f t="shared" si="19"/>
        <v>90.005516437639358</v>
      </c>
      <c r="H150" s="20">
        <f t="shared" si="20"/>
        <v>-8.2627386122711428</v>
      </c>
      <c r="I150" s="20">
        <f t="shared" si="21"/>
        <v>-37.960000390283639</v>
      </c>
      <c r="J150" s="20">
        <f t="shared" si="22"/>
        <v>-8.6835505374814446</v>
      </c>
      <c r="K150" s="20">
        <f t="shared" si="23"/>
        <v>-37.988740123801648</v>
      </c>
    </row>
    <row r="151" spans="1:11">
      <c r="A151" s="18">
        <v>149</v>
      </c>
      <c r="B151" s="20">
        <v>391</v>
      </c>
      <c r="C151" s="20">
        <v>215</v>
      </c>
      <c r="D151" s="20">
        <f t="shared" si="16"/>
        <v>126.81845645865424</v>
      </c>
      <c r="E151" s="20">
        <f t="shared" si="17"/>
        <v>51.930575530384907</v>
      </c>
      <c r="F151" s="20">
        <f t="shared" si="18"/>
        <v>-28.872486390693808</v>
      </c>
      <c r="G151" s="20">
        <f t="shared" si="19"/>
        <v>90.015001336224572</v>
      </c>
      <c r="H151" s="20">
        <f t="shared" si="20"/>
        <v>-8.6339348064813066</v>
      </c>
      <c r="I151" s="20">
        <f t="shared" si="21"/>
        <v>-37.950515491698425</v>
      </c>
      <c r="J151" s="20">
        <f t="shared" si="22"/>
        <v>-9.0547467316916084</v>
      </c>
      <c r="K151" s="20">
        <f t="shared" si="23"/>
        <v>-37.979255225216434</v>
      </c>
    </row>
    <row r="152" spans="1:11">
      <c r="A152" s="18">
        <v>150</v>
      </c>
      <c r="B152" s="20">
        <v>391</v>
      </c>
      <c r="C152" s="20">
        <v>216</v>
      </c>
      <c r="D152" s="20">
        <f t="shared" si="16"/>
        <v>126.81845645865424</v>
      </c>
      <c r="E152" s="20">
        <f t="shared" si="17"/>
        <v>52.356074853840987</v>
      </c>
      <c r="F152" s="20">
        <f t="shared" si="18"/>
        <v>-29.243742786715238</v>
      </c>
      <c r="G152" s="20">
        <f t="shared" si="19"/>
        <v>90.021729360486376</v>
      </c>
      <c r="H152" s="20">
        <f t="shared" si="20"/>
        <v>-9.0051912025027363</v>
      </c>
      <c r="I152" s="20">
        <f t="shared" si="21"/>
        <v>-37.943787467436621</v>
      </c>
      <c r="J152" s="20">
        <f t="shared" si="22"/>
        <v>-9.4260031277130381</v>
      </c>
      <c r="K152" s="20">
        <f t="shared" si="23"/>
        <v>-37.97252720095463</v>
      </c>
    </row>
    <row r="153" spans="1:11">
      <c r="A153" s="18">
        <v>151</v>
      </c>
      <c r="B153" s="20">
        <v>391</v>
      </c>
      <c r="C153" s="20">
        <v>218</v>
      </c>
      <c r="D153" s="20">
        <f t="shared" si="16"/>
        <v>126.81845645865424</v>
      </c>
      <c r="E153" s="20">
        <f t="shared" si="17"/>
        <v>53.207073500753133</v>
      </c>
      <c r="F153" s="20">
        <f t="shared" si="18"/>
        <v>-29.986354281902642</v>
      </c>
      <c r="G153" s="20">
        <f t="shared" si="19"/>
        <v>90.026913453884532</v>
      </c>
      <c r="H153" s="20">
        <f t="shared" si="20"/>
        <v>-9.7478026976901404</v>
      </c>
      <c r="I153" s="20">
        <f t="shared" si="21"/>
        <v>-37.938603374038465</v>
      </c>
      <c r="J153" s="20">
        <f t="shared" si="22"/>
        <v>-10.168614622900442</v>
      </c>
      <c r="K153" s="20">
        <f t="shared" si="23"/>
        <v>-37.967343107556474</v>
      </c>
    </row>
    <row r="154" spans="1:11">
      <c r="A154" s="18">
        <v>152</v>
      </c>
      <c r="B154" s="20">
        <v>391</v>
      </c>
      <c r="C154" s="20">
        <v>219</v>
      </c>
      <c r="D154" s="20">
        <f t="shared" si="16"/>
        <v>126.81845645865424</v>
      </c>
      <c r="E154" s="20">
        <f t="shared" si="17"/>
        <v>53.632572824209213</v>
      </c>
      <c r="F154" s="20">
        <f t="shared" si="18"/>
        <v>-30.357668425575969</v>
      </c>
      <c r="G154" s="20">
        <f t="shared" si="19"/>
        <v>90.02536923711483</v>
      </c>
      <c r="H154" s="20">
        <f t="shared" si="20"/>
        <v>-10.119116841363468</v>
      </c>
      <c r="I154" s="20">
        <f t="shared" si="21"/>
        <v>-37.940147590808166</v>
      </c>
      <c r="J154" s="20">
        <f t="shared" si="22"/>
        <v>-10.53992876657377</v>
      </c>
      <c r="K154" s="20">
        <f t="shared" si="23"/>
        <v>-37.968887324326175</v>
      </c>
    </row>
    <row r="155" spans="1:11">
      <c r="A155" s="18">
        <v>153</v>
      </c>
      <c r="B155" s="20">
        <v>391</v>
      </c>
      <c r="C155" s="20">
        <v>220</v>
      </c>
      <c r="D155" s="20">
        <f t="shared" si="16"/>
        <v>126.81845645865424</v>
      </c>
      <c r="E155" s="20">
        <f t="shared" si="17"/>
        <v>54.058072147665285</v>
      </c>
      <c r="F155" s="20">
        <f t="shared" si="18"/>
        <v>-30.728960862333935</v>
      </c>
      <c r="G155" s="20">
        <f t="shared" si="19"/>
        <v>90.021067574225455</v>
      </c>
      <c r="H155" s="20">
        <f t="shared" si="20"/>
        <v>-10.490409278121433</v>
      </c>
      <c r="I155" s="20">
        <f t="shared" si="21"/>
        <v>-37.944449253697542</v>
      </c>
      <c r="J155" s="20">
        <f t="shared" si="22"/>
        <v>-10.911221203331735</v>
      </c>
      <c r="K155" s="20">
        <f t="shared" si="23"/>
        <v>-37.973188987215551</v>
      </c>
    </row>
    <row r="156" spans="1:11">
      <c r="A156" s="18">
        <v>154</v>
      </c>
      <c r="B156" s="20">
        <v>391</v>
      </c>
      <c r="C156" s="20">
        <v>221</v>
      </c>
      <c r="D156" s="20">
        <f t="shared" si="16"/>
        <v>126.81845645865424</v>
      </c>
      <c r="E156" s="20">
        <f t="shared" si="17"/>
        <v>54.483571471121365</v>
      </c>
      <c r="F156" s="20">
        <f t="shared" si="18"/>
        <v>-31.100211115164292</v>
      </c>
      <c r="G156" s="20">
        <f t="shared" si="19"/>
        <v>90.01400870245584</v>
      </c>
      <c r="H156" s="20">
        <f t="shared" si="20"/>
        <v>-10.86165953095179</v>
      </c>
      <c r="I156" s="20">
        <f t="shared" si="21"/>
        <v>-37.951508125467157</v>
      </c>
      <c r="J156" s="20">
        <f t="shared" si="22"/>
        <v>-11.282471456162092</v>
      </c>
      <c r="K156" s="20">
        <f t="shared" si="23"/>
        <v>-37.980247858985166</v>
      </c>
    </row>
    <row r="157" spans="1:11">
      <c r="A157" s="18">
        <v>155</v>
      </c>
      <c r="B157" s="20">
        <v>391</v>
      </c>
      <c r="C157" s="20">
        <v>222</v>
      </c>
      <c r="D157" s="20">
        <f t="shared" si="16"/>
        <v>126.81845645865424</v>
      </c>
      <c r="E157" s="20">
        <f t="shared" si="17"/>
        <v>54.909070794577438</v>
      </c>
      <c r="F157" s="20">
        <f t="shared" si="18"/>
        <v>-31.471398709381326</v>
      </c>
      <c r="G157" s="20">
        <f t="shared" si="19"/>
        <v>90.004193011107191</v>
      </c>
      <c r="H157" s="20">
        <f t="shared" si="20"/>
        <v>-11.232847125168824</v>
      </c>
      <c r="I157" s="20">
        <f t="shared" si="21"/>
        <v>-37.961323816815806</v>
      </c>
      <c r="J157" s="20">
        <f t="shared" si="22"/>
        <v>-11.653659050379126</v>
      </c>
      <c r="K157" s="20">
        <f t="shared" si="23"/>
        <v>-37.990063550333815</v>
      </c>
    </row>
    <row r="158" spans="1:11">
      <c r="A158" s="18">
        <v>156</v>
      </c>
      <c r="B158" s="20">
        <v>391</v>
      </c>
      <c r="C158" s="20">
        <v>224</v>
      </c>
      <c r="D158" s="20">
        <f t="shared" si="16"/>
        <v>126.81845645865424</v>
      </c>
      <c r="E158" s="20">
        <f t="shared" si="17"/>
        <v>55.760069441489591</v>
      </c>
      <c r="F158" s="20">
        <f t="shared" si="18"/>
        <v>-32.213504041639631</v>
      </c>
      <c r="G158" s="20">
        <f t="shared" si="19"/>
        <v>89.976293487049659</v>
      </c>
      <c r="H158" s="20">
        <f t="shared" si="20"/>
        <v>-11.974952457427129</v>
      </c>
      <c r="I158" s="20">
        <f t="shared" si="21"/>
        <v>-37.989223340873338</v>
      </c>
      <c r="J158" s="20">
        <f t="shared" si="22"/>
        <v>-12.395764382637431</v>
      </c>
      <c r="K158" s="20">
        <f t="shared" si="23"/>
        <v>-38.017963074391346</v>
      </c>
    </row>
    <row r="159" spans="1:11">
      <c r="A159" s="18">
        <v>157</v>
      </c>
      <c r="B159" s="20">
        <v>391</v>
      </c>
      <c r="C159" s="20">
        <v>225</v>
      </c>
      <c r="D159" s="20">
        <f t="shared" si="16"/>
        <v>126.81845645865424</v>
      </c>
      <c r="E159" s="20">
        <f t="shared" si="17"/>
        <v>56.185568764945664</v>
      </c>
      <c r="F159" s="20">
        <f t="shared" si="18"/>
        <v>-32.584380852103443</v>
      </c>
      <c r="G159" s="20">
        <f t="shared" si="19"/>
        <v>89.958211193017121</v>
      </c>
      <c r="H159" s="20">
        <f t="shared" si="20"/>
        <v>-12.345829267890942</v>
      </c>
      <c r="I159" s="20">
        <f t="shared" si="21"/>
        <v>-38.007305634905876</v>
      </c>
      <c r="J159" s="20">
        <f t="shared" si="22"/>
        <v>-12.766641193101243</v>
      </c>
      <c r="K159" s="20">
        <f t="shared" si="23"/>
        <v>-38.036045368423885</v>
      </c>
    </row>
    <row r="160" spans="1:11">
      <c r="A160" s="18">
        <v>158</v>
      </c>
      <c r="B160" s="20">
        <v>391</v>
      </c>
      <c r="C160" s="20">
        <v>226</v>
      </c>
      <c r="D160" s="20">
        <f t="shared" si="16"/>
        <v>126.81845645865424</v>
      </c>
      <c r="E160" s="20">
        <f t="shared" si="17"/>
        <v>56.611068088401737</v>
      </c>
      <c r="F160" s="20">
        <f t="shared" si="18"/>
        <v>-32.955113151056132</v>
      </c>
      <c r="G160" s="20">
        <f t="shared" si="19"/>
        <v>89.937375156673426</v>
      </c>
      <c r="H160" s="20">
        <f t="shared" si="20"/>
        <v>-12.71656156684363</v>
      </c>
      <c r="I160" s="20">
        <f t="shared" si="21"/>
        <v>-38.028141671249571</v>
      </c>
      <c r="J160" s="20">
        <f t="shared" si="22"/>
        <v>-13.137373492053932</v>
      </c>
      <c r="K160" s="20">
        <f t="shared" si="23"/>
        <v>-38.05688140476758</v>
      </c>
    </row>
    <row r="161" spans="1:11">
      <c r="A161" s="18">
        <v>159</v>
      </c>
      <c r="B161" s="20">
        <v>391</v>
      </c>
      <c r="C161" s="20">
        <v>228</v>
      </c>
      <c r="D161" s="20">
        <f t="shared" si="16"/>
        <v>126.81845645865424</v>
      </c>
      <c r="E161" s="20">
        <f t="shared" si="17"/>
        <v>57.46206673531389</v>
      </c>
      <c r="F161" s="20">
        <f t="shared" si="18"/>
        <v>-33.696062439044709</v>
      </c>
      <c r="G161" s="20">
        <f t="shared" si="19"/>
        <v>89.887446605342063</v>
      </c>
      <c r="H161" s="20">
        <f t="shared" si="20"/>
        <v>-13.457510854832208</v>
      </c>
      <c r="I161" s="20">
        <f t="shared" si="21"/>
        <v>-38.078070222580934</v>
      </c>
      <c r="J161" s="20">
        <f t="shared" si="22"/>
        <v>-13.87832278004251</v>
      </c>
      <c r="K161" s="20">
        <f t="shared" si="23"/>
        <v>-38.106809956098942</v>
      </c>
    </row>
    <row r="162" spans="1:11">
      <c r="A162" s="18">
        <v>160</v>
      </c>
      <c r="B162" s="20">
        <v>390</v>
      </c>
      <c r="C162" s="20">
        <v>229</v>
      </c>
      <c r="D162" s="20">
        <f t="shared" si="16"/>
        <v>126.39295713519816</v>
      </c>
      <c r="E162" s="20">
        <f t="shared" si="17"/>
        <v>57.88756605876997</v>
      </c>
      <c r="F162" s="20">
        <f t="shared" si="18"/>
        <v>-33.397984430172272</v>
      </c>
      <c r="G162" s="20">
        <f t="shared" si="19"/>
        <v>90.108864939099476</v>
      </c>
      <c r="H162" s="20">
        <f t="shared" si="20"/>
        <v>-13.15943284595977</v>
      </c>
      <c r="I162" s="20">
        <f t="shared" si="21"/>
        <v>-37.856651888823521</v>
      </c>
      <c r="J162" s="20">
        <f t="shared" si="22"/>
        <v>-13.580244771170072</v>
      </c>
      <c r="K162" s="20">
        <f t="shared" si="23"/>
        <v>-37.88539162234153</v>
      </c>
    </row>
    <row r="163" spans="1:11">
      <c r="A163" s="18">
        <v>161</v>
      </c>
      <c r="B163" s="20">
        <v>390</v>
      </c>
      <c r="C163" s="20">
        <v>231</v>
      </c>
      <c r="D163" s="20">
        <f t="shared" si="16"/>
        <v>126.39295713519816</v>
      </c>
      <c r="E163" s="20">
        <f t="shared" si="17"/>
        <v>58.738564705682116</v>
      </c>
      <c r="F163" s="20">
        <f t="shared" si="18"/>
        <v>-34.138110443703027</v>
      </c>
      <c r="G163" s="20">
        <f t="shared" si="19"/>
        <v>90.047937181025588</v>
      </c>
      <c r="H163" s="20">
        <f t="shared" si="20"/>
        <v>-13.899558859490526</v>
      </c>
      <c r="I163" s="20">
        <f t="shared" si="21"/>
        <v>-37.917579646897408</v>
      </c>
      <c r="J163" s="20">
        <f t="shared" si="22"/>
        <v>-14.320370784700827</v>
      </c>
      <c r="K163" s="20">
        <f t="shared" si="23"/>
        <v>-37.946319380415417</v>
      </c>
    </row>
    <row r="164" spans="1:11">
      <c r="A164" s="18">
        <v>162</v>
      </c>
      <c r="B164" s="20">
        <v>390</v>
      </c>
      <c r="C164" s="20">
        <v>232</v>
      </c>
      <c r="D164" s="20">
        <f t="shared" si="16"/>
        <v>126.39295713519816</v>
      </c>
      <c r="E164" s="20">
        <f t="shared" si="17"/>
        <v>59.164064029138196</v>
      </c>
      <c r="F164" s="20">
        <f t="shared" si="18"/>
        <v>-34.507813692149767</v>
      </c>
      <c r="G164" s="20">
        <f t="shared" si="19"/>
        <v>90.013352704953078</v>
      </c>
      <c r="H164" s="20">
        <f t="shared" si="20"/>
        <v>-14.269262107937266</v>
      </c>
      <c r="I164" s="20">
        <f t="shared" si="21"/>
        <v>-37.952164122969918</v>
      </c>
      <c r="J164" s="20">
        <f t="shared" si="22"/>
        <v>-14.690074033147567</v>
      </c>
      <c r="K164" s="20">
        <f t="shared" si="23"/>
        <v>-37.980903856487927</v>
      </c>
    </row>
    <row r="165" spans="1:11">
      <c r="A165" s="18">
        <v>163</v>
      </c>
      <c r="B165" s="20">
        <v>390</v>
      </c>
      <c r="C165" s="20">
        <v>234</v>
      </c>
      <c r="D165" s="20">
        <f t="shared" si="16"/>
        <v>126.39295713519816</v>
      </c>
      <c r="E165" s="20">
        <f t="shared" si="17"/>
        <v>60.015062676050349</v>
      </c>
      <c r="F165" s="20">
        <f t="shared" si="18"/>
        <v>-35.246398726692988</v>
      </c>
      <c r="G165" s="20">
        <f t="shared" si="19"/>
        <v>89.935952095410201</v>
      </c>
      <c r="H165" s="20">
        <f t="shared" si="20"/>
        <v>-15.007847142480486</v>
      </c>
      <c r="I165" s="20">
        <f t="shared" si="21"/>
        <v>-38.029564732512796</v>
      </c>
      <c r="J165" s="20">
        <f t="shared" si="22"/>
        <v>-15.428659067690788</v>
      </c>
      <c r="K165" s="20">
        <f t="shared" si="23"/>
        <v>-38.058304466030805</v>
      </c>
    </row>
    <row r="166" spans="1:11">
      <c r="A166" s="18">
        <v>164</v>
      </c>
      <c r="B166" s="20">
        <v>391</v>
      </c>
      <c r="C166" s="20">
        <v>233</v>
      </c>
      <c r="D166" s="20">
        <f t="shared" si="16"/>
        <v>126.81845645865424</v>
      </c>
      <c r="E166" s="20">
        <f t="shared" si="17"/>
        <v>59.589563352594269</v>
      </c>
      <c r="F166" s="20">
        <f t="shared" si="18"/>
        <v>-35.544476735565432</v>
      </c>
      <c r="G166" s="20">
        <f t="shared" si="19"/>
        <v>89.714533761652774</v>
      </c>
      <c r="H166" s="20">
        <f t="shared" si="20"/>
        <v>-15.30592515135293</v>
      </c>
      <c r="I166" s="20">
        <f t="shared" si="21"/>
        <v>-38.250983066270223</v>
      </c>
      <c r="J166" s="20">
        <f t="shared" si="22"/>
        <v>-15.726737076563232</v>
      </c>
      <c r="K166" s="20">
        <f t="shared" si="23"/>
        <v>-38.279722799788232</v>
      </c>
    </row>
    <row r="167" spans="1:11">
      <c r="A167" s="18">
        <v>165</v>
      </c>
      <c r="B167" s="20">
        <v>392</v>
      </c>
      <c r="C167" s="20">
        <v>232</v>
      </c>
      <c r="D167" s="20">
        <f t="shared" si="16"/>
        <v>127.24395578211031</v>
      </c>
      <c r="E167" s="20">
        <f t="shared" si="17"/>
        <v>59.164064029138196</v>
      </c>
      <c r="F167" s="20">
        <f t="shared" si="18"/>
        <v>-35.840902206779056</v>
      </c>
      <c r="G167" s="20">
        <f t="shared" si="19"/>
        <v>89.490907918081277</v>
      </c>
      <c r="H167" s="20">
        <f t="shared" si="20"/>
        <v>-15.602350622566554</v>
      </c>
      <c r="I167" s="20">
        <f t="shared" si="21"/>
        <v>-38.47460890984172</v>
      </c>
      <c r="J167" s="20">
        <f t="shared" si="22"/>
        <v>-16.023162547776856</v>
      </c>
      <c r="K167" s="20">
        <f t="shared" si="23"/>
        <v>-38.503348643359729</v>
      </c>
    </row>
    <row r="168" spans="1:11">
      <c r="A168" s="18">
        <v>166</v>
      </c>
      <c r="B168" s="20">
        <v>393</v>
      </c>
      <c r="C168" s="20">
        <v>232</v>
      </c>
      <c r="D168" s="20">
        <f t="shared" si="16"/>
        <v>127.66945510556639</v>
      </c>
      <c r="E168" s="20">
        <f t="shared" si="17"/>
        <v>59.164064029138196</v>
      </c>
      <c r="F168" s="20">
        <f t="shared" si="18"/>
        <v>-36.504499844947681</v>
      </c>
      <c r="G168" s="20">
        <f t="shared" si="19"/>
        <v>89.222275033024232</v>
      </c>
      <c r="H168" s="20">
        <f t="shared" si="20"/>
        <v>-16.265948260735179</v>
      </c>
      <c r="I168" s="20">
        <f t="shared" si="21"/>
        <v>-38.743241794898765</v>
      </c>
      <c r="J168" s="20">
        <f t="shared" si="22"/>
        <v>-16.686760185945481</v>
      </c>
      <c r="K168" s="20">
        <f t="shared" si="23"/>
        <v>-38.771981528416774</v>
      </c>
    </row>
    <row r="169" spans="1:11">
      <c r="A169" s="18">
        <v>167</v>
      </c>
      <c r="B169" s="20">
        <v>394</v>
      </c>
      <c r="C169" s="20">
        <v>231</v>
      </c>
      <c r="D169" s="20">
        <f t="shared" si="16"/>
        <v>128.09495442902247</v>
      </c>
      <c r="E169" s="20">
        <f t="shared" si="17"/>
        <v>58.738564705682116</v>
      </c>
      <c r="F169" s="20">
        <f t="shared" si="18"/>
        <v>-36.797571288728264</v>
      </c>
      <c r="G169" s="20">
        <f t="shared" si="19"/>
        <v>88.994271290209213</v>
      </c>
      <c r="H169" s="20">
        <f t="shared" si="20"/>
        <v>-16.559019704515762</v>
      </c>
      <c r="I169" s="20">
        <f t="shared" si="21"/>
        <v>-38.971245537713784</v>
      </c>
      <c r="J169" s="20">
        <f t="shared" si="22"/>
        <v>-16.979831629726064</v>
      </c>
      <c r="K169" s="20">
        <f t="shared" si="23"/>
        <v>-38.999985271231793</v>
      </c>
    </row>
    <row r="170" spans="1:11">
      <c r="A170" s="18">
        <v>168</v>
      </c>
      <c r="B170" s="20">
        <v>395</v>
      </c>
      <c r="C170" s="20">
        <v>229</v>
      </c>
      <c r="D170" s="20">
        <f t="shared" si="16"/>
        <v>128.52045375247855</v>
      </c>
      <c r="E170" s="20">
        <f t="shared" si="17"/>
        <v>57.88756605876997</v>
      </c>
      <c r="F170" s="20">
        <f t="shared" si="18"/>
        <v>-36.72010037504571</v>
      </c>
      <c r="G170" s="20">
        <f t="shared" si="19"/>
        <v>88.806909264186572</v>
      </c>
      <c r="H170" s="20">
        <f t="shared" si="20"/>
        <v>-16.481548790833209</v>
      </c>
      <c r="I170" s="20">
        <f t="shared" si="21"/>
        <v>-39.158607563736425</v>
      </c>
      <c r="J170" s="20">
        <f t="shared" si="22"/>
        <v>-16.902360716043511</v>
      </c>
      <c r="K170" s="20">
        <f t="shared" si="23"/>
        <v>-39.187347297254433</v>
      </c>
    </row>
    <row r="171" spans="1:11">
      <c r="A171" s="18">
        <v>169</v>
      </c>
      <c r="B171" s="20">
        <v>397</v>
      </c>
      <c r="C171" s="20">
        <v>227</v>
      </c>
      <c r="D171" s="20">
        <f t="shared" si="16"/>
        <v>129.37145239939068</v>
      </c>
      <c r="E171" s="20">
        <f t="shared" si="17"/>
        <v>57.036567411857817</v>
      </c>
      <c r="F171" s="20">
        <f t="shared" si="18"/>
        <v>-37.29767255634539</v>
      </c>
      <c r="G171" s="20">
        <f t="shared" si="19"/>
        <v>88.340101934555278</v>
      </c>
      <c r="H171" s="20">
        <f t="shared" si="20"/>
        <v>-17.059120972132888</v>
      </c>
      <c r="I171" s="20">
        <f t="shared" si="21"/>
        <v>-39.625414893367719</v>
      </c>
      <c r="J171" s="20">
        <f t="shared" si="22"/>
        <v>-17.47993289734319</v>
      </c>
      <c r="K171" s="20">
        <f t="shared" si="23"/>
        <v>-39.654154626885727</v>
      </c>
    </row>
    <row r="172" spans="1:11">
      <c r="A172" s="18">
        <v>170</v>
      </c>
      <c r="B172" s="20">
        <v>398</v>
      </c>
      <c r="C172" s="20">
        <v>225</v>
      </c>
      <c r="D172" s="20">
        <f t="shared" si="16"/>
        <v>129.79695172284676</v>
      </c>
      <c r="E172" s="20">
        <f t="shared" si="17"/>
        <v>56.185568764945664</v>
      </c>
      <c r="F172" s="20">
        <f t="shared" si="18"/>
        <v>-37.214693929858662</v>
      </c>
      <c r="G172" s="20">
        <f t="shared" si="19"/>
        <v>88.143565801874246</v>
      </c>
      <c r="H172" s="20">
        <f t="shared" si="20"/>
        <v>-16.97614234564616</v>
      </c>
      <c r="I172" s="20">
        <f t="shared" si="21"/>
        <v>-39.821951026048751</v>
      </c>
      <c r="J172" s="20">
        <f t="shared" si="22"/>
        <v>-17.396954270856462</v>
      </c>
      <c r="K172" s="20">
        <f t="shared" si="23"/>
        <v>-39.85069075956676</v>
      </c>
    </row>
    <row r="173" spans="1:11">
      <c r="A173" s="18">
        <v>171</v>
      </c>
      <c r="B173" s="20">
        <v>400</v>
      </c>
      <c r="C173" s="20">
        <v>222</v>
      </c>
      <c r="D173" s="20">
        <f t="shared" si="16"/>
        <v>130.64795036975892</v>
      </c>
      <c r="E173" s="20">
        <f t="shared" si="17"/>
        <v>54.909070794577438</v>
      </c>
      <c r="F173" s="20">
        <f t="shared" si="18"/>
        <v>-37.412287373271646</v>
      </c>
      <c r="G173" s="20">
        <f t="shared" si="19"/>
        <v>87.701336647768528</v>
      </c>
      <c r="H173" s="20">
        <f t="shared" si="20"/>
        <v>-17.173735789059144</v>
      </c>
      <c r="I173" s="20">
        <f t="shared" si="21"/>
        <v>-40.264180180154469</v>
      </c>
      <c r="J173" s="20">
        <f t="shared" si="22"/>
        <v>-17.594547714269446</v>
      </c>
      <c r="K173" s="20">
        <f t="shared" si="23"/>
        <v>-40.292919913672478</v>
      </c>
    </row>
    <row r="174" spans="1:11">
      <c r="A174" s="18">
        <v>172</v>
      </c>
      <c r="B174" s="20">
        <v>402</v>
      </c>
      <c r="C174" s="20">
        <v>219</v>
      </c>
      <c r="D174" s="20">
        <f t="shared" si="16"/>
        <v>131.49894901667108</v>
      </c>
      <c r="E174" s="20">
        <f t="shared" si="17"/>
        <v>53.632572824209213</v>
      </c>
      <c r="F174" s="20">
        <f t="shared" si="18"/>
        <v>-37.602428758413346</v>
      </c>
      <c r="G174" s="20">
        <f t="shared" si="19"/>
        <v>87.247994188889635</v>
      </c>
      <c r="H174" s="20">
        <f t="shared" si="20"/>
        <v>-17.363877174200844</v>
      </c>
      <c r="I174" s="20">
        <f t="shared" si="21"/>
        <v>-40.717522639033362</v>
      </c>
      <c r="J174" s="20">
        <f t="shared" si="22"/>
        <v>-17.784689099411146</v>
      </c>
      <c r="K174" s="20">
        <f t="shared" si="23"/>
        <v>-40.746262372551371</v>
      </c>
    </row>
    <row r="175" spans="1:11">
      <c r="A175" s="18">
        <v>173</v>
      </c>
      <c r="B175" s="20">
        <v>404</v>
      </c>
      <c r="C175" s="20">
        <v>215</v>
      </c>
      <c r="D175" s="20">
        <f t="shared" si="16"/>
        <v>132.34994766358321</v>
      </c>
      <c r="E175" s="20">
        <f t="shared" si="17"/>
        <v>51.930575530384907</v>
      </c>
      <c r="F175" s="20">
        <f t="shared" si="18"/>
        <v>-37.414838847999519</v>
      </c>
      <c r="G175" s="20">
        <f t="shared" si="19"/>
        <v>86.812733915708094</v>
      </c>
      <c r="H175" s="20">
        <f t="shared" si="20"/>
        <v>-17.176287263787017</v>
      </c>
      <c r="I175" s="20">
        <f t="shared" si="21"/>
        <v>-41.152782912214903</v>
      </c>
      <c r="J175" s="20">
        <f t="shared" si="22"/>
        <v>-17.597099188997319</v>
      </c>
      <c r="K175" s="20">
        <f t="shared" si="23"/>
        <v>-41.181522645732912</v>
      </c>
    </row>
    <row r="176" spans="1:11">
      <c r="A176" s="18">
        <v>174</v>
      </c>
      <c r="B176" s="20">
        <v>405</v>
      </c>
      <c r="C176" s="20">
        <v>212</v>
      </c>
      <c r="D176" s="20">
        <f t="shared" si="16"/>
        <v>132.77544698703929</v>
      </c>
      <c r="E176" s="20">
        <f t="shared" si="17"/>
        <v>50.654077560016681</v>
      </c>
      <c r="F176" s="20">
        <f t="shared" si="18"/>
        <v>-36.947378758557754</v>
      </c>
      <c r="G176" s="20">
        <f t="shared" si="19"/>
        <v>86.611504675650252</v>
      </c>
      <c r="H176" s="20">
        <f t="shared" si="20"/>
        <v>-16.708827174345252</v>
      </c>
      <c r="I176" s="20">
        <f t="shared" si="21"/>
        <v>-41.354012152272745</v>
      </c>
      <c r="J176" s="20">
        <f t="shared" si="22"/>
        <v>-17.129639099555554</v>
      </c>
      <c r="K176" s="20">
        <f t="shared" si="23"/>
        <v>-41.382751885790753</v>
      </c>
    </row>
    <row r="177" spans="1:11">
      <c r="A177" s="18">
        <v>175</v>
      </c>
      <c r="B177" s="20">
        <v>407</v>
      </c>
      <c r="C177" s="20">
        <v>208</v>
      </c>
      <c r="D177" s="20">
        <f t="shared" si="16"/>
        <v>133.62644563395145</v>
      </c>
      <c r="E177" s="20">
        <f t="shared" si="17"/>
        <v>48.952080266192375</v>
      </c>
      <c r="F177" s="20">
        <f t="shared" si="18"/>
        <v>-36.747114925533758</v>
      </c>
      <c r="G177" s="20">
        <f t="shared" si="19"/>
        <v>86.142049128514714</v>
      </c>
      <c r="H177" s="20">
        <f t="shared" si="20"/>
        <v>-16.508563341321256</v>
      </c>
      <c r="I177" s="20">
        <f t="shared" si="21"/>
        <v>-41.823467699408283</v>
      </c>
      <c r="J177" s="20">
        <f t="shared" si="22"/>
        <v>-16.929375266531558</v>
      </c>
      <c r="K177" s="20">
        <f t="shared" si="23"/>
        <v>-41.852207432926292</v>
      </c>
    </row>
    <row r="178" spans="1:11">
      <c r="A178" s="18">
        <v>176</v>
      </c>
      <c r="B178" s="20">
        <v>408</v>
      </c>
      <c r="C178" s="20">
        <v>205</v>
      </c>
      <c r="D178" s="20">
        <f t="shared" si="16"/>
        <v>134.05194495740753</v>
      </c>
      <c r="E178" s="20">
        <f t="shared" si="17"/>
        <v>47.67558229582415</v>
      </c>
      <c r="F178" s="20">
        <f t="shared" si="18"/>
        <v>-36.272835815587499</v>
      </c>
      <c r="G178" s="20">
        <f t="shared" si="19"/>
        <v>85.912760603589902</v>
      </c>
      <c r="H178" s="20">
        <f t="shared" si="20"/>
        <v>-16.034284231374997</v>
      </c>
      <c r="I178" s="20">
        <f t="shared" si="21"/>
        <v>-42.052756224333095</v>
      </c>
      <c r="J178" s="20">
        <f t="shared" si="22"/>
        <v>-16.455096156585299</v>
      </c>
      <c r="K178" s="20">
        <f t="shared" si="23"/>
        <v>-42.081495957851104</v>
      </c>
    </row>
    <row r="179" spans="1:11">
      <c r="A179" s="18">
        <v>177</v>
      </c>
      <c r="B179" s="20">
        <v>409</v>
      </c>
      <c r="C179" s="20">
        <v>203</v>
      </c>
      <c r="D179" s="20">
        <f t="shared" si="16"/>
        <v>134.47744428086361</v>
      </c>
      <c r="E179" s="20">
        <f t="shared" si="17"/>
        <v>46.824583648911997</v>
      </c>
      <c r="F179" s="20">
        <f t="shared" si="18"/>
        <v>-36.167557103736812</v>
      </c>
      <c r="G179" s="20">
        <f t="shared" si="19"/>
        <v>85.663406381221733</v>
      </c>
      <c r="H179" s="20">
        <f t="shared" si="20"/>
        <v>-15.92900551952431</v>
      </c>
      <c r="I179" s="20">
        <f t="shared" si="21"/>
        <v>-42.302110446701263</v>
      </c>
      <c r="J179" s="20">
        <f t="shared" si="22"/>
        <v>-16.349817444734612</v>
      </c>
      <c r="K179" s="20">
        <f t="shared" si="23"/>
        <v>-42.330850180219272</v>
      </c>
    </row>
    <row r="180" spans="1:11">
      <c r="A180" s="18">
        <v>178</v>
      </c>
      <c r="B180" s="20">
        <v>410</v>
      </c>
      <c r="C180" s="20">
        <v>200</v>
      </c>
      <c r="D180" s="20">
        <f t="shared" si="16"/>
        <v>134.90294360431966</v>
      </c>
      <c r="E180" s="20">
        <f t="shared" si="17"/>
        <v>45.548085678543771</v>
      </c>
      <c r="F180" s="20">
        <f t="shared" si="18"/>
        <v>-35.688991291526357</v>
      </c>
      <c r="G180" s="20">
        <f t="shared" si="19"/>
        <v>85.413629430813828</v>
      </c>
      <c r="H180" s="20">
        <f t="shared" si="20"/>
        <v>-15.450439707313855</v>
      </c>
      <c r="I180" s="20">
        <f t="shared" si="21"/>
        <v>-42.551887397109169</v>
      </c>
      <c r="J180" s="20">
        <f t="shared" si="22"/>
        <v>-15.871251632524157</v>
      </c>
      <c r="K180" s="20">
        <f t="shared" si="23"/>
        <v>-42.580627130627178</v>
      </c>
    </row>
    <row r="181" spans="1:11">
      <c r="A181" s="18">
        <v>179</v>
      </c>
      <c r="B181" s="20">
        <v>411</v>
      </c>
      <c r="C181" s="20">
        <v>198</v>
      </c>
      <c r="D181" s="20">
        <f t="shared" si="16"/>
        <v>135.32844292777574</v>
      </c>
      <c r="E181" s="20">
        <f t="shared" si="17"/>
        <v>44.697087031631618</v>
      </c>
      <c r="F181" s="20">
        <f t="shared" si="18"/>
        <v>-35.579707461751177</v>
      </c>
      <c r="G181" s="20">
        <f t="shared" si="19"/>
        <v>85.152082993063587</v>
      </c>
      <c r="H181" s="20">
        <f t="shared" si="20"/>
        <v>-15.341155877538675</v>
      </c>
      <c r="I181" s="20">
        <f t="shared" si="21"/>
        <v>-42.81343383485941</v>
      </c>
      <c r="J181" s="20">
        <f t="shared" si="22"/>
        <v>-15.761967802748977</v>
      </c>
      <c r="K181" s="20">
        <f t="shared" si="23"/>
        <v>-42.842173568377419</v>
      </c>
    </row>
    <row r="182" spans="1:11">
      <c r="A182" s="18">
        <v>180</v>
      </c>
      <c r="B182" s="20">
        <v>412</v>
      </c>
      <c r="C182" s="20">
        <v>195</v>
      </c>
      <c r="D182" s="20">
        <f t="shared" si="16"/>
        <v>135.75394225123182</v>
      </c>
      <c r="E182" s="20">
        <f t="shared" si="17"/>
        <v>43.420589061263392</v>
      </c>
      <c r="F182" s="20">
        <f t="shared" si="18"/>
        <v>-35.097165265844943</v>
      </c>
      <c r="G182" s="20">
        <f t="shared" si="19"/>
        <v>84.881869585308138</v>
      </c>
      <c r="H182" s="20">
        <f t="shared" si="20"/>
        <v>-14.858613681632441</v>
      </c>
      <c r="I182" s="20">
        <f t="shared" si="21"/>
        <v>-43.083647242614859</v>
      </c>
      <c r="J182" s="20">
        <f t="shared" si="22"/>
        <v>-15.279425606842743</v>
      </c>
      <c r="K182" s="20">
        <f t="shared" si="23"/>
        <v>-43.112386976132868</v>
      </c>
    </row>
    <row r="183" spans="1:11">
      <c r="A183" s="18">
        <v>181</v>
      </c>
      <c r="B183" s="20">
        <v>412</v>
      </c>
      <c r="C183" s="20">
        <v>194</v>
      </c>
      <c r="D183" s="20">
        <f t="shared" si="16"/>
        <v>135.75394225123182</v>
      </c>
      <c r="E183" s="20">
        <f t="shared" si="17"/>
        <v>42.995089737807319</v>
      </c>
      <c r="F183" s="20">
        <f t="shared" si="18"/>
        <v>-34.725908869823513</v>
      </c>
      <c r="G183" s="20">
        <f t="shared" si="19"/>
        <v>84.87514156104632</v>
      </c>
      <c r="H183" s="20">
        <f t="shared" si="20"/>
        <v>-14.487357285611012</v>
      </c>
      <c r="I183" s="20">
        <f t="shared" si="21"/>
        <v>-43.090375266876677</v>
      </c>
      <c r="J183" s="20">
        <f t="shared" si="22"/>
        <v>-14.908169210821313</v>
      </c>
      <c r="K183" s="20">
        <f t="shared" si="23"/>
        <v>-43.119115000394686</v>
      </c>
    </row>
    <row r="184" spans="1:11">
      <c r="A184" s="18">
        <v>182</v>
      </c>
      <c r="B184" s="20">
        <v>411</v>
      </c>
      <c r="C184" s="20">
        <v>193</v>
      </c>
      <c r="D184" s="20">
        <f t="shared" si="16"/>
        <v>135.32844292777574</v>
      </c>
      <c r="E184" s="20">
        <f t="shared" si="17"/>
        <v>42.569590414351239</v>
      </c>
      <c r="F184" s="20">
        <f t="shared" si="18"/>
        <v>-33.723527855637691</v>
      </c>
      <c r="G184" s="20">
        <f t="shared" si="19"/>
        <v>85.118444727007954</v>
      </c>
      <c r="H184" s="20">
        <f t="shared" si="20"/>
        <v>-13.48497627142519</v>
      </c>
      <c r="I184" s="20">
        <f t="shared" si="21"/>
        <v>-42.847072100915042</v>
      </c>
      <c r="J184" s="20">
        <f t="shared" si="22"/>
        <v>-13.905788196635491</v>
      </c>
      <c r="K184" s="20">
        <f t="shared" si="23"/>
        <v>-42.875811834433051</v>
      </c>
    </row>
    <row r="185" spans="1:11">
      <c r="A185" s="18">
        <v>183</v>
      </c>
      <c r="B185" s="20">
        <v>411</v>
      </c>
      <c r="C185" s="20">
        <v>192</v>
      </c>
      <c r="D185" s="20">
        <f t="shared" si="16"/>
        <v>135.32844292777574</v>
      </c>
      <c r="E185" s="20">
        <f t="shared" si="17"/>
        <v>42.144091090895166</v>
      </c>
      <c r="F185" s="20">
        <f t="shared" si="18"/>
        <v>-33.352513475714019</v>
      </c>
      <c r="G185" s="20">
        <f t="shared" si="19"/>
        <v>85.103447801084883</v>
      </c>
      <c r="H185" s="20">
        <f t="shared" si="20"/>
        <v>-13.113961891501518</v>
      </c>
      <c r="I185" s="20">
        <f t="shared" si="21"/>
        <v>-42.862069026838114</v>
      </c>
      <c r="J185" s="20">
        <f t="shared" si="22"/>
        <v>-13.534773816711819</v>
      </c>
      <c r="K185" s="20">
        <f t="shared" si="23"/>
        <v>-42.890808760356123</v>
      </c>
    </row>
    <row r="186" spans="1:11">
      <c r="A186" s="18">
        <v>184</v>
      </c>
      <c r="B186" s="20">
        <v>411</v>
      </c>
      <c r="C186" s="20">
        <v>191</v>
      </c>
      <c r="D186" s="20">
        <f t="shared" si="16"/>
        <v>135.32844292777574</v>
      </c>
      <c r="E186" s="20">
        <f t="shared" si="17"/>
        <v>41.718591767439094</v>
      </c>
      <c r="F186" s="20">
        <f t="shared" si="18"/>
        <v>-32.981620698238451</v>
      </c>
      <c r="G186" s="20">
        <f t="shared" si="19"/>
        <v>85.085696026139175</v>
      </c>
      <c r="H186" s="20">
        <f t="shared" si="20"/>
        <v>-12.74306911402595</v>
      </c>
      <c r="I186" s="20">
        <f t="shared" si="21"/>
        <v>-42.879820801783822</v>
      </c>
      <c r="J186" s="20">
        <f t="shared" si="22"/>
        <v>-13.163881039236252</v>
      </c>
      <c r="K186" s="20">
        <f t="shared" si="23"/>
        <v>-42.908560535301831</v>
      </c>
    </row>
    <row r="187" spans="1:11">
      <c r="A187" s="18">
        <v>185</v>
      </c>
      <c r="B187" s="20">
        <v>411</v>
      </c>
      <c r="C187" s="20">
        <v>190</v>
      </c>
      <c r="D187" s="20">
        <f t="shared" si="16"/>
        <v>135.32844292777574</v>
      </c>
      <c r="E187" s="20">
        <f t="shared" si="17"/>
        <v>41.293092443983014</v>
      </c>
      <c r="F187" s="20">
        <f t="shared" si="18"/>
        <v>-32.610869978181682</v>
      </c>
      <c r="G187" s="20">
        <f t="shared" si="19"/>
        <v>85.065190381192366</v>
      </c>
      <c r="H187" s="20">
        <f t="shared" si="20"/>
        <v>-12.372318393969181</v>
      </c>
      <c r="I187" s="20">
        <f t="shared" si="21"/>
        <v>-42.900326446730631</v>
      </c>
      <c r="J187" s="20">
        <f t="shared" si="22"/>
        <v>-12.793130319179483</v>
      </c>
      <c r="K187" s="20">
        <f t="shared" si="23"/>
        <v>-42.92906618024864</v>
      </c>
    </row>
    <row r="188" spans="1:11">
      <c r="A188" s="18">
        <v>186</v>
      </c>
      <c r="B188" s="20">
        <v>411</v>
      </c>
      <c r="C188" s="20">
        <v>189</v>
      </c>
      <c r="D188" s="20">
        <f t="shared" si="16"/>
        <v>135.32844292777574</v>
      </c>
      <c r="E188" s="20">
        <f t="shared" si="17"/>
        <v>40.867593120526941</v>
      </c>
      <c r="F188" s="20">
        <f t="shared" si="18"/>
        <v>-32.240281762680006</v>
      </c>
      <c r="G188" s="20">
        <f t="shared" si="19"/>
        <v>85.041931997143749</v>
      </c>
      <c r="H188" s="20">
        <f t="shared" si="20"/>
        <v>-12.001730178467504</v>
      </c>
      <c r="I188" s="20">
        <f t="shared" si="21"/>
        <v>-42.923584830779248</v>
      </c>
      <c r="J188" s="20">
        <f t="shared" si="22"/>
        <v>-12.422542103677806</v>
      </c>
      <c r="K188" s="20">
        <f t="shared" si="23"/>
        <v>-42.952324564297257</v>
      </c>
    </row>
    <row r="189" spans="1:11">
      <c r="A189" s="18">
        <v>187</v>
      </c>
      <c r="B189" s="20">
        <v>411</v>
      </c>
      <c r="C189" s="20">
        <v>188</v>
      </c>
      <c r="D189" s="20">
        <f t="shared" si="16"/>
        <v>135.32844292777574</v>
      </c>
      <c r="E189" s="20">
        <f t="shared" si="17"/>
        <v>40.442093797070861</v>
      </c>
      <c r="F189" s="20">
        <f t="shared" si="18"/>
        <v>-31.869876489907355</v>
      </c>
      <c r="G189" s="20">
        <f t="shared" si="19"/>
        <v>85.015922156707887</v>
      </c>
      <c r="H189" s="20">
        <f t="shared" si="20"/>
        <v>-11.631324905694854</v>
      </c>
      <c r="I189" s="20">
        <f t="shared" si="21"/>
        <v>-42.94959467121511</v>
      </c>
      <c r="J189" s="20">
        <f t="shared" si="22"/>
        <v>-12.052136830905155</v>
      </c>
      <c r="K189" s="20">
        <f t="shared" si="23"/>
        <v>-42.978334404733118</v>
      </c>
    </row>
    <row r="190" spans="1:11">
      <c r="A190" s="18">
        <v>188</v>
      </c>
      <c r="B190" s="20">
        <v>411</v>
      </c>
      <c r="C190" s="20">
        <v>187</v>
      </c>
      <c r="D190" s="20">
        <f t="shared" si="16"/>
        <v>135.32844292777574</v>
      </c>
      <c r="E190" s="20">
        <f t="shared" si="17"/>
        <v>40.016594473614788</v>
      </c>
      <c r="F190" s="20">
        <f t="shared" si="18"/>
        <v>-31.499674587948324</v>
      </c>
      <c r="G190" s="20">
        <f t="shared" si="19"/>
        <v>84.987162294343875</v>
      </c>
      <c r="H190" s="20">
        <f t="shared" si="20"/>
        <v>-11.261123003735822</v>
      </c>
      <c r="I190" s="20">
        <f t="shared" si="21"/>
        <v>-42.978354533579122</v>
      </c>
      <c r="J190" s="20">
        <f t="shared" si="22"/>
        <v>-11.681934928946124</v>
      </c>
      <c r="K190" s="20">
        <f t="shared" si="23"/>
        <v>-43.007094267097131</v>
      </c>
    </row>
    <row r="191" spans="1:11">
      <c r="A191" s="18">
        <v>189</v>
      </c>
      <c r="B191" s="20">
        <v>411</v>
      </c>
      <c r="C191" s="20">
        <v>186</v>
      </c>
      <c r="D191" s="20">
        <f t="shared" si="16"/>
        <v>135.32844292777574</v>
      </c>
      <c r="E191" s="20">
        <f t="shared" si="17"/>
        <v>39.591095150158715</v>
      </c>
      <c r="F191" s="20">
        <f t="shared" si="18"/>
        <v>-31.129696473671448</v>
      </c>
      <c r="G191" s="20">
        <f t="shared" si="19"/>
        <v>84.955653996176295</v>
      </c>
      <c r="H191" s="20">
        <f t="shared" si="20"/>
        <v>-10.891144889458946</v>
      </c>
      <c r="I191" s="20">
        <f t="shared" si="21"/>
        <v>-43.009862831746702</v>
      </c>
      <c r="J191" s="20">
        <f t="shared" si="22"/>
        <v>-11.311956814669248</v>
      </c>
      <c r="K191" s="20">
        <f t="shared" si="23"/>
        <v>-43.038602565264711</v>
      </c>
    </row>
    <row r="192" spans="1:11">
      <c r="A192" s="18">
        <v>190</v>
      </c>
      <c r="B192" s="20">
        <v>411</v>
      </c>
      <c r="C192" s="20">
        <v>185</v>
      </c>
      <c r="D192" s="20">
        <f t="shared" si="16"/>
        <v>135.32844292777574</v>
      </c>
      <c r="E192" s="20">
        <f t="shared" si="17"/>
        <v>39.165595826702635</v>
      </c>
      <c r="F192" s="20">
        <f t="shared" si="18"/>
        <v>-30.75996255160327</v>
      </c>
      <c r="G192" s="20">
        <f t="shared" si="19"/>
        <v>84.921398999907666</v>
      </c>
      <c r="H192" s="20">
        <f t="shared" si="20"/>
        <v>-10.521410967390768</v>
      </c>
      <c r="I192" s="20">
        <f t="shared" si="21"/>
        <v>-43.044117828015331</v>
      </c>
      <c r="J192" s="20">
        <f t="shared" si="22"/>
        <v>-10.94222289260107</v>
      </c>
      <c r="K192" s="20">
        <f t="shared" si="23"/>
        <v>-43.07285756153334</v>
      </c>
    </row>
    <row r="193" spans="1:11">
      <c r="A193" s="18">
        <v>191</v>
      </c>
      <c r="B193" s="20">
        <v>411</v>
      </c>
      <c r="C193" s="20">
        <v>184</v>
      </c>
      <c r="D193" s="20">
        <f t="shared" si="16"/>
        <v>135.32844292777574</v>
      </c>
      <c r="E193" s="20">
        <f t="shared" si="17"/>
        <v>38.740096503246562</v>
      </c>
      <c r="F193" s="20">
        <f t="shared" si="18"/>
        <v>-30.390493212802962</v>
      </c>
      <c r="G193" s="20">
        <f t="shared" si="19"/>
        <v>84.884399194722675</v>
      </c>
      <c r="H193" s="20">
        <f t="shared" si="20"/>
        <v>-10.15194162859046</v>
      </c>
      <c r="I193" s="20">
        <f t="shared" si="21"/>
        <v>-43.081117633200321</v>
      </c>
      <c r="J193" s="20">
        <f t="shared" si="22"/>
        <v>-10.572753553800762</v>
      </c>
      <c r="K193" s="20">
        <f t="shared" si="23"/>
        <v>-43.10985736671833</v>
      </c>
    </row>
    <row r="194" spans="1:11">
      <c r="A194" s="18">
        <v>192</v>
      </c>
      <c r="B194" s="20">
        <v>410</v>
      </c>
      <c r="C194" s="20">
        <v>184</v>
      </c>
      <c r="D194" s="20">
        <f t="shared" ref="D194:D257" si="24">(B194-92.9538)/2.35018</f>
        <v>134.90294360431966</v>
      </c>
      <c r="E194" s="20">
        <f t="shared" ref="E194:E257" si="25">(C194-92.9538)/2.35018</f>
        <v>38.740096503246562</v>
      </c>
      <c r="F194" s="20">
        <f t="shared" ref="F194:F257" si="26">50*COS(RADIANS(D194))+50*COS(RADIANS(D194+E194-90))</f>
        <v>-29.75927851983954</v>
      </c>
      <c r="G194" s="20">
        <f t="shared" ref="G194:G257" si="27">50*SIN(RADIANS(D194))+50*SIN(RADIANS(D194+E194-90))</f>
        <v>85.107747275703829</v>
      </c>
      <c r="H194" s="20">
        <f t="shared" ref="H194:H257" si="28">F194+20.2385515842125</f>
        <v>-9.5207269356270388</v>
      </c>
      <c r="I194" s="20">
        <f t="shared" ref="I194:I257" si="29">G194+-127.965516827923</f>
        <v>-42.857769552219168</v>
      </c>
      <c r="J194" s="20">
        <f t="shared" ref="J194:J257" si="30">F194+19.8177396590022</f>
        <v>-9.9415388608373405</v>
      </c>
      <c r="K194" s="20">
        <f t="shared" ref="K194:K257" si="31">G194+-127.994256561441</f>
        <v>-42.886509285737176</v>
      </c>
    </row>
    <row r="195" spans="1:11">
      <c r="A195" s="18">
        <v>193</v>
      </c>
      <c r="B195" s="20">
        <v>410</v>
      </c>
      <c r="C195" s="20">
        <v>183</v>
      </c>
      <c r="D195" s="20">
        <f t="shared" si="24"/>
        <v>134.90294360431966</v>
      </c>
      <c r="E195" s="20">
        <f t="shared" si="25"/>
        <v>38.314597179790482</v>
      </c>
      <c r="F195" s="20">
        <f t="shared" si="26"/>
        <v>-29.390399461260905</v>
      </c>
      <c r="G195" s="20">
        <f t="shared" si="27"/>
        <v>85.065264125639288</v>
      </c>
      <c r="H195" s="20">
        <f t="shared" si="28"/>
        <v>-9.1518478770484037</v>
      </c>
      <c r="I195" s="20">
        <f t="shared" si="29"/>
        <v>-42.900252702283709</v>
      </c>
      <c r="J195" s="20">
        <f t="shared" si="30"/>
        <v>-9.5726598022587055</v>
      </c>
      <c r="K195" s="20">
        <f t="shared" si="31"/>
        <v>-42.928992435801717</v>
      </c>
    </row>
    <row r="196" spans="1:11">
      <c r="A196" s="18">
        <v>194</v>
      </c>
      <c r="B196" s="20">
        <v>410</v>
      </c>
      <c r="C196" s="20">
        <v>182</v>
      </c>
      <c r="D196" s="20">
        <f t="shared" si="24"/>
        <v>134.90294360431966</v>
      </c>
      <c r="E196" s="20">
        <f t="shared" si="25"/>
        <v>37.889097856334409</v>
      </c>
      <c r="F196" s="20">
        <f t="shared" si="26"/>
        <v>-29.02184606708175</v>
      </c>
      <c r="G196" s="20">
        <f t="shared" si="27"/>
        <v>85.020042742021545</v>
      </c>
      <c r="H196" s="20">
        <f t="shared" si="28"/>
        <v>-8.7832944828692483</v>
      </c>
      <c r="I196" s="20">
        <f t="shared" si="29"/>
        <v>-42.945474085901452</v>
      </c>
      <c r="J196" s="20">
        <f t="shared" si="30"/>
        <v>-9.2041064080795501</v>
      </c>
      <c r="K196" s="20">
        <f t="shared" si="31"/>
        <v>-42.974213819419461</v>
      </c>
    </row>
    <row r="197" spans="1:11">
      <c r="A197" s="18">
        <v>195</v>
      </c>
      <c r="B197" s="20">
        <v>410</v>
      </c>
      <c r="C197" s="20">
        <v>181</v>
      </c>
      <c r="D197" s="20">
        <f t="shared" si="24"/>
        <v>134.90294360431966</v>
      </c>
      <c r="E197" s="20">
        <f t="shared" si="25"/>
        <v>37.463598532878336</v>
      </c>
      <c r="F197" s="20">
        <f t="shared" si="26"/>
        <v>-28.653638663254384</v>
      </c>
      <c r="G197" s="20">
        <f t="shared" si="27"/>
        <v>84.972085618838435</v>
      </c>
      <c r="H197" s="20">
        <f t="shared" si="28"/>
        <v>-8.4150870790418821</v>
      </c>
      <c r="I197" s="20">
        <f t="shared" si="29"/>
        <v>-42.993431209084562</v>
      </c>
      <c r="J197" s="20">
        <f t="shared" si="30"/>
        <v>-8.8358990042521839</v>
      </c>
      <c r="K197" s="20">
        <f t="shared" si="31"/>
        <v>-43.022170942602571</v>
      </c>
    </row>
    <row r="198" spans="1:11">
      <c r="A198" s="18">
        <v>196</v>
      </c>
      <c r="B198" s="20">
        <v>410</v>
      </c>
      <c r="C198" s="20">
        <v>180</v>
      </c>
      <c r="D198" s="20">
        <f t="shared" si="24"/>
        <v>134.90294360431966</v>
      </c>
      <c r="E198" s="20">
        <f t="shared" si="25"/>
        <v>37.038099209422256</v>
      </c>
      <c r="F198" s="20">
        <f t="shared" si="26"/>
        <v>-28.285797556649555</v>
      </c>
      <c r="G198" s="20">
        <f t="shared" si="27"/>
        <v>84.921395400955547</v>
      </c>
      <c r="H198" s="20">
        <f t="shared" si="28"/>
        <v>-8.0472459724370538</v>
      </c>
      <c r="I198" s="20">
        <f t="shared" si="29"/>
        <v>-43.04412142696745</v>
      </c>
      <c r="J198" s="20">
        <f t="shared" si="30"/>
        <v>-8.4680578976473555</v>
      </c>
      <c r="K198" s="20">
        <f t="shared" si="31"/>
        <v>-43.072861160485459</v>
      </c>
    </row>
    <row r="199" spans="1:11">
      <c r="A199" s="18">
        <v>197</v>
      </c>
      <c r="B199" s="20">
        <v>409</v>
      </c>
      <c r="C199" s="20">
        <v>179</v>
      </c>
      <c r="D199" s="20">
        <f t="shared" si="24"/>
        <v>134.47744428086361</v>
      </c>
      <c r="E199" s="20">
        <f t="shared" si="25"/>
        <v>36.612599885966183</v>
      </c>
      <c r="F199" s="20">
        <f t="shared" si="26"/>
        <v>-27.287318483086008</v>
      </c>
      <c r="G199" s="20">
        <f t="shared" si="27"/>
        <v>85.072964499125192</v>
      </c>
      <c r="H199" s="20">
        <f t="shared" si="28"/>
        <v>-7.0487668988735059</v>
      </c>
      <c r="I199" s="20">
        <f t="shared" si="29"/>
        <v>-42.892552328797805</v>
      </c>
      <c r="J199" s="20">
        <f t="shared" si="30"/>
        <v>-7.4695788240838077</v>
      </c>
      <c r="K199" s="20">
        <f t="shared" si="31"/>
        <v>-42.921292062315814</v>
      </c>
    </row>
    <row r="200" spans="1:11">
      <c r="A200" s="18">
        <v>198</v>
      </c>
      <c r="B200" s="20">
        <v>409</v>
      </c>
      <c r="C200" s="20">
        <v>179</v>
      </c>
      <c r="D200" s="20">
        <f t="shared" si="24"/>
        <v>134.47744428086361</v>
      </c>
      <c r="E200" s="20">
        <f t="shared" si="25"/>
        <v>36.612599885966183</v>
      </c>
      <c r="F200" s="20">
        <f t="shared" si="26"/>
        <v>-27.287318483086008</v>
      </c>
      <c r="G200" s="20">
        <f t="shared" si="27"/>
        <v>85.072964499125192</v>
      </c>
      <c r="H200" s="20">
        <f t="shared" si="28"/>
        <v>-7.0487668988735059</v>
      </c>
      <c r="I200" s="20">
        <f t="shared" si="29"/>
        <v>-42.892552328797805</v>
      </c>
      <c r="J200" s="20">
        <f t="shared" si="30"/>
        <v>-7.4695788240838077</v>
      </c>
      <c r="K200" s="20">
        <f t="shared" si="31"/>
        <v>-42.921292062315814</v>
      </c>
    </row>
    <row r="201" spans="1:11">
      <c r="A201" s="18">
        <v>199</v>
      </c>
      <c r="B201" s="20">
        <v>409</v>
      </c>
      <c r="C201" s="20">
        <v>178</v>
      </c>
      <c r="D201" s="20">
        <f t="shared" si="24"/>
        <v>134.47744428086361</v>
      </c>
      <c r="E201" s="20">
        <f t="shared" si="25"/>
        <v>36.187100562510103</v>
      </c>
      <c r="F201" s="20">
        <f t="shared" si="26"/>
        <v>-26.920697901764875</v>
      </c>
      <c r="G201" s="20">
        <f t="shared" si="27"/>
        <v>85.01409237287649</v>
      </c>
      <c r="H201" s="20">
        <f t="shared" si="28"/>
        <v>-6.6821463175523732</v>
      </c>
      <c r="I201" s="20">
        <f t="shared" si="29"/>
        <v>-42.951424455046507</v>
      </c>
      <c r="J201" s="20">
        <f t="shared" si="30"/>
        <v>-7.102958242762675</v>
      </c>
      <c r="K201" s="20">
        <f t="shared" si="31"/>
        <v>-42.980164188564515</v>
      </c>
    </row>
    <row r="202" spans="1:11">
      <c r="A202" s="18">
        <v>200</v>
      </c>
      <c r="B202" s="20">
        <v>409</v>
      </c>
      <c r="C202" s="20">
        <v>177</v>
      </c>
      <c r="D202" s="20">
        <f t="shared" si="24"/>
        <v>134.47744428086361</v>
      </c>
      <c r="E202" s="20">
        <f t="shared" si="25"/>
        <v>35.761601239054031</v>
      </c>
      <c r="F202" s="20">
        <f t="shared" si="26"/>
        <v>-26.554524631951629</v>
      </c>
      <c r="G202" s="20">
        <f t="shared" si="27"/>
        <v>84.952499237126162</v>
      </c>
      <c r="H202" s="20">
        <f t="shared" si="28"/>
        <v>-6.3159730477391278</v>
      </c>
      <c r="I202" s="20">
        <f t="shared" si="29"/>
        <v>-43.013017590796835</v>
      </c>
      <c r="J202" s="20">
        <f t="shared" si="30"/>
        <v>-6.7367849729494296</v>
      </c>
      <c r="K202" s="20">
        <f t="shared" si="31"/>
        <v>-43.041757324314844</v>
      </c>
    </row>
    <row r="203" spans="1:11">
      <c r="A203" s="18">
        <v>201</v>
      </c>
      <c r="B203" s="20">
        <v>409</v>
      </c>
      <c r="C203" s="20">
        <v>176</v>
      </c>
      <c r="D203" s="20">
        <f t="shared" si="24"/>
        <v>134.47744428086361</v>
      </c>
      <c r="E203" s="20">
        <f t="shared" si="25"/>
        <v>35.336101915597958</v>
      </c>
      <c r="F203" s="20">
        <f t="shared" si="26"/>
        <v>-26.188818868333232</v>
      </c>
      <c r="G203" s="20">
        <f t="shared" si="27"/>
        <v>84.888188488774517</v>
      </c>
      <c r="H203" s="20">
        <f t="shared" si="28"/>
        <v>-5.9502672841207307</v>
      </c>
      <c r="I203" s="20">
        <f t="shared" si="29"/>
        <v>-43.07732833914848</v>
      </c>
      <c r="J203" s="20">
        <f t="shared" si="30"/>
        <v>-6.3710792093310324</v>
      </c>
      <c r="K203" s="20">
        <f t="shared" si="31"/>
        <v>-43.106068072666488</v>
      </c>
    </row>
    <row r="204" spans="1:11">
      <c r="A204" s="18">
        <v>202</v>
      </c>
      <c r="B204" s="20">
        <v>408</v>
      </c>
      <c r="C204" s="20">
        <v>176</v>
      </c>
      <c r="D204" s="20">
        <f t="shared" si="24"/>
        <v>134.05194495740753</v>
      </c>
      <c r="E204" s="20">
        <f t="shared" si="25"/>
        <v>35.336101915597958</v>
      </c>
      <c r="F204" s="20">
        <f t="shared" si="26"/>
        <v>-25.557691897446979</v>
      </c>
      <c r="G204" s="20">
        <f t="shared" si="27"/>
        <v>85.080333588316691</v>
      </c>
      <c r="H204" s="20">
        <f t="shared" si="28"/>
        <v>-5.3191403132344774</v>
      </c>
      <c r="I204" s="20">
        <f t="shared" si="29"/>
        <v>-42.885183239606306</v>
      </c>
      <c r="J204" s="20">
        <f t="shared" si="30"/>
        <v>-5.7399522384447792</v>
      </c>
      <c r="K204" s="20">
        <f t="shared" si="31"/>
        <v>-42.913922973124315</v>
      </c>
    </row>
    <row r="205" spans="1:11">
      <c r="A205" s="18">
        <v>203</v>
      </c>
      <c r="B205" s="20">
        <v>408</v>
      </c>
      <c r="C205" s="20">
        <v>175</v>
      </c>
      <c r="D205" s="20">
        <f t="shared" si="24"/>
        <v>134.05194495740753</v>
      </c>
      <c r="E205" s="20">
        <f t="shared" si="25"/>
        <v>34.910602592141878</v>
      </c>
      <c r="F205" s="20">
        <f t="shared" si="26"/>
        <v>-25.192981626033657</v>
      </c>
      <c r="G205" s="20">
        <f t="shared" si="27"/>
        <v>85.010598404779927</v>
      </c>
      <c r="H205" s="20">
        <f t="shared" si="28"/>
        <v>-4.9544300418211549</v>
      </c>
      <c r="I205" s="20">
        <f t="shared" si="29"/>
        <v>-42.95491842314307</v>
      </c>
      <c r="J205" s="20">
        <f t="shared" si="30"/>
        <v>-5.3752419670314566</v>
      </c>
      <c r="K205" s="20">
        <f t="shared" si="31"/>
        <v>-42.983658156661079</v>
      </c>
    </row>
    <row r="206" spans="1:11">
      <c r="A206" s="18">
        <v>204</v>
      </c>
      <c r="B206" s="20">
        <v>408</v>
      </c>
      <c r="C206" s="20">
        <v>174</v>
      </c>
      <c r="D206" s="20">
        <f t="shared" si="24"/>
        <v>134.05194495740753</v>
      </c>
      <c r="E206" s="20">
        <f t="shared" si="25"/>
        <v>34.485103268685805</v>
      </c>
      <c r="F206" s="20">
        <f t="shared" si="26"/>
        <v>-24.828799285728596</v>
      </c>
      <c r="G206" s="20">
        <f t="shared" si="27"/>
        <v>84.938156697820375</v>
      </c>
      <c r="H206" s="20">
        <f t="shared" si="28"/>
        <v>-4.5902477015160947</v>
      </c>
      <c r="I206" s="20">
        <f t="shared" si="29"/>
        <v>-43.027360130102622</v>
      </c>
      <c r="J206" s="20">
        <f t="shared" si="30"/>
        <v>-5.0110596267263965</v>
      </c>
      <c r="K206" s="20">
        <f t="shared" si="31"/>
        <v>-43.056099863620631</v>
      </c>
    </row>
    <row r="207" spans="1:11">
      <c r="A207" s="18">
        <v>205</v>
      </c>
      <c r="B207" s="20">
        <v>407</v>
      </c>
      <c r="C207" s="20">
        <v>173</v>
      </c>
      <c r="D207" s="20">
        <f t="shared" si="24"/>
        <v>133.62644563395145</v>
      </c>
      <c r="E207" s="20">
        <f t="shared" si="25"/>
        <v>34.059603945229725</v>
      </c>
      <c r="F207" s="20">
        <f t="shared" si="26"/>
        <v>-23.834272485451457</v>
      </c>
      <c r="G207" s="20">
        <f t="shared" si="27"/>
        <v>85.042357892484915</v>
      </c>
      <c r="H207" s="20">
        <f t="shared" si="28"/>
        <v>-3.5957209012389555</v>
      </c>
      <c r="I207" s="20">
        <f t="shared" si="29"/>
        <v>-42.923158935438082</v>
      </c>
      <c r="J207" s="20">
        <f t="shared" si="30"/>
        <v>-4.0165328264492572</v>
      </c>
      <c r="K207" s="20">
        <f t="shared" si="31"/>
        <v>-42.95189866895609</v>
      </c>
    </row>
    <row r="208" spans="1:11">
      <c r="A208" s="18">
        <v>206</v>
      </c>
      <c r="B208" s="20">
        <v>407</v>
      </c>
      <c r="C208" s="20">
        <v>173</v>
      </c>
      <c r="D208" s="20">
        <f t="shared" si="24"/>
        <v>133.62644563395145</v>
      </c>
      <c r="E208" s="20">
        <f t="shared" si="25"/>
        <v>34.059603945229725</v>
      </c>
      <c r="F208" s="20">
        <f t="shared" si="26"/>
        <v>-23.834272485451457</v>
      </c>
      <c r="G208" s="20">
        <f t="shared" si="27"/>
        <v>85.042357892484915</v>
      </c>
      <c r="H208" s="20">
        <f t="shared" si="28"/>
        <v>-3.5957209012389555</v>
      </c>
      <c r="I208" s="20">
        <f t="shared" si="29"/>
        <v>-42.923158935438082</v>
      </c>
      <c r="J208" s="20">
        <f t="shared" si="30"/>
        <v>-4.0165328264492572</v>
      </c>
      <c r="K208" s="20">
        <f t="shared" si="31"/>
        <v>-42.95189866895609</v>
      </c>
    </row>
    <row r="209" spans="1:11">
      <c r="A209" s="18">
        <v>207</v>
      </c>
      <c r="B209" s="20">
        <v>407</v>
      </c>
      <c r="C209" s="20">
        <v>172</v>
      </c>
      <c r="D209" s="20">
        <f t="shared" si="24"/>
        <v>133.62644563395145</v>
      </c>
      <c r="E209" s="20">
        <f t="shared" si="25"/>
        <v>33.634104621773652</v>
      </c>
      <c r="F209" s="20">
        <f t="shared" si="26"/>
        <v>-23.471794325786981</v>
      </c>
      <c r="G209" s="20">
        <f t="shared" si="27"/>
        <v>84.961821182448233</v>
      </c>
      <c r="H209" s="20">
        <f t="shared" si="28"/>
        <v>-3.2332427415744789</v>
      </c>
      <c r="I209" s="20">
        <f t="shared" si="29"/>
        <v>-43.003695645474764</v>
      </c>
      <c r="J209" s="20">
        <f t="shared" si="30"/>
        <v>-3.6540546667847806</v>
      </c>
      <c r="K209" s="20">
        <f t="shared" si="31"/>
        <v>-43.032435378992773</v>
      </c>
    </row>
    <row r="210" spans="1:11">
      <c r="A210" s="18">
        <v>208</v>
      </c>
      <c r="B210" s="20">
        <v>407</v>
      </c>
      <c r="C210" s="20">
        <v>171</v>
      </c>
      <c r="D210" s="20">
        <f t="shared" si="24"/>
        <v>133.62644563395145</v>
      </c>
      <c r="E210" s="20">
        <f t="shared" si="25"/>
        <v>33.208605298317579</v>
      </c>
      <c r="F210" s="20">
        <f t="shared" si="26"/>
        <v>-23.109924251011531</v>
      </c>
      <c r="G210" s="20">
        <f t="shared" si="27"/>
        <v>84.878594823166594</v>
      </c>
      <c r="H210" s="20">
        <f t="shared" si="28"/>
        <v>-2.8713726667990294</v>
      </c>
      <c r="I210" s="20">
        <f t="shared" si="29"/>
        <v>-43.086922004756403</v>
      </c>
      <c r="J210" s="20">
        <f t="shared" si="30"/>
        <v>-3.2921845920093311</v>
      </c>
      <c r="K210" s="20">
        <f t="shared" si="31"/>
        <v>-43.115661738274412</v>
      </c>
    </row>
    <row r="211" spans="1:11">
      <c r="A211" s="18">
        <v>209</v>
      </c>
      <c r="B211" s="20">
        <v>406</v>
      </c>
      <c r="C211" s="20">
        <v>171</v>
      </c>
      <c r="D211" s="20">
        <f t="shared" si="24"/>
        <v>133.20094631049537</v>
      </c>
      <c r="E211" s="20">
        <f t="shared" si="25"/>
        <v>33.208605298317579</v>
      </c>
      <c r="F211" s="20">
        <f t="shared" si="26"/>
        <v>-22.478953427015519</v>
      </c>
      <c r="G211" s="20">
        <f t="shared" si="27"/>
        <v>85.047875404790901</v>
      </c>
      <c r="H211" s="20">
        <f t="shared" si="28"/>
        <v>-2.240401842803017</v>
      </c>
      <c r="I211" s="20">
        <f t="shared" si="29"/>
        <v>-42.917641423132096</v>
      </c>
      <c r="J211" s="20">
        <f t="shared" si="30"/>
        <v>-2.6612137680133188</v>
      </c>
      <c r="K211" s="20">
        <f t="shared" si="31"/>
        <v>-42.946381156650105</v>
      </c>
    </row>
    <row r="212" spans="1:11">
      <c r="A212" s="18">
        <v>210</v>
      </c>
      <c r="B212" s="20">
        <v>406</v>
      </c>
      <c r="C212" s="20">
        <v>170</v>
      </c>
      <c r="D212" s="20">
        <f t="shared" si="24"/>
        <v>133.20094631049537</v>
      </c>
      <c r="E212" s="20">
        <f t="shared" si="25"/>
        <v>32.783105974861499</v>
      </c>
      <c r="F212" s="20">
        <f t="shared" si="26"/>
        <v>-22.118359359470222</v>
      </c>
      <c r="G212" s="20">
        <f t="shared" si="27"/>
        <v>84.959283665060823</v>
      </c>
      <c r="H212" s="20">
        <f t="shared" si="28"/>
        <v>-1.8798077752577207</v>
      </c>
      <c r="I212" s="20">
        <f t="shared" si="29"/>
        <v>-43.006233162862173</v>
      </c>
      <c r="J212" s="20">
        <f t="shared" si="30"/>
        <v>-2.3006197004680224</v>
      </c>
      <c r="K212" s="20">
        <f t="shared" si="31"/>
        <v>-43.034972896380182</v>
      </c>
    </row>
    <row r="213" spans="1:11">
      <c r="A213" s="18">
        <v>211</v>
      </c>
      <c r="B213" s="20">
        <v>406</v>
      </c>
      <c r="C213" s="20">
        <v>170</v>
      </c>
      <c r="D213" s="20">
        <f t="shared" si="24"/>
        <v>133.20094631049537</v>
      </c>
      <c r="E213" s="20">
        <f t="shared" si="25"/>
        <v>32.783105974861499</v>
      </c>
      <c r="F213" s="20">
        <f t="shared" si="26"/>
        <v>-22.118359359470222</v>
      </c>
      <c r="G213" s="20">
        <f t="shared" si="27"/>
        <v>84.959283665060823</v>
      </c>
      <c r="H213" s="20">
        <f t="shared" si="28"/>
        <v>-1.8798077752577207</v>
      </c>
      <c r="I213" s="20">
        <f t="shared" si="29"/>
        <v>-43.006233162862173</v>
      </c>
      <c r="J213" s="20">
        <f t="shared" si="30"/>
        <v>-2.3006197004680224</v>
      </c>
      <c r="K213" s="20">
        <f t="shared" si="31"/>
        <v>-43.034972896380182</v>
      </c>
    </row>
    <row r="214" spans="1:11">
      <c r="A214" s="18">
        <v>212</v>
      </c>
      <c r="B214" s="20">
        <v>405</v>
      </c>
      <c r="C214" s="20">
        <v>169</v>
      </c>
      <c r="D214" s="20">
        <f t="shared" si="24"/>
        <v>132.77544698703929</v>
      </c>
      <c r="E214" s="20">
        <f t="shared" si="25"/>
        <v>32.357606651405426</v>
      </c>
      <c r="F214" s="20">
        <f t="shared" si="26"/>
        <v>-21.127578145523188</v>
      </c>
      <c r="G214" s="20">
        <f t="shared" si="27"/>
        <v>85.027260790491937</v>
      </c>
      <c r="H214" s="20">
        <f t="shared" si="28"/>
        <v>-0.88902656131068625</v>
      </c>
      <c r="I214" s="20">
        <f t="shared" si="29"/>
        <v>-42.93825603743106</v>
      </c>
      <c r="J214" s="20">
        <f t="shared" si="30"/>
        <v>-1.309838486520988</v>
      </c>
      <c r="K214" s="20">
        <f t="shared" si="31"/>
        <v>-42.966995770949069</v>
      </c>
    </row>
    <row r="215" spans="1:11">
      <c r="A215" s="18">
        <v>213</v>
      </c>
      <c r="B215" s="20">
        <v>405</v>
      </c>
      <c r="C215" s="20">
        <v>168</v>
      </c>
      <c r="D215" s="20">
        <f t="shared" si="24"/>
        <v>132.77544698703929</v>
      </c>
      <c r="E215" s="20">
        <f t="shared" si="25"/>
        <v>31.93210732794935</v>
      </c>
      <c r="F215" s="20">
        <f t="shared" si="26"/>
        <v>-20.769047146430161</v>
      </c>
      <c r="G215" s="20">
        <f t="shared" si="27"/>
        <v>84.930657992464972</v>
      </c>
      <c r="H215" s="20">
        <f t="shared" si="28"/>
        <v>-0.53049556221765926</v>
      </c>
      <c r="I215" s="20">
        <f t="shared" si="29"/>
        <v>-43.034858835458024</v>
      </c>
      <c r="J215" s="20">
        <f t="shared" si="30"/>
        <v>-0.95130748742796101</v>
      </c>
      <c r="K215" s="20">
        <f t="shared" si="31"/>
        <v>-43.063598568976033</v>
      </c>
    </row>
    <row r="216" spans="1:11">
      <c r="A216" s="18">
        <v>214</v>
      </c>
      <c r="B216" s="20">
        <v>404</v>
      </c>
      <c r="C216" s="20">
        <v>168</v>
      </c>
      <c r="D216" s="20">
        <f t="shared" si="24"/>
        <v>132.34994766358321</v>
      </c>
      <c r="E216" s="20">
        <f t="shared" si="25"/>
        <v>31.93210732794935</v>
      </c>
      <c r="F216" s="20">
        <f t="shared" si="26"/>
        <v>-20.137754236358465</v>
      </c>
      <c r="G216" s="20">
        <f t="shared" si="27"/>
        <v>85.082553092392089</v>
      </c>
      <c r="H216" s="20">
        <f t="shared" si="28"/>
        <v>0.10079734785403716</v>
      </c>
      <c r="I216" s="20">
        <f t="shared" si="29"/>
        <v>-42.882963735530907</v>
      </c>
      <c r="J216" s="20">
        <f t="shared" si="30"/>
        <v>-0.3200145773562646</v>
      </c>
      <c r="K216" s="20">
        <f t="shared" si="31"/>
        <v>-42.911703469048916</v>
      </c>
    </row>
    <row r="217" spans="1:11">
      <c r="A217" s="18">
        <v>215</v>
      </c>
      <c r="B217" s="20">
        <v>404</v>
      </c>
      <c r="C217" s="20">
        <v>167</v>
      </c>
      <c r="D217" s="20">
        <f t="shared" si="24"/>
        <v>132.34994766358321</v>
      </c>
      <c r="E217" s="20">
        <f t="shared" si="25"/>
        <v>31.506608004493273</v>
      </c>
      <c r="F217" s="20">
        <f t="shared" si="26"/>
        <v>-19.780697545502235</v>
      </c>
      <c r="G217" s="20">
        <f t="shared" si="27"/>
        <v>84.980635981894949</v>
      </c>
      <c r="H217" s="20">
        <f t="shared" si="28"/>
        <v>0.45785403871026631</v>
      </c>
      <c r="I217" s="20">
        <f t="shared" si="29"/>
        <v>-42.984880846028048</v>
      </c>
      <c r="J217" s="20">
        <f t="shared" si="30"/>
        <v>3.7042113499964557E-2</v>
      </c>
      <c r="K217" s="20">
        <f t="shared" si="31"/>
        <v>-43.013620579546057</v>
      </c>
    </row>
    <row r="218" spans="1:11">
      <c r="A218" s="18">
        <v>216</v>
      </c>
      <c r="B218" s="20">
        <v>404</v>
      </c>
      <c r="C218" s="20">
        <v>167</v>
      </c>
      <c r="D218" s="20">
        <f t="shared" si="24"/>
        <v>132.34994766358321</v>
      </c>
      <c r="E218" s="20">
        <f t="shared" si="25"/>
        <v>31.506608004493273</v>
      </c>
      <c r="F218" s="20">
        <f t="shared" si="26"/>
        <v>-19.780697545502235</v>
      </c>
      <c r="G218" s="20">
        <f t="shared" si="27"/>
        <v>84.980635981894949</v>
      </c>
      <c r="H218" s="20">
        <f t="shared" si="28"/>
        <v>0.45785403871026631</v>
      </c>
      <c r="I218" s="20">
        <f t="shared" si="29"/>
        <v>-42.984880846028048</v>
      </c>
      <c r="J218" s="20">
        <f t="shared" si="30"/>
        <v>3.7042113499964557E-2</v>
      </c>
      <c r="K218" s="20">
        <f t="shared" si="31"/>
        <v>-43.013620579546057</v>
      </c>
    </row>
    <row r="219" spans="1:11">
      <c r="A219" s="18">
        <v>217</v>
      </c>
      <c r="B219" s="20">
        <v>403</v>
      </c>
      <c r="C219" s="20">
        <v>166</v>
      </c>
      <c r="D219" s="20">
        <f t="shared" si="24"/>
        <v>131.92444834012713</v>
      </c>
      <c r="E219" s="20">
        <f t="shared" si="25"/>
        <v>31.081108681037197</v>
      </c>
      <c r="F219" s="20">
        <f t="shared" si="26"/>
        <v>-18.793557122046849</v>
      </c>
      <c r="G219" s="20">
        <f t="shared" si="27"/>
        <v>85.017980986970855</v>
      </c>
      <c r="H219" s="20">
        <f t="shared" si="28"/>
        <v>1.4449944621656527</v>
      </c>
      <c r="I219" s="20">
        <f t="shared" si="29"/>
        <v>-42.947535840952142</v>
      </c>
      <c r="J219" s="20">
        <f t="shared" si="30"/>
        <v>1.024182536955351</v>
      </c>
      <c r="K219" s="20">
        <f t="shared" si="31"/>
        <v>-42.976275574470151</v>
      </c>
    </row>
    <row r="220" spans="1:11">
      <c r="A220" s="18">
        <v>218</v>
      </c>
      <c r="B220" s="20">
        <v>403</v>
      </c>
      <c r="C220" s="20">
        <v>166</v>
      </c>
      <c r="D220" s="20">
        <f t="shared" si="24"/>
        <v>131.92444834012713</v>
      </c>
      <c r="E220" s="20">
        <f t="shared" si="25"/>
        <v>31.081108681037197</v>
      </c>
      <c r="F220" s="20">
        <f t="shared" si="26"/>
        <v>-18.793557122046849</v>
      </c>
      <c r="G220" s="20">
        <f t="shared" si="27"/>
        <v>85.017980986970855</v>
      </c>
      <c r="H220" s="20">
        <f t="shared" si="28"/>
        <v>1.4449944621656527</v>
      </c>
      <c r="I220" s="20">
        <f t="shared" si="29"/>
        <v>-42.947535840952142</v>
      </c>
      <c r="J220" s="20">
        <f t="shared" si="30"/>
        <v>1.024182536955351</v>
      </c>
      <c r="K220" s="20">
        <f t="shared" si="31"/>
        <v>-42.976275574470151</v>
      </c>
    </row>
    <row r="221" spans="1:11">
      <c r="A221" s="18">
        <v>219</v>
      </c>
      <c r="B221" s="20">
        <v>403</v>
      </c>
      <c r="C221" s="20">
        <v>165</v>
      </c>
      <c r="D221" s="20">
        <f t="shared" si="24"/>
        <v>131.92444834012713</v>
      </c>
      <c r="E221" s="20">
        <f t="shared" si="25"/>
        <v>30.65560935758112</v>
      </c>
      <c r="F221" s="20">
        <f t="shared" si="26"/>
        <v>-18.43885947438536</v>
      </c>
      <c r="G221" s="20">
        <f t="shared" si="27"/>
        <v>84.908134928139901</v>
      </c>
      <c r="H221" s="20">
        <f t="shared" si="28"/>
        <v>1.7996921098271415</v>
      </c>
      <c r="I221" s="20">
        <f t="shared" si="29"/>
        <v>-43.057381899783095</v>
      </c>
      <c r="J221" s="20">
        <f t="shared" si="30"/>
        <v>1.3788801846168397</v>
      </c>
      <c r="K221" s="20">
        <f t="shared" si="31"/>
        <v>-43.086121633301104</v>
      </c>
    </row>
    <row r="222" spans="1:11">
      <c r="A222" s="18">
        <v>220</v>
      </c>
      <c r="B222" s="20">
        <v>402</v>
      </c>
      <c r="C222" s="20">
        <v>165</v>
      </c>
      <c r="D222" s="20">
        <f t="shared" si="24"/>
        <v>131.49894901667108</v>
      </c>
      <c r="E222" s="20">
        <f t="shared" si="25"/>
        <v>30.65560935758112</v>
      </c>
      <c r="F222" s="20">
        <f t="shared" si="26"/>
        <v>-17.807798082914328</v>
      </c>
      <c r="G222" s="20">
        <f t="shared" si="27"/>
        <v>85.042725985997748</v>
      </c>
      <c r="H222" s="20">
        <f t="shared" si="28"/>
        <v>2.4307535012981738</v>
      </c>
      <c r="I222" s="20">
        <f t="shared" si="29"/>
        <v>-42.922790841925249</v>
      </c>
      <c r="J222" s="20">
        <f t="shared" si="30"/>
        <v>2.0099415760878721</v>
      </c>
      <c r="K222" s="20">
        <f t="shared" si="31"/>
        <v>-42.951530575443257</v>
      </c>
    </row>
    <row r="223" spans="1:11">
      <c r="A223" s="18">
        <v>221</v>
      </c>
      <c r="B223" s="20">
        <v>402</v>
      </c>
      <c r="C223" s="20">
        <v>164</v>
      </c>
      <c r="D223" s="20">
        <f t="shared" si="24"/>
        <v>131.49894901667108</v>
      </c>
      <c r="E223" s="20">
        <f t="shared" si="25"/>
        <v>30.230110034125047</v>
      </c>
      <c r="F223" s="20">
        <f t="shared" si="26"/>
        <v>-17.454771011994794</v>
      </c>
      <c r="G223" s="20">
        <f t="shared" si="27"/>
        <v>84.92762400905886</v>
      </c>
      <c r="H223" s="20">
        <f t="shared" si="28"/>
        <v>2.783780572217708</v>
      </c>
      <c r="I223" s="20">
        <f t="shared" si="29"/>
        <v>-43.037892818864137</v>
      </c>
      <c r="J223" s="20">
        <f t="shared" si="30"/>
        <v>2.3629686470074063</v>
      </c>
      <c r="K223" s="20">
        <f t="shared" si="31"/>
        <v>-43.066632552382146</v>
      </c>
    </row>
    <row r="224" spans="1:11">
      <c r="A224" s="18">
        <v>222</v>
      </c>
      <c r="B224" s="20">
        <v>401</v>
      </c>
      <c r="C224" s="20">
        <v>164</v>
      </c>
      <c r="D224" s="20">
        <f t="shared" si="24"/>
        <v>131.073449693215</v>
      </c>
      <c r="E224" s="20">
        <f t="shared" si="25"/>
        <v>30.230110034125047</v>
      </c>
      <c r="F224" s="20">
        <f t="shared" si="26"/>
        <v>-16.823592025391935</v>
      </c>
      <c r="G224" s="20">
        <f t="shared" si="27"/>
        <v>85.054906397387839</v>
      </c>
      <c r="H224" s="20">
        <f t="shared" si="28"/>
        <v>3.4149595588205663</v>
      </c>
      <c r="I224" s="20">
        <f t="shared" si="29"/>
        <v>-42.910610430535158</v>
      </c>
      <c r="J224" s="20">
        <f t="shared" si="30"/>
        <v>2.9941476336102646</v>
      </c>
      <c r="K224" s="20">
        <f t="shared" si="31"/>
        <v>-42.939350164053167</v>
      </c>
    </row>
    <row r="225" spans="1:11">
      <c r="A225" s="18">
        <v>223</v>
      </c>
      <c r="B225" s="20">
        <v>401</v>
      </c>
      <c r="C225" s="20">
        <v>163</v>
      </c>
      <c r="D225" s="20">
        <f t="shared" si="24"/>
        <v>131.073449693215</v>
      </c>
      <c r="E225" s="20">
        <f t="shared" si="25"/>
        <v>29.804610710668971</v>
      </c>
      <c r="F225" s="20">
        <f t="shared" si="26"/>
        <v>-16.472313408803672</v>
      </c>
      <c r="G225" s="20">
        <f t="shared" si="27"/>
        <v>84.934573893777639</v>
      </c>
      <c r="H225" s="20">
        <f t="shared" si="28"/>
        <v>3.7662381754088301</v>
      </c>
      <c r="I225" s="20">
        <f t="shared" si="29"/>
        <v>-43.030942934145358</v>
      </c>
      <c r="J225" s="20">
        <f t="shared" si="30"/>
        <v>3.3454262501985284</v>
      </c>
      <c r="K225" s="20">
        <f t="shared" si="31"/>
        <v>-43.059682667663367</v>
      </c>
    </row>
    <row r="226" spans="1:11">
      <c r="A226" s="18">
        <v>224</v>
      </c>
      <c r="B226" s="20">
        <v>400</v>
      </c>
      <c r="C226" s="20">
        <v>163</v>
      </c>
      <c r="D226" s="20">
        <f t="shared" si="24"/>
        <v>130.64795036975892</v>
      </c>
      <c r="E226" s="20">
        <f t="shared" si="25"/>
        <v>29.804610710668971</v>
      </c>
      <c r="F226" s="20">
        <f t="shared" si="26"/>
        <v>-15.841109901878912</v>
      </c>
      <c r="G226" s="20">
        <f t="shared" si="27"/>
        <v>85.054560069593109</v>
      </c>
      <c r="H226" s="20">
        <f t="shared" si="28"/>
        <v>4.3974416823335893</v>
      </c>
      <c r="I226" s="20">
        <f t="shared" si="29"/>
        <v>-42.910956758329888</v>
      </c>
      <c r="J226" s="20">
        <f t="shared" si="30"/>
        <v>3.9766297571232876</v>
      </c>
      <c r="K226" s="20">
        <f t="shared" si="31"/>
        <v>-42.939696491847897</v>
      </c>
    </row>
    <row r="227" spans="1:11">
      <c r="A227" s="18">
        <v>225</v>
      </c>
      <c r="B227" s="20">
        <v>400</v>
      </c>
      <c r="C227" s="20">
        <v>163</v>
      </c>
      <c r="D227" s="20">
        <f t="shared" si="24"/>
        <v>130.64795036975892</v>
      </c>
      <c r="E227" s="20">
        <f t="shared" si="25"/>
        <v>29.804610710668971</v>
      </c>
      <c r="F227" s="20">
        <f t="shared" si="26"/>
        <v>-15.841109901878912</v>
      </c>
      <c r="G227" s="20">
        <f t="shared" si="27"/>
        <v>85.054560069593109</v>
      </c>
      <c r="H227" s="20">
        <f t="shared" si="28"/>
        <v>4.3974416823335893</v>
      </c>
      <c r="I227" s="20">
        <f t="shared" si="29"/>
        <v>-42.910956758329888</v>
      </c>
      <c r="J227" s="20">
        <f t="shared" si="30"/>
        <v>3.9766297571232876</v>
      </c>
      <c r="K227" s="20">
        <f t="shared" si="31"/>
        <v>-42.939696491847897</v>
      </c>
    </row>
    <row r="228" spans="1:11">
      <c r="A228" s="18">
        <v>226</v>
      </c>
      <c r="B228" s="20">
        <v>400</v>
      </c>
      <c r="C228" s="20">
        <v>162</v>
      </c>
      <c r="D228" s="20">
        <f t="shared" si="24"/>
        <v>130.64795036975892</v>
      </c>
      <c r="E228" s="20">
        <f t="shared" si="25"/>
        <v>29.379111387212895</v>
      </c>
      <c r="F228" s="20">
        <f t="shared" si="26"/>
        <v>-15.491657231503119</v>
      </c>
      <c r="G228" s="20">
        <f t="shared" si="27"/>
        <v>84.929023584599662</v>
      </c>
      <c r="H228" s="20">
        <f t="shared" si="28"/>
        <v>4.7468943527093828</v>
      </c>
      <c r="I228" s="20">
        <f t="shared" si="29"/>
        <v>-43.036493243323335</v>
      </c>
      <c r="J228" s="20">
        <f t="shared" si="30"/>
        <v>4.326082427499081</v>
      </c>
      <c r="K228" s="20">
        <f t="shared" si="31"/>
        <v>-43.065232976841344</v>
      </c>
    </row>
    <row r="229" spans="1:11">
      <c r="A229" s="18">
        <v>227</v>
      </c>
      <c r="B229" s="20">
        <v>399</v>
      </c>
      <c r="C229" s="20">
        <v>162</v>
      </c>
      <c r="D229" s="20">
        <f t="shared" si="24"/>
        <v>130.22245104630284</v>
      </c>
      <c r="E229" s="20">
        <f t="shared" si="25"/>
        <v>29.379111387212895</v>
      </c>
      <c r="F229" s="20">
        <f t="shared" si="26"/>
        <v>-14.860521984720183</v>
      </c>
      <c r="G229" s="20">
        <f t="shared" si="27"/>
        <v>85.04172727052007</v>
      </c>
      <c r="H229" s="20">
        <f t="shared" si="28"/>
        <v>5.3780295994923186</v>
      </c>
      <c r="I229" s="20">
        <f t="shared" si="29"/>
        <v>-42.923789557402927</v>
      </c>
      <c r="J229" s="20">
        <f t="shared" si="30"/>
        <v>4.9572176742820169</v>
      </c>
      <c r="K229" s="20">
        <f t="shared" si="31"/>
        <v>-42.952529290920936</v>
      </c>
    </row>
    <row r="230" spans="1:11">
      <c r="A230" s="18">
        <v>228</v>
      </c>
      <c r="B230" s="20">
        <v>399</v>
      </c>
      <c r="C230" s="20">
        <v>161</v>
      </c>
      <c r="D230" s="20">
        <f t="shared" si="24"/>
        <v>130.22245104630284</v>
      </c>
      <c r="E230" s="20">
        <f t="shared" si="25"/>
        <v>28.953612063756818</v>
      </c>
      <c r="F230" s="20">
        <f t="shared" si="26"/>
        <v>-14.512972349635319</v>
      </c>
      <c r="G230" s="20">
        <f t="shared" si="27"/>
        <v>84.91101449742709</v>
      </c>
      <c r="H230" s="20">
        <f t="shared" si="28"/>
        <v>5.7255792345771823</v>
      </c>
      <c r="I230" s="20">
        <f t="shared" si="29"/>
        <v>-43.054502330495907</v>
      </c>
      <c r="J230" s="20">
        <f t="shared" si="30"/>
        <v>5.3047673093668806</v>
      </c>
      <c r="K230" s="20">
        <f t="shared" si="31"/>
        <v>-43.083242064013916</v>
      </c>
    </row>
    <row r="231" spans="1:11">
      <c r="A231" s="18">
        <v>229</v>
      </c>
      <c r="B231" s="20">
        <v>398</v>
      </c>
      <c r="C231" s="20">
        <v>161</v>
      </c>
      <c r="D231" s="20">
        <f t="shared" si="24"/>
        <v>129.79695172284676</v>
      </c>
      <c r="E231" s="20">
        <f t="shared" si="25"/>
        <v>28.953612063756818</v>
      </c>
      <c r="F231" s="20">
        <f t="shared" si="26"/>
        <v>-13.881997831207062</v>
      </c>
      <c r="G231" s="20">
        <f t="shared" si="27"/>
        <v>85.016450676430338</v>
      </c>
      <c r="H231" s="20">
        <f t="shared" si="28"/>
        <v>6.3565537530054392</v>
      </c>
      <c r="I231" s="20">
        <f t="shared" si="29"/>
        <v>-42.949066151492659</v>
      </c>
      <c r="J231" s="20">
        <f t="shared" si="30"/>
        <v>5.9357418277951375</v>
      </c>
      <c r="K231" s="20">
        <f t="shared" si="31"/>
        <v>-42.977805885010667</v>
      </c>
    </row>
    <row r="232" spans="1:11">
      <c r="A232" s="18">
        <v>230</v>
      </c>
      <c r="B232" s="20">
        <v>398</v>
      </c>
      <c r="C232" s="20">
        <v>161</v>
      </c>
      <c r="D232" s="20">
        <f t="shared" si="24"/>
        <v>129.79695172284676</v>
      </c>
      <c r="E232" s="20">
        <f t="shared" si="25"/>
        <v>28.953612063756818</v>
      </c>
      <c r="F232" s="20">
        <f t="shared" si="26"/>
        <v>-13.881997831207062</v>
      </c>
      <c r="G232" s="20">
        <f t="shared" si="27"/>
        <v>85.016450676430338</v>
      </c>
      <c r="H232" s="20">
        <f t="shared" si="28"/>
        <v>6.3565537530054392</v>
      </c>
      <c r="I232" s="20">
        <f t="shared" si="29"/>
        <v>-42.949066151492659</v>
      </c>
      <c r="J232" s="20">
        <f t="shared" si="30"/>
        <v>5.9357418277951375</v>
      </c>
      <c r="K232" s="20">
        <f t="shared" si="31"/>
        <v>-42.977805885010667</v>
      </c>
    </row>
    <row r="233" spans="1:11">
      <c r="A233" s="18">
        <v>231</v>
      </c>
      <c r="B233" s="20">
        <v>397</v>
      </c>
      <c r="C233" s="20">
        <v>160</v>
      </c>
      <c r="D233" s="20">
        <f t="shared" si="24"/>
        <v>129.37145239939068</v>
      </c>
      <c r="E233" s="20">
        <f t="shared" si="25"/>
        <v>28.528112740300742</v>
      </c>
      <c r="F233" s="20">
        <f t="shared" si="26"/>
        <v>-12.905706248751624</v>
      </c>
      <c r="G233" s="20">
        <f t="shared" si="27"/>
        <v>84.978775360328711</v>
      </c>
      <c r="H233" s="20">
        <f t="shared" si="28"/>
        <v>7.3328453354608776</v>
      </c>
      <c r="I233" s="20">
        <f t="shared" si="29"/>
        <v>-42.986741467594285</v>
      </c>
      <c r="J233" s="20">
        <f t="shared" si="30"/>
        <v>6.9120334102505758</v>
      </c>
      <c r="K233" s="20">
        <f t="shared" si="31"/>
        <v>-43.015481201112294</v>
      </c>
    </row>
    <row r="234" spans="1:11">
      <c r="A234" s="18">
        <v>232</v>
      </c>
      <c r="B234" s="20">
        <v>397</v>
      </c>
      <c r="C234" s="20">
        <v>160</v>
      </c>
      <c r="D234" s="20">
        <f t="shared" si="24"/>
        <v>129.37145239939068</v>
      </c>
      <c r="E234" s="20">
        <f t="shared" si="25"/>
        <v>28.528112740300742</v>
      </c>
      <c r="F234" s="20">
        <f t="shared" si="26"/>
        <v>-12.905706248751624</v>
      </c>
      <c r="G234" s="20">
        <f t="shared" si="27"/>
        <v>84.978775360328711</v>
      </c>
      <c r="H234" s="20">
        <f t="shared" si="28"/>
        <v>7.3328453354608776</v>
      </c>
      <c r="I234" s="20">
        <f t="shared" si="29"/>
        <v>-42.986741467594285</v>
      </c>
      <c r="J234" s="20">
        <f t="shared" si="30"/>
        <v>6.9120334102505758</v>
      </c>
      <c r="K234" s="20">
        <f t="shared" si="31"/>
        <v>-43.015481201112294</v>
      </c>
    </row>
    <row r="235" spans="1:11">
      <c r="A235" s="18">
        <v>233</v>
      </c>
      <c r="B235" s="20">
        <v>396</v>
      </c>
      <c r="C235" s="20">
        <v>160</v>
      </c>
      <c r="D235" s="20">
        <f t="shared" si="24"/>
        <v>128.94595307593463</v>
      </c>
      <c r="E235" s="20">
        <f t="shared" si="25"/>
        <v>28.528112740300742</v>
      </c>
      <c r="F235" s="20">
        <f t="shared" si="26"/>
        <v>-12.274272838975151</v>
      </c>
      <c r="G235" s="20">
        <f t="shared" si="27"/>
        <v>85.072273637153231</v>
      </c>
      <c r="H235" s="20">
        <f t="shared" si="28"/>
        <v>7.9642787452373511</v>
      </c>
      <c r="I235" s="20">
        <f t="shared" si="29"/>
        <v>-42.893243190769766</v>
      </c>
      <c r="J235" s="20">
        <f t="shared" si="30"/>
        <v>7.5434668200270494</v>
      </c>
      <c r="K235" s="20">
        <f t="shared" si="31"/>
        <v>-42.921982924287775</v>
      </c>
    </row>
    <row r="236" spans="1:11">
      <c r="A236" s="18">
        <v>234</v>
      </c>
      <c r="B236" s="20">
        <v>396</v>
      </c>
      <c r="C236" s="20">
        <v>159</v>
      </c>
      <c r="D236" s="20">
        <f t="shared" si="24"/>
        <v>128.94595307593463</v>
      </c>
      <c r="E236" s="20">
        <f t="shared" si="25"/>
        <v>28.102613416844669</v>
      </c>
      <c r="F236" s="20">
        <f t="shared" si="26"/>
        <v>-11.931815260243095</v>
      </c>
      <c r="G236" s="20">
        <f t="shared" si="27"/>
        <v>84.928748779841811</v>
      </c>
      <c r="H236" s="20">
        <f t="shared" si="28"/>
        <v>8.3067363239694068</v>
      </c>
      <c r="I236" s="20">
        <f t="shared" si="29"/>
        <v>-43.036768048081186</v>
      </c>
      <c r="J236" s="20">
        <f t="shared" si="30"/>
        <v>7.885924398759105</v>
      </c>
      <c r="K236" s="20">
        <f t="shared" si="31"/>
        <v>-43.065507781599194</v>
      </c>
    </row>
    <row r="237" spans="1:11">
      <c r="A237" s="18">
        <v>235</v>
      </c>
      <c r="B237" s="20">
        <v>395</v>
      </c>
      <c r="C237" s="20">
        <v>159</v>
      </c>
      <c r="D237" s="20">
        <f t="shared" si="24"/>
        <v>128.52045375247855</v>
      </c>
      <c r="E237" s="20">
        <f t="shared" si="25"/>
        <v>28.102613416844669</v>
      </c>
      <c r="F237" s="20">
        <f t="shared" si="26"/>
        <v>-11.300780218007407</v>
      </c>
      <c r="G237" s="20">
        <f t="shared" si="27"/>
        <v>85.015016033512239</v>
      </c>
      <c r="H237" s="20">
        <f t="shared" si="28"/>
        <v>8.9377713662050944</v>
      </c>
      <c r="I237" s="20">
        <f t="shared" si="29"/>
        <v>-42.950500794410758</v>
      </c>
      <c r="J237" s="20">
        <f t="shared" si="30"/>
        <v>8.5169594409947926</v>
      </c>
      <c r="K237" s="20">
        <f t="shared" si="31"/>
        <v>-42.979240527928766</v>
      </c>
    </row>
    <row r="238" spans="1:11">
      <c r="A238" s="18">
        <v>236</v>
      </c>
      <c r="B238" s="20">
        <v>395</v>
      </c>
      <c r="C238" s="20">
        <v>159</v>
      </c>
      <c r="D238" s="20">
        <f t="shared" si="24"/>
        <v>128.52045375247855</v>
      </c>
      <c r="E238" s="20">
        <f t="shared" si="25"/>
        <v>28.102613416844669</v>
      </c>
      <c r="F238" s="20">
        <f t="shared" si="26"/>
        <v>-11.300780218007407</v>
      </c>
      <c r="G238" s="20">
        <f t="shared" si="27"/>
        <v>85.015016033512239</v>
      </c>
      <c r="H238" s="20">
        <f t="shared" si="28"/>
        <v>8.9377713662050944</v>
      </c>
      <c r="I238" s="20">
        <f t="shared" si="29"/>
        <v>-42.950500794410758</v>
      </c>
      <c r="J238" s="20">
        <f t="shared" si="30"/>
        <v>8.5169594409947926</v>
      </c>
      <c r="K238" s="20">
        <f t="shared" si="31"/>
        <v>-42.979240527928766</v>
      </c>
    </row>
    <row r="239" spans="1:11">
      <c r="A239" s="18">
        <v>237</v>
      </c>
      <c r="B239" s="20">
        <v>394</v>
      </c>
      <c r="C239" s="20">
        <v>158</v>
      </c>
      <c r="D239" s="20">
        <f t="shared" si="24"/>
        <v>128.09495442902247</v>
      </c>
      <c r="E239" s="20">
        <f t="shared" si="25"/>
        <v>27.677114093388592</v>
      </c>
      <c r="F239" s="20">
        <f t="shared" si="26"/>
        <v>-10.32994667818496</v>
      </c>
      <c r="G239" s="20">
        <f t="shared" si="27"/>
        <v>84.945476403548923</v>
      </c>
      <c r="H239" s="20">
        <f t="shared" si="28"/>
        <v>9.9086049060275414</v>
      </c>
      <c r="I239" s="20">
        <f t="shared" si="29"/>
        <v>-43.020040424374073</v>
      </c>
      <c r="J239" s="20">
        <f t="shared" si="30"/>
        <v>9.4877929808172397</v>
      </c>
      <c r="K239" s="20">
        <f t="shared" si="31"/>
        <v>-43.048780157892082</v>
      </c>
    </row>
    <row r="240" spans="1:11">
      <c r="A240" s="18">
        <v>238</v>
      </c>
      <c r="B240" s="20">
        <v>394</v>
      </c>
      <c r="C240" s="20">
        <v>158</v>
      </c>
      <c r="D240" s="20">
        <f t="shared" si="24"/>
        <v>128.09495442902247</v>
      </c>
      <c r="E240" s="20">
        <f t="shared" si="25"/>
        <v>27.677114093388592</v>
      </c>
      <c r="F240" s="20">
        <f t="shared" si="26"/>
        <v>-10.32994667818496</v>
      </c>
      <c r="G240" s="20">
        <f t="shared" si="27"/>
        <v>84.945476403548923</v>
      </c>
      <c r="H240" s="20">
        <f t="shared" si="28"/>
        <v>9.9086049060275414</v>
      </c>
      <c r="I240" s="20">
        <f t="shared" si="29"/>
        <v>-43.020040424374073</v>
      </c>
      <c r="J240" s="20">
        <f t="shared" si="30"/>
        <v>9.4877929808172397</v>
      </c>
      <c r="K240" s="20">
        <f t="shared" si="31"/>
        <v>-43.048780157892082</v>
      </c>
    </row>
    <row r="241" spans="1:11">
      <c r="A241" s="18">
        <v>239</v>
      </c>
      <c r="B241" s="20">
        <v>393</v>
      </c>
      <c r="C241" s="20">
        <v>158</v>
      </c>
      <c r="D241" s="20">
        <f t="shared" si="24"/>
        <v>127.66945510556639</v>
      </c>
      <c r="E241" s="20">
        <f t="shared" si="25"/>
        <v>27.677114093388592</v>
      </c>
      <c r="F241" s="20">
        <f t="shared" si="26"/>
        <v>-9.6988315836976007</v>
      </c>
      <c r="G241" s="20">
        <f t="shared" si="27"/>
        <v>85.019847245870196</v>
      </c>
      <c r="H241" s="20">
        <f t="shared" si="28"/>
        <v>10.539720000514901</v>
      </c>
      <c r="I241" s="20">
        <f t="shared" si="29"/>
        <v>-42.945669582052801</v>
      </c>
      <c r="J241" s="20">
        <f t="shared" si="30"/>
        <v>10.118908075304599</v>
      </c>
      <c r="K241" s="20">
        <f t="shared" si="31"/>
        <v>-42.97440931557081</v>
      </c>
    </row>
    <row r="242" spans="1:11">
      <c r="A242" s="18">
        <v>240</v>
      </c>
      <c r="B242" s="20">
        <v>392</v>
      </c>
      <c r="C242" s="20">
        <v>158</v>
      </c>
      <c r="D242" s="20">
        <f t="shared" si="24"/>
        <v>127.24395578211031</v>
      </c>
      <c r="E242" s="20">
        <f t="shared" si="25"/>
        <v>27.677114093388592</v>
      </c>
      <c r="F242" s="20">
        <f t="shared" si="26"/>
        <v>-9.0671815925269179</v>
      </c>
      <c r="G242" s="20">
        <f t="shared" si="27"/>
        <v>85.089529189954817</v>
      </c>
      <c r="H242" s="20">
        <f t="shared" si="28"/>
        <v>11.171369991685584</v>
      </c>
      <c r="I242" s="20">
        <f t="shared" si="29"/>
        <v>-42.87598763796818</v>
      </c>
      <c r="J242" s="20">
        <f t="shared" si="30"/>
        <v>10.750558066475282</v>
      </c>
      <c r="K242" s="20">
        <f t="shared" si="31"/>
        <v>-42.904727371486189</v>
      </c>
    </row>
    <row r="243" spans="1:11">
      <c r="A243" s="18">
        <v>241</v>
      </c>
      <c r="B243" s="20">
        <v>392</v>
      </c>
      <c r="C243" s="20">
        <v>157</v>
      </c>
      <c r="D243" s="20">
        <f t="shared" si="24"/>
        <v>127.24395578211031</v>
      </c>
      <c r="E243" s="20">
        <f t="shared" si="25"/>
        <v>27.251614769932516</v>
      </c>
      <c r="F243" s="20">
        <f t="shared" si="26"/>
        <v>-8.7314570117821759</v>
      </c>
      <c r="G243" s="20">
        <f t="shared" si="27"/>
        <v>84.930892549228091</v>
      </c>
      <c r="H243" s="20">
        <f t="shared" si="28"/>
        <v>11.507094572430326</v>
      </c>
      <c r="I243" s="20">
        <f t="shared" si="29"/>
        <v>-43.034624278694906</v>
      </c>
      <c r="J243" s="20">
        <f t="shared" si="30"/>
        <v>11.086282647220024</v>
      </c>
      <c r="K243" s="20">
        <f t="shared" si="31"/>
        <v>-43.063364012212915</v>
      </c>
    </row>
    <row r="244" spans="1:11">
      <c r="A244" s="18">
        <v>242</v>
      </c>
      <c r="B244" s="20">
        <v>391</v>
      </c>
      <c r="C244" s="20">
        <v>157</v>
      </c>
      <c r="D244" s="20">
        <f t="shared" si="24"/>
        <v>126.81845645865424</v>
      </c>
      <c r="E244" s="20">
        <f t="shared" si="25"/>
        <v>27.251614769932516</v>
      </c>
      <c r="F244" s="20">
        <f t="shared" si="26"/>
        <v>-8.1004943001693626</v>
      </c>
      <c r="G244" s="20">
        <f t="shared" si="27"/>
        <v>84.993392936451556</v>
      </c>
      <c r="H244" s="20">
        <f t="shared" si="28"/>
        <v>12.138057284043139</v>
      </c>
      <c r="I244" s="20">
        <f t="shared" si="29"/>
        <v>-42.972123891471441</v>
      </c>
      <c r="J244" s="20">
        <f t="shared" si="30"/>
        <v>11.717245358832837</v>
      </c>
      <c r="K244" s="20">
        <f t="shared" si="31"/>
        <v>-43.000863624989449</v>
      </c>
    </row>
    <row r="245" spans="1:11">
      <c r="A245" s="18">
        <v>243</v>
      </c>
      <c r="B245" s="20">
        <v>391</v>
      </c>
      <c r="C245" s="20">
        <v>157</v>
      </c>
      <c r="D245" s="20">
        <f t="shared" si="24"/>
        <v>126.81845645865424</v>
      </c>
      <c r="E245" s="20">
        <f t="shared" si="25"/>
        <v>27.251614769932516</v>
      </c>
      <c r="F245" s="20">
        <f t="shared" si="26"/>
        <v>-8.1004943001693626</v>
      </c>
      <c r="G245" s="20">
        <f t="shared" si="27"/>
        <v>84.993392936451556</v>
      </c>
      <c r="H245" s="20">
        <f t="shared" si="28"/>
        <v>12.138057284043139</v>
      </c>
      <c r="I245" s="20">
        <f t="shared" si="29"/>
        <v>-42.972123891471441</v>
      </c>
      <c r="J245" s="20">
        <f t="shared" si="30"/>
        <v>11.717245358832837</v>
      </c>
      <c r="K245" s="20">
        <f t="shared" si="31"/>
        <v>-43.000863624989449</v>
      </c>
    </row>
    <row r="246" spans="1:11">
      <c r="A246" s="18">
        <v>244</v>
      </c>
      <c r="B246" s="20">
        <v>390</v>
      </c>
      <c r="C246" s="20">
        <v>157</v>
      </c>
      <c r="D246" s="20">
        <f t="shared" si="24"/>
        <v>126.39295713519816</v>
      </c>
      <c r="E246" s="20">
        <f t="shared" si="25"/>
        <v>27.251614769932516</v>
      </c>
      <c r="F246" s="20">
        <f t="shared" si="26"/>
        <v>-7.4690848411831858</v>
      </c>
      <c r="G246" s="20">
        <f t="shared" si="27"/>
        <v>85.051205884410237</v>
      </c>
      <c r="H246" s="20">
        <f t="shared" si="28"/>
        <v>12.769466743029316</v>
      </c>
      <c r="I246" s="20">
        <f t="shared" si="29"/>
        <v>-42.91431094351276</v>
      </c>
      <c r="J246" s="20">
        <f t="shared" si="30"/>
        <v>12.348654817819014</v>
      </c>
      <c r="K246" s="20">
        <f t="shared" si="31"/>
        <v>-42.943050677030769</v>
      </c>
    </row>
    <row r="247" spans="1:11">
      <c r="A247" s="18">
        <v>245</v>
      </c>
      <c r="B247" s="20">
        <v>390</v>
      </c>
      <c r="C247" s="20">
        <v>157</v>
      </c>
      <c r="D247" s="20">
        <f t="shared" si="24"/>
        <v>126.39295713519816</v>
      </c>
      <c r="E247" s="20">
        <f t="shared" si="25"/>
        <v>27.251614769932516</v>
      </c>
      <c r="F247" s="20">
        <f t="shared" si="26"/>
        <v>-7.4690848411831858</v>
      </c>
      <c r="G247" s="20">
        <f t="shared" si="27"/>
        <v>85.051205884410237</v>
      </c>
      <c r="H247" s="20">
        <f t="shared" si="28"/>
        <v>12.769466743029316</v>
      </c>
      <c r="I247" s="20">
        <f t="shared" si="29"/>
        <v>-42.91431094351276</v>
      </c>
      <c r="J247" s="20">
        <f t="shared" si="30"/>
        <v>12.348654817819014</v>
      </c>
      <c r="K247" s="20">
        <f t="shared" si="31"/>
        <v>-42.943050677030769</v>
      </c>
    </row>
    <row r="248" spans="1:11">
      <c r="A248" s="18">
        <v>246</v>
      </c>
      <c r="B248" s="20">
        <v>389</v>
      </c>
      <c r="C248" s="20">
        <v>156</v>
      </c>
      <c r="D248" s="20">
        <f t="shared" si="24"/>
        <v>125.96745781174208</v>
      </c>
      <c r="E248" s="20">
        <f t="shared" si="25"/>
        <v>26.82611544647644</v>
      </c>
      <c r="F248" s="20">
        <f t="shared" si="26"/>
        <v>-6.5063986707166563</v>
      </c>
      <c r="G248" s="20">
        <f t="shared" si="27"/>
        <v>84.935790165076298</v>
      </c>
      <c r="H248" s="20">
        <f t="shared" si="28"/>
        <v>13.732152913495845</v>
      </c>
      <c r="I248" s="20">
        <f t="shared" si="29"/>
        <v>-43.029726662846699</v>
      </c>
      <c r="J248" s="20">
        <f t="shared" si="30"/>
        <v>13.311340988285544</v>
      </c>
      <c r="K248" s="20">
        <f t="shared" si="31"/>
        <v>-43.058466396364707</v>
      </c>
    </row>
    <row r="249" spans="1:11">
      <c r="A249" s="18">
        <v>247</v>
      </c>
      <c r="B249" s="20">
        <v>388</v>
      </c>
      <c r="C249" s="20">
        <v>156</v>
      </c>
      <c r="D249" s="20">
        <f t="shared" si="24"/>
        <v>125.54195848828601</v>
      </c>
      <c r="E249" s="20">
        <f t="shared" si="25"/>
        <v>26.82611544647644</v>
      </c>
      <c r="F249" s="20">
        <f t="shared" si="26"/>
        <v>-5.8754609446453117</v>
      </c>
      <c r="G249" s="20">
        <f t="shared" si="27"/>
        <v>84.981766475615956</v>
      </c>
      <c r="H249" s="20">
        <f t="shared" si="28"/>
        <v>14.36309063956719</v>
      </c>
      <c r="I249" s="20">
        <f t="shared" si="29"/>
        <v>-42.983750352307041</v>
      </c>
      <c r="J249" s="20">
        <f t="shared" si="30"/>
        <v>13.942278714356888</v>
      </c>
      <c r="K249" s="20">
        <f t="shared" si="31"/>
        <v>-43.01249008582505</v>
      </c>
    </row>
    <row r="250" spans="1:11">
      <c r="A250" s="18">
        <v>248</v>
      </c>
      <c r="B250" s="20">
        <v>388</v>
      </c>
      <c r="C250" s="20">
        <v>156</v>
      </c>
      <c r="D250" s="20">
        <f t="shared" si="24"/>
        <v>125.54195848828601</v>
      </c>
      <c r="E250" s="20">
        <f t="shared" si="25"/>
        <v>26.82611544647644</v>
      </c>
      <c r="F250" s="20">
        <f t="shared" si="26"/>
        <v>-5.8754609446453117</v>
      </c>
      <c r="G250" s="20">
        <f t="shared" si="27"/>
        <v>84.981766475615956</v>
      </c>
      <c r="H250" s="20">
        <f t="shared" si="28"/>
        <v>14.36309063956719</v>
      </c>
      <c r="I250" s="20">
        <f t="shared" si="29"/>
        <v>-42.983750352307041</v>
      </c>
      <c r="J250" s="20">
        <f t="shared" si="30"/>
        <v>13.942278714356888</v>
      </c>
      <c r="K250" s="20">
        <f t="shared" si="31"/>
        <v>-43.01249008582505</v>
      </c>
    </row>
    <row r="251" spans="1:11">
      <c r="A251" s="18">
        <v>249</v>
      </c>
      <c r="B251" s="20">
        <v>387</v>
      </c>
      <c r="C251" s="20">
        <v>156</v>
      </c>
      <c r="D251" s="20">
        <f t="shared" si="24"/>
        <v>125.11645916482993</v>
      </c>
      <c r="E251" s="20">
        <f t="shared" si="25"/>
        <v>26.82611544647644</v>
      </c>
      <c r="F251" s="20">
        <f t="shared" si="26"/>
        <v>-5.2441991831944854</v>
      </c>
      <c r="G251" s="20">
        <f t="shared" si="27"/>
        <v>85.023055988097482</v>
      </c>
      <c r="H251" s="20">
        <f t="shared" si="28"/>
        <v>14.994352401018016</v>
      </c>
      <c r="I251" s="20">
        <f t="shared" si="29"/>
        <v>-42.942460839825515</v>
      </c>
      <c r="J251" s="20">
        <f t="shared" si="30"/>
        <v>14.573540475807715</v>
      </c>
      <c r="K251" s="20">
        <f t="shared" si="31"/>
        <v>-42.971200573343523</v>
      </c>
    </row>
    <row r="252" spans="1:11">
      <c r="A252" s="18">
        <v>250</v>
      </c>
      <c r="B252" s="20">
        <v>387</v>
      </c>
      <c r="C252" s="20">
        <v>156</v>
      </c>
      <c r="D252" s="20">
        <f t="shared" si="24"/>
        <v>125.11645916482993</v>
      </c>
      <c r="E252" s="20">
        <f t="shared" si="25"/>
        <v>26.82611544647644</v>
      </c>
      <c r="F252" s="20">
        <f t="shared" si="26"/>
        <v>-5.2441991831944854</v>
      </c>
      <c r="G252" s="20">
        <f t="shared" si="27"/>
        <v>85.023055988097482</v>
      </c>
      <c r="H252" s="20">
        <f t="shared" si="28"/>
        <v>14.994352401018016</v>
      </c>
      <c r="I252" s="20">
        <f t="shared" si="29"/>
        <v>-42.942460839825515</v>
      </c>
      <c r="J252" s="20">
        <f t="shared" si="30"/>
        <v>14.573540475807715</v>
      </c>
      <c r="K252" s="20">
        <f t="shared" si="31"/>
        <v>-42.971200573343523</v>
      </c>
    </row>
    <row r="253" spans="1:11">
      <c r="A253" s="18">
        <v>251</v>
      </c>
      <c r="B253" s="20">
        <v>386</v>
      </c>
      <c r="C253" s="20">
        <v>156</v>
      </c>
      <c r="D253" s="20">
        <f t="shared" si="24"/>
        <v>124.69095984137385</v>
      </c>
      <c r="E253" s="20">
        <f t="shared" si="25"/>
        <v>26.82611544647644</v>
      </c>
      <c r="F253" s="20">
        <f t="shared" si="26"/>
        <v>-4.6126482008487848</v>
      </c>
      <c r="G253" s="20">
        <f t="shared" si="27"/>
        <v>85.059656425378193</v>
      </c>
      <c r="H253" s="20">
        <f t="shared" si="28"/>
        <v>15.625903383363717</v>
      </c>
      <c r="I253" s="20">
        <f t="shared" si="29"/>
        <v>-42.905860402544803</v>
      </c>
      <c r="J253" s="20">
        <f t="shared" si="30"/>
        <v>15.205091458153415</v>
      </c>
      <c r="K253" s="20">
        <f t="shared" si="31"/>
        <v>-42.934600136062812</v>
      </c>
    </row>
    <row r="254" spans="1:11">
      <c r="A254" s="18">
        <v>252</v>
      </c>
      <c r="B254" s="20">
        <v>385</v>
      </c>
      <c r="C254" s="20">
        <v>156</v>
      </c>
      <c r="D254" s="20">
        <f t="shared" si="24"/>
        <v>124.26546051791777</v>
      </c>
      <c r="E254" s="20">
        <f t="shared" si="25"/>
        <v>26.82611544647644</v>
      </c>
      <c r="F254" s="20">
        <f t="shared" si="26"/>
        <v>-3.9808428280434889</v>
      </c>
      <c r="G254" s="20">
        <f t="shared" si="27"/>
        <v>85.091565768920901</v>
      </c>
      <c r="H254" s="20">
        <f t="shared" si="28"/>
        <v>16.257708756169013</v>
      </c>
      <c r="I254" s="20">
        <f t="shared" si="29"/>
        <v>-42.873951059002096</v>
      </c>
      <c r="J254" s="20">
        <f t="shared" si="30"/>
        <v>15.836896830958711</v>
      </c>
      <c r="K254" s="20">
        <f t="shared" si="31"/>
        <v>-42.902690792520104</v>
      </c>
    </row>
    <row r="255" spans="1:11">
      <c r="A255" s="18">
        <v>253</v>
      </c>
      <c r="B255" s="20">
        <v>385</v>
      </c>
      <c r="C255" s="20">
        <v>155</v>
      </c>
      <c r="D255" s="20">
        <f t="shared" si="24"/>
        <v>124.26546051791777</v>
      </c>
      <c r="E255" s="20">
        <f t="shared" si="25"/>
        <v>26.400616123020363</v>
      </c>
      <c r="F255" s="20">
        <f t="shared" si="26"/>
        <v>-3.6564627949664867</v>
      </c>
      <c r="G255" s="20">
        <f t="shared" si="27"/>
        <v>84.910861114752151</v>
      </c>
      <c r="H255" s="20">
        <f t="shared" si="28"/>
        <v>16.582088789246015</v>
      </c>
      <c r="I255" s="20">
        <f t="shared" si="29"/>
        <v>-43.054655713170845</v>
      </c>
      <c r="J255" s="20">
        <f t="shared" si="30"/>
        <v>16.161276864035713</v>
      </c>
      <c r="K255" s="20">
        <f t="shared" si="31"/>
        <v>-43.083395446688854</v>
      </c>
    </row>
    <row r="256" spans="1:11">
      <c r="A256" s="18">
        <v>254</v>
      </c>
      <c r="B256" s="20">
        <v>384</v>
      </c>
      <c r="C256" s="20">
        <v>155</v>
      </c>
      <c r="D256" s="20">
        <f t="shared" si="24"/>
        <v>123.83996119446171</v>
      </c>
      <c r="E256" s="20">
        <f t="shared" si="25"/>
        <v>26.400616123020363</v>
      </c>
      <c r="F256" s="20">
        <f t="shared" si="26"/>
        <v>-3.0257887872804226</v>
      </c>
      <c r="G256" s="20">
        <f t="shared" si="27"/>
        <v>84.93567364561531</v>
      </c>
      <c r="H256" s="20">
        <f t="shared" si="28"/>
        <v>17.212762796932079</v>
      </c>
      <c r="I256" s="20">
        <f t="shared" si="29"/>
        <v>-43.029843182307687</v>
      </c>
      <c r="J256" s="20">
        <f t="shared" si="30"/>
        <v>16.791950871721777</v>
      </c>
      <c r="K256" s="20">
        <f t="shared" si="31"/>
        <v>-43.058582915825696</v>
      </c>
    </row>
    <row r="257" spans="1:11">
      <c r="A257" s="18">
        <v>255</v>
      </c>
      <c r="B257" s="20">
        <v>383</v>
      </c>
      <c r="C257" s="20">
        <v>155</v>
      </c>
      <c r="D257" s="20">
        <f t="shared" si="24"/>
        <v>123.41446187100563</v>
      </c>
      <c r="E257" s="20">
        <f t="shared" si="25"/>
        <v>26.400616123020363</v>
      </c>
      <c r="F257" s="20">
        <f t="shared" si="26"/>
        <v>-2.394947905432975</v>
      </c>
      <c r="G257" s="20">
        <f t="shared" si="27"/>
        <v>84.955801920469</v>
      </c>
      <c r="H257" s="20">
        <f t="shared" si="28"/>
        <v>17.843603678779527</v>
      </c>
      <c r="I257" s="20">
        <f t="shared" si="29"/>
        <v>-43.009714907453997</v>
      </c>
      <c r="J257" s="20">
        <f t="shared" si="30"/>
        <v>17.422791753569225</v>
      </c>
      <c r="K257" s="20">
        <f t="shared" si="31"/>
        <v>-43.038454640972006</v>
      </c>
    </row>
    <row r="258" spans="1:11">
      <c r="A258" s="18">
        <v>256</v>
      </c>
      <c r="B258" s="20">
        <v>383</v>
      </c>
      <c r="C258" s="20">
        <v>155</v>
      </c>
      <c r="D258" s="20">
        <f t="shared" ref="D258:D321" si="32">(B258-92.9538)/2.35018</f>
        <v>123.41446187100563</v>
      </c>
      <c r="E258" s="20">
        <f t="shared" ref="E258:E321" si="33">(C258-92.9538)/2.35018</f>
        <v>26.400616123020363</v>
      </c>
      <c r="F258" s="20">
        <f t="shared" ref="F258:F321" si="34">50*COS(RADIANS(D258))+50*COS(RADIANS(D258+E258-90))</f>
        <v>-2.394947905432975</v>
      </c>
      <c r="G258" s="20">
        <f t="shared" ref="G258:G321" si="35">50*SIN(RADIANS(D258))+50*SIN(RADIANS(D258+E258-90))</f>
        <v>84.955801920469</v>
      </c>
      <c r="H258" s="20">
        <f t="shared" ref="H258:H321" si="36">F258+20.2385515842125</f>
        <v>17.843603678779527</v>
      </c>
      <c r="I258" s="20">
        <f t="shared" ref="I258:I321" si="37">G258+-127.965516827923</f>
        <v>-43.009714907453997</v>
      </c>
      <c r="J258" s="20">
        <f t="shared" ref="J258:J321" si="38">F258+19.8177396590022</f>
        <v>17.422791753569225</v>
      </c>
      <c r="K258" s="20">
        <f t="shared" ref="K258:K321" si="39">G258+-127.994256561441</f>
        <v>-43.038454640972006</v>
      </c>
    </row>
    <row r="259" spans="1:11">
      <c r="A259" s="18">
        <v>257</v>
      </c>
      <c r="B259" s="20">
        <v>382</v>
      </c>
      <c r="C259" s="20">
        <v>155</v>
      </c>
      <c r="D259" s="20">
        <f t="shared" si="32"/>
        <v>122.98896254754955</v>
      </c>
      <c r="E259" s="20">
        <f t="shared" si="33"/>
        <v>26.400616123020363</v>
      </c>
      <c r="F259" s="20">
        <f t="shared" si="34"/>
        <v>-1.7639749406969649</v>
      </c>
      <c r="G259" s="20">
        <f t="shared" si="35"/>
        <v>84.971244829226166</v>
      </c>
      <c r="H259" s="20">
        <f t="shared" si="36"/>
        <v>18.474576643515537</v>
      </c>
      <c r="I259" s="20">
        <f t="shared" si="37"/>
        <v>-42.994271998696831</v>
      </c>
      <c r="J259" s="20">
        <f t="shared" si="38"/>
        <v>18.053764718305235</v>
      </c>
      <c r="K259" s="20">
        <f t="shared" si="39"/>
        <v>-43.02301173221484</v>
      </c>
    </row>
    <row r="260" spans="1:11">
      <c r="A260" s="18">
        <v>258</v>
      </c>
      <c r="B260" s="20">
        <v>381</v>
      </c>
      <c r="C260" s="20">
        <v>155</v>
      </c>
      <c r="D260" s="20">
        <f t="shared" si="32"/>
        <v>122.56346322409348</v>
      </c>
      <c r="E260" s="20">
        <f t="shared" si="33"/>
        <v>26.400616123020363</v>
      </c>
      <c r="F260" s="20">
        <f t="shared" si="34"/>
        <v>-1.1329046916296406</v>
      </c>
      <c r="G260" s="20">
        <f t="shared" si="35"/>
        <v>84.982001520200654</v>
      </c>
      <c r="H260" s="20">
        <f t="shared" si="36"/>
        <v>19.105646892582861</v>
      </c>
      <c r="I260" s="20">
        <f t="shared" si="37"/>
        <v>-42.983515307722342</v>
      </c>
      <c r="J260" s="20">
        <f t="shared" si="38"/>
        <v>18.684834967372559</v>
      </c>
      <c r="K260" s="20">
        <f t="shared" si="39"/>
        <v>-43.012255041240351</v>
      </c>
    </row>
    <row r="261" spans="1:11">
      <c r="A261" s="18">
        <v>259</v>
      </c>
      <c r="B261" s="20">
        <v>381</v>
      </c>
      <c r="C261" s="20">
        <v>155</v>
      </c>
      <c r="D261" s="20">
        <f t="shared" si="32"/>
        <v>122.56346322409348</v>
      </c>
      <c r="E261" s="20">
        <f t="shared" si="33"/>
        <v>26.400616123020363</v>
      </c>
      <c r="F261" s="20">
        <f t="shared" si="34"/>
        <v>-1.1329046916296406</v>
      </c>
      <c r="G261" s="20">
        <f t="shared" si="35"/>
        <v>84.982001520200654</v>
      </c>
      <c r="H261" s="20">
        <f t="shared" si="36"/>
        <v>19.105646892582861</v>
      </c>
      <c r="I261" s="20">
        <f t="shared" si="37"/>
        <v>-42.983515307722342</v>
      </c>
      <c r="J261" s="20">
        <f t="shared" si="38"/>
        <v>18.684834967372559</v>
      </c>
      <c r="K261" s="20">
        <f t="shared" si="39"/>
        <v>-43.012255041240351</v>
      </c>
    </row>
    <row r="262" spans="1:11">
      <c r="A262" s="18">
        <v>260</v>
      </c>
      <c r="B262" s="20">
        <v>380</v>
      </c>
      <c r="C262" s="20">
        <v>155</v>
      </c>
      <c r="D262" s="20">
        <f t="shared" si="32"/>
        <v>122.1379639006374</v>
      </c>
      <c r="E262" s="20">
        <f t="shared" si="33"/>
        <v>26.400616123020363</v>
      </c>
      <c r="F262" s="20">
        <f t="shared" si="34"/>
        <v>-0.50177196215351927</v>
      </c>
      <c r="G262" s="20">
        <f t="shared" si="35"/>
        <v>84.988071400154155</v>
      </c>
      <c r="H262" s="20">
        <f t="shared" si="36"/>
        <v>19.736779622058982</v>
      </c>
      <c r="I262" s="20">
        <f t="shared" si="37"/>
        <v>-42.977445427768842</v>
      </c>
      <c r="J262" s="20">
        <f t="shared" si="38"/>
        <v>19.315967696848681</v>
      </c>
      <c r="K262" s="20">
        <f t="shared" si="39"/>
        <v>-43.006185161286851</v>
      </c>
    </row>
    <row r="263" spans="1:11">
      <c r="A263" s="18">
        <v>261</v>
      </c>
      <c r="B263" s="20">
        <v>379</v>
      </c>
      <c r="C263" s="20">
        <v>155</v>
      </c>
      <c r="D263" s="20">
        <f t="shared" si="32"/>
        <v>121.71246457718132</v>
      </c>
      <c r="E263" s="20">
        <f t="shared" si="33"/>
        <v>26.400616123020363</v>
      </c>
      <c r="F263" s="20">
        <f t="shared" si="34"/>
        <v>0.12938844036302655</v>
      </c>
      <c r="G263" s="20">
        <f t="shared" si="35"/>
        <v>84.989454134328952</v>
      </c>
      <c r="H263" s="20">
        <f t="shared" si="36"/>
        <v>20.367940024575528</v>
      </c>
      <c r="I263" s="20">
        <f t="shared" si="37"/>
        <v>-42.976062693594045</v>
      </c>
      <c r="J263" s="20">
        <f t="shared" si="38"/>
        <v>19.947128099365226</v>
      </c>
      <c r="K263" s="20">
        <f t="shared" si="39"/>
        <v>-43.004802427112054</v>
      </c>
    </row>
    <row r="264" spans="1:11">
      <c r="A264" s="18">
        <v>262</v>
      </c>
      <c r="B264" s="20">
        <v>379</v>
      </c>
      <c r="C264" s="20">
        <v>155</v>
      </c>
      <c r="D264" s="20">
        <f t="shared" si="32"/>
        <v>121.71246457718132</v>
      </c>
      <c r="E264" s="20">
        <f t="shared" si="33"/>
        <v>26.400616123020363</v>
      </c>
      <c r="F264" s="20">
        <f t="shared" si="34"/>
        <v>0.12938844036302655</v>
      </c>
      <c r="G264" s="20">
        <f t="shared" si="35"/>
        <v>84.989454134328952</v>
      </c>
      <c r="H264" s="20">
        <f t="shared" si="36"/>
        <v>20.367940024575528</v>
      </c>
      <c r="I264" s="20">
        <f t="shared" si="37"/>
        <v>-42.976062693594045</v>
      </c>
      <c r="J264" s="20">
        <f t="shared" si="38"/>
        <v>19.947128099365226</v>
      </c>
      <c r="K264" s="20">
        <f t="shared" si="39"/>
        <v>-43.004802427112054</v>
      </c>
    </row>
    <row r="265" spans="1:11">
      <c r="A265" s="18">
        <v>263</v>
      </c>
      <c r="B265" s="20">
        <v>378</v>
      </c>
      <c r="C265" s="20">
        <v>155</v>
      </c>
      <c r="D265" s="20">
        <f t="shared" si="32"/>
        <v>121.28696525372526</v>
      </c>
      <c r="E265" s="20">
        <f t="shared" si="33"/>
        <v>26.400616123020363</v>
      </c>
      <c r="F265" s="20">
        <f t="shared" si="34"/>
        <v>0.76054170702541413</v>
      </c>
      <c r="G265" s="20">
        <f t="shared" si="35"/>
        <v>84.986149646466373</v>
      </c>
      <c r="H265" s="20">
        <f t="shared" si="36"/>
        <v>20.999093291237916</v>
      </c>
      <c r="I265" s="20">
        <f t="shared" si="37"/>
        <v>-42.979367181456624</v>
      </c>
      <c r="J265" s="20">
        <f t="shared" si="38"/>
        <v>20.578281366027614</v>
      </c>
      <c r="K265" s="20">
        <f t="shared" si="39"/>
        <v>-43.008106914974633</v>
      </c>
    </row>
    <row r="266" spans="1:11">
      <c r="A266" s="18">
        <v>264</v>
      </c>
      <c r="B266" s="20">
        <v>377</v>
      </c>
      <c r="C266" s="20">
        <v>155</v>
      </c>
      <c r="D266" s="20">
        <f t="shared" si="32"/>
        <v>120.86146593026918</v>
      </c>
      <c r="E266" s="20">
        <f t="shared" si="33"/>
        <v>26.400616123020363</v>
      </c>
      <c r="F266" s="20">
        <f t="shared" si="34"/>
        <v>1.3916530293326481</v>
      </c>
      <c r="G266" s="20">
        <f t="shared" si="35"/>
        <v>84.978158118811038</v>
      </c>
      <c r="H266" s="20">
        <f t="shared" si="36"/>
        <v>21.63020461354515</v>
      </c>
      <c r="I266" s="20">
        <f t="shared" si="37"/>
        <v>-42.987358709111959</v>
      </c>
      <c r="J266" s="20">
        <f t="shared" si="38"/>
        <v>21.209392688334848</v>
      </c>
      <c r="K266" s="20">
        <f t="shared" si="39"/>
        <v>-43.016098442629968</v>
      </c>
    </row>
    <row r="267" spans="1:11">
      <c r="A267" s="18">
        <v>265</v>
      </c>
      <c r="B267" s="20">
        <v>377</v>
      </c>
      <c r="C267" s="20">
        <v>155</v>
      </c>
      <c r="D267" s="20">
        <f t="shared" si="32"/>
        <v>120.86146593026918</v>
      </c>
      <c r="E267" s="20">
        <f t="shared" si="33"/>
        <v>26.400616123020363</v>
      </c>
      <c r="F267" s="20">
        <f t="shared" si="34"/>
        <v>1.3916530293326481</v>
      </c>
      <c r="G267" s="20">
        <f t="shared" si="35"/>
        <v>84.978158118811038</v>
      </c>
      <c r="H267" s="20">
        <f t="shared" si="36"/>
        <v>21.63020461354515</v>
      </c>
      <c r="I267" s="20">
        <f t="shared" si="37"/>
        <v>-42.987358709111959</v>
      </c>
      <c r="J267" s="20">
        <f t="shared" si="38"/>
        <v>21.209392688334848</v>
      </c>
      <c r="K267" s="20">
        <f t="shared" si="39"/>
        <v>-43.016098442629968</v>
      </c>
    </row>
    <row r="268" spans="1:11">
      <c r="A268" s="18">
        <v>266</v>
      </c>
      <c r="B268" s="20">
        <v>376</v>
      </c>
      <c r="C268" s="20">
        <v>155</v>
      </c>
      <c r="D268" s="20">
        <f t="shared" si="32"/>
        <v>120.4359666068131</v>
      </c>
      <c r="E268" s="20">
        <f t="shared" si="33"/>
        <v>26.400616123020363</v>
      </c>
      <c r="F268" s="20">
        <f t="shared" si="34"/>
        <v>2.0226876010969406</v>
      </c>
      <c r="G268" s="20">
        <f t="shared" si="35"/>
        <v>84.96547999210074</v>
      </c>
      <c r="H268" s="20">
        <f t="shared" si="36"/>
        <v>22.261239185309442</v>
      </c>
      <c r="I268" s="20">
        <f t="shared" si="37"/>
        <v>-43.000036835822257</v>
      </c>
      <c r="J268" s="20">
        <f t="shared" si="38"/>
        <v>21.84042726009914</v>
      </c>
      <c r="K268" s="20">
        <f t="shared" si="39"/>
        <v>-43.028776569340266</v>
      </c>
    </row>
    <row r="269" spans="1:11">
      <c r="A269" s="18">
        <v>267</v>
      </c>
      <c r="B269" s="20">
        <v>375</v>
      </c>
      <c r="C269" s="20">
        <v>155</v>
      </c>
      <c r="D269" s="20">
        <f t="shared" si="32"/>
        <v>120.01046728335702</v>
      </c>
      <c r="E269" s="20">
        <f t="shared" si="33"/>
        <v>26.400616123020363</v>
      </c>
      <c r="F269" s="20">
        <f t="shared" si="34"/>
        <v>2.6536106203634056</v>
      </c>
      <c r="G269" s="20">
        <f t="shared" si="35"/>
        <v>84.948115965542144</v>
      </c>
      <c r="H269" s="20">
        <f t="shared" si="36"/>
        <v>22.892162204575907</v>
      </c>
      <c r="I269" s="20">
        <f t="shared" si="37"/>
        <v>-43.017400862380853</v>
      </c>
      <c r="J269" s="20">
        <f t="shared" si="38"/>
        <v>22.471350279365605</v>
      </c>
      <c r="K269" s="20">
        <f t="shared" si="39"/>
        <v>-43.046140595898862</v>
      </c>
    </row>
    <row r="270" spans="1:11">
      <c r="A270" s="18">
        <v>268</v>
      </c>
      <c r="B270" s="20">
        <v>375</v>
      </c>
      <c r="C270" s="20">
        <v>155</v>
      </c>
      <c r="D270" s="20">
        <f t="shared" si="32"/>
        <v>120.01046728335702</v>
      </c>
      <c r="E270" s="20">
        <f t="shared" si="33"/>
        <v>26.400616123020363</v>
      </c>
      <c r="F270" s="20">
        <f t="shared" si="34"/>
        <v>2.6536106203634056</v>
      </c>
      <c r="G270" s="20">
        <f t="shared" si="35"/>
        <v>84.948115965542144</v>
      </c>
      <c r="H270" s="20">
        <f t="shared" si="36"/>
        <v>22.892162204575907</v>
      </c>
      <c r="I270" s="20">
        <f t="shared" si="37"/>
        <v>-43.017400862380853</v>
      </c>
      <c r="J270" s="20">
        <f t="shared" si="38"/>
        <v>22.471350279365605</v>
      </c>
      <c r="K270" s="20">
        <f t="shared" si="39"/>
        <v>-43.046140595898862</v>
      </c>
    </row>
    <row r="271" spans="1:11">
      <c r="A271" s="18">
        <v>269</v>
      </c>
      <c r="B271" s="20">
        <v>374</v>
      </c>
      <c r="C271" s="20">
        <v>155</v>
      </c>
      <c r="D271" s="20">
        <f t="shared" si="32"/>
        <v>119.58496795990095</v>
      </c>
      <c r="E271" s="20">
        <f t="shared" si="33"/>
        <v>26.400616123020363</v>
      </c>
      <c r="F271" s="20">
        <f t="shared" si="34"/>
        <v>3.2843872913292813</v>
      </c>
      <c r="G271" s="20">
        <f t="shared" si="35"/>
        <v>84.926066996772306</v>
      </c>
      <c r="H271" s="20">
        <f t="shared" si="36"/>
        <v>23.522938875541783</v>
      </c>
      <c r="I271" s="20">
        <f t="shared" si="37"/>
        <v>-43.039449831150691</v>
      </c>
      <c r="J271" s="20">
        <f t="shared" si="38"/>
        <v>23.102126950331481</v>
      </c>
      <c r="K271" s="20">
        <f t="shared" si="39"/>
        <v>-43.0681895646687</v>
      </c>
    </row>
    <row r="272" spans="1:11">
      <c r="A272" s="18">
        <v>270</v>
      </c>
      <c r="B272" s="20">
        <v>373</v>
      </c>
      <c r="C272" s="20">
        <v>155</v>
      </c>
      <c r="D272" s="20">
        <f t="shared" si="32"/>
        <v>119.15946863644487</v>
      </c>
      <c r="E272" s="20">
        <f t="shared" si="33"/>
        <v>26.400616123020363</v>
      </c>
      <c r="F272" s="20">
        <f t="shared" si="34"/>
        <v>3.9149828262631026</v>
      </c>
      <c r="G272" s="20">
        <f t="shared" si="35"/>
        <v>84.899334301805737</v>
      </c>
      <c r="H272" s="20">
        <f t="shared" si="36"/>
        <v>24.153534410475604</v>
      </c>
      <c r="I272" s="20">
        <f t="shared" si="37"/>
        <v>-43.066182526117259</v>
      </c>
      <c r="J272" s="20">
        <f t="shared" si="38"/>
        <v>23.732722485265302</v>
      </c>
      <c r="K272" s="20">
        <f t="shared" si="39"/>
        <v>-43.094922259635268</v>
      </c>
    </row>
    <row r="273" spans="1:11">
      <c r="A273" s="18">
        <v>271</v>
      </c>
      <c r="B273" s="20">
        <v>372</v>
      </c>
      <c r="C273" s="20">
        <v>156</v>
      </c>
      <c r="D273" s="20">
        <f t="shared" si="32"/>
        <v>118.73396931298879</v>
      </c>
      <c r="E273" s="20">
        <f t="shared" si="33"/>
        <v>26.82611544647644</v>
      </c>
      <c r="F273" s="20">
        <f t="shared" si="34"/>
        <v>4.239911566062105</v>
      </c>
      <c r="G273" s="20">
        <f t="shared" si="35"/>
        <v>85.079050444513953</v>
      </c>
      <c r="H273" s="20">
        <f t="shared" si="36"/>
        <v>24.478463150274607</v>
      </c>
      <c r="I273" s="20">
        <f t="shared" si="37"/>
        <v>-42.886466383409044</v>
      </c>
      <c r="J273" s="20">
        <f t="shared" si="38"/>
        <v>24.057651225064305</v>
      </c>
      <c r="K273" s="20">
        <f t="shared" si="39"/>
        <v>-42.915206116927052</v>
      </c>
    </row>
    <row r="274" spans="1:11">
      <c r="A274" s="18">
        <v>272</v>
      </c>
      <c r="B274" s="20">
        <v>372</v>
      </c>
      <c r="C274" s="20">
        <v>156</v>
      </c>
      <c r="D274" s="20">
        <f t="shared" si="32"/>
        <v>118.73396931298879</v>
      </c>
      <c r="E274" s="20">
        <f t="shared" si="33"/>
        <v>26.82611544647644</v>
      </c>
      <c r="F274" s="20">
        <f t="shared" si="34"/>
        <v>4.239911566062105</v>
      </c>
      <c r="G274" s="20">
        <f t="shared" si="35"/>
        <v>85.079050444513953</v>
      </c>
      <c r="H274" s="20">
        <f t="shared" si="36"/>
        <v>24.478463150274607</v>
      </c>
      <c r="I274" s="20">
        <f t="shared" si="37"/>
        <v>-42.886466383409044</v>
      </c>
      <c r="J274" s="20">
        <f t="shared" si="38"/>
        <v>24.057651225064305</v>
      </c>
      <c r="K274" s="20">
        <f t="shared" si="39"/>
        <v>-42.915206116927052</v>
      </c>
    </row>
    <row r="275" spans="1:11">
      <c r="A275" s="18">
        <v>273</v>
      </c>
      <c r="B275" s="20">
        <v>371</v>
      </c>
      <c r="C275" s="20">
        <v>156</v>
      </c>
      <c r="D275" s="20">
        <f t="shared" si="32"/>
        <v>118.30846998953272</v>
      </c>
      <c r="E275" s="20">
        <f t="shared" si="33"/>
        <v>26.82611544647644</v>
      </c>
      <c r="F275" s="20">
        <f t="shared" si="34"/>
        <v>4.871616852462882</v>
      </c>
      <c r="G275" s="20">
        <f t="shared" si="35"/>
        <v>85.045217524978881</v>
      </c>
      <c r="H275" s="20">
        <f t="shared" si="36"/>
        <v>25.110168436675384</v>
      </c>
      <c r="I275" s="20">
        <f t="shared" si="37"/>
        <v>-42.920299302944116</v>
      </c>
      <c r="J275" s="20">
        <f t="shared" si="38"/>
        <v>24.689356511465082</v>
      </c>
      <c r="K275" s="20">
        <f t="shared" si="39"/>
        <v>-42.949039036462125</v>
      </c>
    </row>
    <row r="276" spans="1:11">
      <c r="A276" s="18">
        <v>274</v>
      </c>
      <c r="B276" s="20">
        <v>370</v>
      </c>
      <c r="C276" s="20">
        <v>156</v>
      </c>
      <c r="D276" s="20">
        <f t="shared" si="32"/>
        <v>117.88297066607664</v>
      </c>
      <c r="E276" s="20">
        <f t="shared" si="33"/>
        <v>26.82611544647644</v>
      </c>
      <c r="F276" s="20">
        <f t="shared" si="34"/>
        <v>5.5030534661194785</v>
      </c>
      <c r="G276" s="20">
        <f t="shared" si="35"/>
        <v>85.006694308020258</v>
      </c>
      <c r="H276" s="20">
        <f t="shared" si="36"/>
        <v>25.74160505033198</v>
      </c>
      <c r="I276" s="20">
        <f t="shared" si="37"/>
        <v>-42.958822519902739</v>
      </c>
      <c r="J276" s="20">
        <f t="shared" si="38"/>
        <v>25.320793125121678</v>
      </c>
      <c r="K276" s="20">
        <f t="shared" si="39"/>
        <v>-42.987562253420748</v>
      </c>
    </row>
    <row r="277" spans="1:11">
      <c r="A277" s="18">
        <v>275</v>
      </c>
      <c r="B277" s="20">
        <v>369</v>
      </c>
      <c r="C277" s="20">
        <v>156</v>
      </c>
      <c r="D277" s="20">
        <f t="shared" si="32"/>
        <v>117.45747134262056</v>
      </c>
      <c r="E277" s="20">
        <f t="shared" si="33"/>
        <v>26.82611544647644</v>
      </c>
      <c r="F277" s="20">
        <f t="shared" si="34"/>
        <v>6.1341865829041282</v>
      </c>
      <c r="G277" s="20">
        <f t="shared" si="35"/>
        <v>84.963482918217835</v>
      </c>
      <c r="H277" s="20">
        <f t="shared" si="36"/>
        <v>26.37273816711663</v>
      </c>
      <c r="I277" s="20">
        <f t="shared" si="37"/>
        <v>-43.002033909705162</v>
      </c>
      <c r="J277" s="20">
        <f t="shared" si="38"/>
        <v>25.951926241906328</v>
      </c>
      <c r="K277" s="20">
        <f t="shared" si="39"/>
        <v>-43.030773643223171</v>
      </c>
    </row>
    <row r="278" spans="1:11">
      <c r="A278" s="18">
        <v>276</v>
      </c>
      <c r="B278" s="20">
        <v>369</v>
      </c>
      <c r="C278" s="20">
        <v>156</v>
      </c>
      <c r="D278" s="20">
        <f t="shared" si="32"/>
        <v>117.45747134262056</v>
      </c>
      <c r="E278" s="20">
        <f t="shared" si="33"/>
        <v>26.82611544647644</v>
      </c>
      <c r="F278" s="20">
        <f t="shared" si="34"/>
        <v>6.1341865829041282</v>
      </c>
      <c r="G278" s="20">
        <f t="shared" si="35"/>
        <v>84.963482918217835</v>
      </c>
      <c r="H278" s="20">
        <f t="shared" si="36"/>
        <v>26.37273816711663</v>
      </c>
      <c r="I278" s="20">
        <f t="shared" si="37"/>
        <v>-43.002033909705162</v>
      </c>
      <c r="J278" s="20">
        <f t="shared" si="38"/>
        <v>25.951926241906328</v>
      </c>
      <c r="K278" s="20">
        <f t="shared" si="39"/>
        <v>-43.030773643223171</v>
      </c>
    </row>
    <row r="279" spans="1:11">
      <c r="A279" s="18">
        <v>277</v>
      </c>
      <c r="B279" s="20">
        <v>368</v>
      </c>
      <c r="C279" s="20">
        <v>156</v>
      </c>
      <c r="D279" s="20">
        <f t="shared" si="32"/>
        <v>117.0319720191645</v>
      </c>
      <c r="E279" s="20">
        <f t="shared" si="33"/>
        <v>26.82611544647644</v>
      </c>
      <c r="F279" s="20">
        <f t="shared" si="34"/>
        <v>6.764981395427057</v>
      </c>
      <c r="G279" s="20">
        <f t="shared" si="35"/>
        <v>84.915585738707009</v>
      </c>
      <c r="H279" s="20">
        <f t="shared" si="36"/>
        <v>27.003532979639559</v>
      </c>
      <c r="I279" s="20">
        <f t="shared" si="37"/>
        <v>-43.049931089215988</v>
      </c>
      <c r="J279" s="20">
        <f t="shared" si="38"/>
        <v>26.582721054429257</v>
      </c>
      <c r="K279" s="20">
        <f t="shared" si="39"/>
        <v>-43.078670822733997</v>
      </c>
    </row>
    <row r="280" spans="1:11">
      <c r="A280" s="18">
        <v>278</v>
      </c>
      <c r="B280" s="20">
        <v>367</v>
      </c>
      <c r="C280" s="20">
        <v>157</v>
      </c>
      <c r="D280" s="20">
        <f t="shared" si="32"/>
        <v>116.60647269570842</v>
      </c>
      <c r="E280" s="20">
        <f t="shared" si="33"/>
        <v>27.251614769932516</v>
      </c>
      <c r="F280" s="20">
        <f t="shared" si="34"/>
        <v>7.096357813862614</v>
      </c>
      <c r="G280" s="20">
        <f t="shared" si="35"/>
        <v>85.083115578443426</v>
      </c>
      <c r="H280" s="20">
        <f t="shared" si="36"/>
        <v>27.334909398075116</v>
      </c>
      <c r="I280" s="20">
        <f t="shared" si="37"/>
        <v>-42.882401249479571</v>
      </c>
      <c r="J280" s="20">
        <f t="shared" si="38"/>
        <v>26.914097472864814</v>
      </c>
      <c r="K280" s="20">
        <f t="shared" si="39"/>
        <v>-42.91114098299758</v>
      </c>
    </row>
    <row r="281" spans="1:11">
      <c r="A281" s="18">
        <v>279</v>
      </c>
      <c r="B281" s="20">
        <v>366</v>
      </c>
      <c r="C281" s="20">
        <v>157</v>
      </c>
      <c r="D281" s="20">
        <f t="shared" si="32"/>
        <v>116.18097337225234</v>
      </c>
      <c r="E281" s="20">
        <f t="shared" si="33"/>
        <v>27.251614769932516</v>
      </c>
      <c r="F281" s="20">
        <f t="shared" si="34"/>
        <v>7.728014521744111</v>
      </c>
      <c r="G281" s="20">
        <f t="shared" si="35"/>
        <v>85.028069731758819</v>
      </c>
      <c r="H281" s="20">
        <f t="shared" si="36"/>
        <v>27.966566105956613</v>
      </c>
      <c r="I281" s="20">
        <f t="shared" si="37"/>
        <v>-42.937447096164178</v>
      </c>
      <c r="J281" s="20">
        <f t="shared" si="38"/>
        <v>27.545754180746311</v>
      </c>
      <c r="K281" s="20">
        <f t="shared" si="39"/>
        <v>-42.966186829682186</v>
      </c>
    </row>
    <row r="282" spans="1:11">
      <c r="A282" s="18">
        <v>280</v>
      </c>
      <c r="B282" s="20">
        <v>366</v>
      </c>
      <c r="C282" s="20">
        <v>157</v>
      </c>
      <c r="D282" s="20">
        <f t="shared" si="32"/>
        <v>116.18097337225234</v>
      </c>
      <c r="E282" s="20">
        <f t="shared" si="33"/>
        <v>27.251614769932516</v>
      </c>
      <c r="F282" s="20">
        <f t="shared" si="34"/>
        <v>7.728014521744111</v>
      </c>
      <c r="G282" s="20">
        <f t="shared" si="35"/>
        <v>85.028069731758819</v>
      </c>
      <c r="H282" s="20">
        <f t="shared" si="36"/>
        <v>27.966566105956613</v>
      </c>
      <c r="I282" s="20">
        <f t="shared" si="37"/>
        <v>-42.937447096164178</v>
      </c>
      <c r="J282" s="20">
        <f t="shared" si="38"/>
        <v>27.545754180746311</v>
      </c>
      <c r="K282" s="20">
        <f t="shared" si="39"/>
        <v>-42.966186829682186</v>
      </c>
    </row>
    <row r="283" spans="1:11">
      <c r="A283" s="18">
        <v>281</v>
      </c>
      <c r="B283" s="20">
        <v>365</v>
      </c>
      <c r="C283" s="20">
        <v>157</v>
      </c>
      <c r="D283" s="20">
        <f t="shared" si="32"/>
        <v>115.75547404879626</v>
      </c>
      <c r="E283" s="20">
        <f t="shared" si="33"/>
        <v>27.251614769932516</v>
      </c>
      <c r="F283" s="20">
        <f t="shared" si="34"/>
        <v>8.3592450247471071</v>
      </c>
      <c r="G283" s="20">
        <f t="shared" si="35"/>
        <v>84.968334533362309</v>
      </c>
      <c r="H283" s="20">
        <f t="shared" si="36"/>
        <v>28.597796608959609</v>
      </c>
      <c r="I283" s="20">
        <f t="shared" si="37"/>
        <v>-42.997182294560687</v>
      </c>
      <c r="J283" s="20">
        <f t="shared" si="38"/>
        <v>28.176984683749307</v>
      </c>
      <c r="K283" s="20">
        <f t="shared" si="39"/>
        <v>-43.025922028078696</v>
      </c>
    </row>
    <row r="284" spans="1:11">
      <c r="A284" s="18">
        <v>282</v>
      </c>
      <c r="B284" s="20">
        <v>364</v>
      </c>
      <c r="C284" s="20">
        <v>157</v>
      </c>
      <c r="D284" s="20">
        <f t="shared" si="32"/>
        <v>115.32997472534019</v>
      </c>
      <c r="E284" s="20">
        <f t="shared" si="33"/>
        <v>27.251614769932516</v>
      </c>
      <c r="F284" s="20">
        <f t="shared" si="34"/>
        <v>8.990014510110985</v>
      </c>
      <c r="G284" s="20">
        <f t="shared" si="35"/>
        <v>84.903913277687764</v>
      </c>
      <c r="H284" s="20">
        <f t="shared" si="36"/>
        <v>29.228566094323487</v>
      </c>
      <c r="I284" s="20">
        <f t="shared" si="37"/>
        <v>-43.061603550235233</v>
      </c>
      <c r="J284" s="20">
        <f t="shared" si="38"/>
        <v>28.807754169113185</v>
      </c>
      <c r="K284" s="20">
        <f t="shared" si="39"/>
        <v>-43.090343283753242</v>
      </c>
    </row>
    <row r="285" spans="1:11">
      <c r="A285" s="18">
        <v>283</v>
      </c>
      <c r="B285" s="20">
        <v>363</v>
      </c>
      <c r="C285" s="20">
        <v>158</v>
      </c>
      <c r="D285" s="20">
        <f t="shared" si="32"/>
        <v>114.90447540188411</v>
      </c>
      <c r="E285" s="20">
        <f t="shared" si="33"/>
        <v>27.677114093388592</v>
      </c>
      <c r="F285" s="20">
        <f t="shared" si="34"/>
        <v>9.3262205522020274</v>
      </c>
      <c r="G285" s="20">
        <f t="shared" si="35"/>
        <v>85.061526967317704</v>
      </c>
      <c r="H285" s="20">
        <f t="shared" si="36"/>
        <v>29.564772136414529</v>
      </c>
      <c r="I285" s="20">
        <f t="shared" si="37"/>
        <v>-42.903989860605293</v>
      </c>
      <c r="J285" s="20">
        <f t="shared" si="38"/>
        <v>29.143960211204227</v>
      </c>
      <c r="K285" s="20">
        <f t="shared" si="39"/>
        <v>-42.932729594123302</v>
      </c>
    </row>
    <row r="286" spans="1:11">
      <c r="A286" s="18">
        <v>284</v>
      </c>
      <c r="B286" s="20">
        <v>362</v>
      </c>
      <c r="C286" s="20">
        <v>158</v>
      </c>
      <c r="D286" s="20">
        <f t="shared" si="32"/>
        <v>114.47897607842803</v>
      </c>
      <c r="E286" s="20">
        <f t="shared" si="33"/>
        <v>27.677114093388592</v>
      </c>
      <c r="F286" s="20">
        <f t="shared" si="34"/>
        <v>9.9576554475005601</v>
      </c>
      <c r="G286" s="20">
        <f t="shared" si="35"/>
        <v>84.989922095439624</v>
      </c>
      <c r="H286" s="20">
        <f t="shared" si="36"/>
        <v>30.196207031713062</v>
      </c>
      <c r="I286" s="20">
        <f t="shared" si="37"/>
        <v>-42.975594732483373</v>
      </c>
      <c r="J286" s="20">
        <f t="shared" si="38"/>
        <v>29.77539510650276</v>
      </c>
      <c r="K286" s="20">
        <f t="shared" si="39"/>
        <v>-43.004334466001382</v>
      </c>
    </row>
    <row r="287" spans="1:11">
      <c r="A287" s="18">
        <v>285</v>
      </c>
      <c r="B287" s="20">
        <v>362</v>
      </c>
      <c r="C287" s="20">
        <v>158</v>
      </c>
      <c r="D287" s="20">
        <f t="shared" si="32"/>
        <v>114.47897607842803</v>
      </c>
      <c r="E287" s="20">
        <f t="shared" si="33"/>
        <v>27.677114093388592</v>
      </c>
      <c r="F287" s="20">
        <f t="shared" si="34"/>
        <v>9.9576554475005601</v>
      </c>
      <c r="G287" s="20">
        <f t="shared" si="35"/>
        <v>84.989922095439624</v>
      </c>
      <c r="H287" s="20">
        <f t="shared" si="36"/>
        <v>30.196207031713062</v>
      </c>
      <c r="I287" s="20">
        <f t="shared" si="37"/>
        <v>-42.975594732483373</v>
      </c>
      <c r="J287" s="20">
        <f t="shared" si="38"/>
        <v>29.77539510650276</v>
      </c>
      <c r="K287" s="20">
        <f t="shared" si="39"/>
        <v>-43.004334466001382</v>
      </c>
    </row>
    <row r="288" spans="1:11">
      <c r="A288" s="18">
        <v>286</v>
      </c>
      <c r="B288" s="20">
        <v>361</v>
      </c>
      <c r="C288" s="20">
        <v>158</v>
      </c>
      <c r="D288" s="20">
        <f t="shared" si="32"/>
        <v>114.05347675497197</v>
      </c>
      <c r="E288" s="20">
        <f t="shared" si="33"/>
        <v>27.677114093388592</v>
      </c>
      <c r="F288" s="20">
        <f t="shared" si="34"/>
        <v>10.588541171816306</v>
      </c>
      <c r="G288" s="20">
        <f t="shared" si="35"/>
        <v>84.913629975715807</v>
      </c>
      <c r="H288" s="20">
        <f t="shared" si="36"/>
        <v>30.827092756028808</v>
      </c>
      <c r="I288" s="20">
        <f t="shared" si="37"/>
        <v>-43.05188685220719</v>
      </c>
      <c r="J288" s="20">
        <f t="shared" si="38"/>
        <v>30.406280830818506</v>
      </c>
      <c r="K288" s="20">
        <f t="shared" si="39"/>
        <v>-43.080626585725199</v>
      </c>
    </row>
    <row r="289" spans="1:11">
      <c r="A289" s="18">
        <v>287</v>
      </c>
      <c r="B289" s="20">
        <v>360</v>
      </c>
      <c r="C289" s="20">
        <v>159</v>
      </c>
      <c r="D289" s="20">
        <f t="shared" si="32"/>
        <v>113.62797743151589</v>
      </c>
      <c r="E289" s="20">
        <f t="shared" si="33"/>
        <v>28.102613416844669</v>
      </c>
      <c r="F289" s="20">
        <f t="shared" si="34"/>
        <v>10.928174977567323</v>
      </c>
      <c r="G289" s="20">
        <f t="shared" si="35"/>
        <v>85.063714804690505</v>
      </c>
      <c r="H289" s="20">
        <f t="shared" si="36"/>
        <v>31.166726561779825</v>
      </c>
      <c r="I289" s="20">
        <f t="shared" si="37"/>
        <v>-42.901802023232491</v>
      </c>
      <c r="J289" s="20">
        <f t="shared" si="38"/>
        <v>30.745914636569523</v>
      </c>
      <c r="K289" s="20">
        <f t="shared" si="39"/>
        <v>-42.9305417567505</v>
      </c>
    </row>
    <row r="290" spans="1:11">
      <c r="A290" s="18">
        <v>288</v>
      </c>
      <c r="B290" s="20">
        <v>359</v>
      </c>
      <c r="C290" s="20">
        <v>159</v>
      </c>
      <c r="D290" s="20">
        <f t="shared" si="32"/>
        <v>113.20247810805981</v>
      </c>
      <c r="E290" s="20">
        <f t="shared" si="33"/>
        <v>28.102613416844669</v>
      </c>
      <c r="F290" s="20">
        <f t="shared" si="34"/>
        <v>11.55958194599474</v>
      </c>
      <c r="G290" s="20">
        <f t="shared" si="35"/>
        <v>84.980213284904636</v>
      </c>
      <c r="H290" s="20">
        <f t="shared" si="36"/>
        <v>31.798133530207242</v>
      </c>
      <c r="I290" s="20">
        <f t="shared" si="37"/>
        <v>-42.985303543018361</v>
      </c>
      <c r="J290" s="20">
        <f t="shared" si="38"/>
        <v>31.37732160499694</v>
      </c>
      <c r="K290" s="20">
        <f t="shared" si="39"/>
        <v>-43.01404327653637</v>
      </c>
    </row>
    <row r="291" spans="1:11">
      <c r="A291" s="18">
        <v>289</v>
      </c>
      <c r="B291" s="20">
        <v>358</v>
      </c>
      <c r="C291" s="20">
        <v>159</v>
      </c>
      <c r="D291" s="20">
        <f t="shared" si="32"/>
        <v>112.77697878460374</v>
      </c>
      <c r="E291" s="20">
        <f t="shared" si="33"/>
        <v>28.102613416844669</v>
      </c>
      <c r="F291" s="20">
        <f t="shared" si="34"/>
        <v>12.190351396181878</v>
      </c>
      <c r="G291" s="20">
        <f t="shared" si="35"/>
        <v>84.892025052720101</v>
      </c>
      <c r="H291" s="20">
        <f t="shared" si="36"/>
        <v>32.428902980394383</v>
      </c>
      <c r="I291" s="20">
        <f t="shared" si="37"/>
        <v>-43.073491775202896</v>
      </c>
      <c r="J291" s="20">
        <f t="shared" si="38"/>
        <v>32.008091055184082</v>
      </c>
      <c r="K291" s="20">
        <f t="shared" si="39"/>
        <v>-43.102231508720905</v>
      </c>
    </row>
    <row r="292" spans="1:11">
      <c r="A292" s="18">
        <v>290</v>
      </c>
      <c r="B292" s="20">
        <v>358</v>
      </c>
      <c r="C292" s="20">
        <v>160</v>
      </c>
      <c r="D292" s="20">
        <f t="shared" si="32"/>
        <v>112.77697878460374</v>
      </c>
      <c r="E292" s="20">
        <f t="shared" si="33"/>
        <v>28.528112740300742</v>
      </c>
      <c r="F292" s="20">
        <f t="shared" si="34"/>
        <v>11.901407377454738</v>
      </c>
      <c r="G292" s="20">
        <f t="shared" si="35"/>
        <v>85.125237256386782</v>
      </c>
      <c r="H292" s="20">
        <f t="shared" si="36"/>
        <v>32.13995896166724</v>
      </c>
      <c r="I292" s="20">
        <f t="shared" si="37"/>
        <v>-42.840279571536215</v>
      </c>
      <c r="J292" s="20">
        <f t="shared" si="38"/>
        <v>31.719147036456938</v>
      </c>
      <c r="K292" s="20">
        <f t="shared" si="39"/>
        <v>-42.869019305054223</v>
      </c>
    </row>
    <row r="293" spans="1:11">
      <c r="A293" s="18">
        <v>291</v>
      </c>
      <c r="B293" s="20">
        <v>357</v>
      </c>
      <c r="C293" s="20">
        <v>160</v>
      </c>
      <c r="D293" s="20">
        <f t="shared" si="32"/>
        <v>112.35147946114766</v>
      </c>
      <c r="E293" s="20">
        <f t="shared" si="33"/>
        <v>28.528112740300742</v>
      </c>
      <c r="F293" s="20">
        <f t="shared" si="34"/>
        <v>12.533244392622244</v>
      </c>
      <c r="G293" s="20">
        <f t="shared" si="35"/>
        <v>85.034506528321103</v>
      </c>
      <c r="H293" s="20">
        <f t="shared" si="36"/>
        <v>32.771795976834746</v>
      </c>
      <c r="I293" s="20">
        <f t="shared" si="37"/>
        <v>-42.931010299601894</v>
      </c>
      <c r="J293" s="20">
        <f t="shared" si="38"/>
        <v>32.350984051624444</v>
      </c>
      <c r="K293" s="20">
        <f t="shared" si="39"/>
        <v>-42.959750033119903</v>
      </c>
    </row>
    <row r="294" spans="1:11">
      <c r="A294" s="18">
        <v>292</v>
      </c>
      <c r="B294" s="20">
        <v>356</v>
      </c>
      <c r="C294" s="20">
        <v>160</v>
      </c>
      <c r="D294" s="20">
        <f t="shared" si="32"/>
        <v>111.92598013769158</v>
      </c>
      <c r="E294" s="20">
        <f t="shared" si="33"/>
        <v>28.528112740300742</v>
      </c>
      <c r="F294" s="20">
        <f t="shared" si="34"/>
        <v>13.164390191451051</v>
      </c>
      <c r="G294" s="20">
        <f t="shared" si="35"/>
        <v>84.939086093550031</v>
      </c>
      <c r="H294" s="20">
        <f t="shared" si="36"/>
        <v>33.40294177566355</v>
      </c>
      <c r="I294" s="20">
        <f t="shared" si="37"/>
        <v>-43.026430734372966</v>
      </c>
      <c r="J294" s="20">
        <f t="shared" si="38"/>
        <v>32.982129850453248</v>
      </c>
      <c r="K294" s="20">
        <f t="shared" si="39"/>
        <v>-43.055170467890974</v>
      </c>
    </row>
    <row r="295" spans="1:11">
      <c r="A295" s="18">
        <v>293</v>
      </c>
      <c r="B295" s="20">
        <v>355</v>
      </c>
      <c r="C295" s="20">
        <v>161</v>
      </c>
      <c r="D295" s="20">
        <f t="shared" si="32"/>
        <v>111.5004808142355</v>
      </c>
      <c r="E295" s="20">
        <f t="shared" si="33"/>
        <v>28.953612063756818</v>
      </c>
      <c r="F295" s="20">
        <f t="shared" si="34"/>
        <v>13.509361527722639</v>
      </c>
      <c r="G295" s="20">
        <f t="shared" si="35"/>
        <v>85.076459144212365</v>
      </c>
      <c r="H295" s="20">
        <f t="shared" si="36"/>
        <v>33.747913111935141</v>
      </c>
      <c r="I295" s="20">
        <f t="shared" si="37"/>
        <v>-42.889057683710632</v>
      </c>
      <c r="J295" s="20">
        <f t="shared" si="38"/>
        <v>33.327101186724839</v>
      </c>
      <c r="K295" s="20">
        <f t="shared" si="39"/>
        <v>-42.917797417228641</v>
      </c>
    </row>
    <row r="296" spans="1:11">
      <c r="A296" s="18">
        <v>294</v>
      </c>
      <c r="B296" s="20">
        <v>354</v>
      </c>
      <c r="C296" s="20">
        <v>161</v>
      </c>
      <c r="D296" s="20">
        <f t="shared" si="32"/>
        <v>111.07498149077944</v>
      </c>
      <c r="E296" s="20">
        <f t="shared" si="33"/>
        <v>28.953612063756818</v>
      </c>
      <c r="F296" s="20">
        <f t="shared" si="34"/>
        <v>14.140791962352665</v>
      </c>
      <c r="G296" s="20">
        <f t="shared" si="35"/>
        <v>84.973788617908596</v>
      </c>
      <c r="H296" s="20">
        <f t="shared" si="36"/>
        <v>34.379343546565167</v>
      </c>
      <c r="I296" s="20">
        <f t="shared" si="37"/>
        <v>-42.991728210014401</v>
      </c>
      <c r="J296" s="20">
        <f t="shared" si="38"/>
        <v>33.958531621354865</v>
      </c>
      <c r="K296" s="20">
        <f t="shared" si="39"/>
        <v>-43.02046794353241</v>
      </c>
    </row>
    <row r="297" spans="1:11">
      <c r="A297" s="18">
        <v>295</v>
      </c>
      <c r="B297" s="20">
        <v>353</v>
      </c>
      <c r="C297" s="20">
        <v>161</v>
      </c>
      <c r="D297" s="20">
        <f t="shared" si="32"/>
        <v>110.64948216732336</v>
      </c>
      <c r="E297" s="20">
        <f t="shared" si="33"/>
        <v>28.953612063756818</v>
      </c>
      <c r="F297" s="20">
        <f t="shared" si="34"/>
        <v>14.771442523380895</v>
      </c>
      <c r="G297" s="20">
        <f t="shared" si="35"/>
        <v>84.866431733530575</v>
      </c>
      <c r="H297" s="20">
        <f t="shared" si="36"/>
        <v>35.0099941075934</v>
      </c>
      <c r="I297" s="20">
        <f t="shared" si="37"/>
        <v>-43.099085094392422</v>
      </c>
      <c r="J297" s="20">
        <f t="shared" si="38"/>
        <v>34.589182182383098</v>
      </c>
      <c r="K297" s="20">
        <f t="shared" si="39"/>
        <v>-43.12782482791043</v>
      </c>
    </row>
    <row r="298" spans="1:11">
      <c r="A298" s="18">
        <v>296</v>
      </c>
      <c r="B298" s="20">
        <v>352</v>
      </c>
      <c r="C298" s="20">
        <v>162</v>
      </c>
      <c r="D298" s="20">
        <f t="shared" si="32"/>
        <v>110.22398284386728</v>
      </c>
      <c r="E298" s="20">
        <f t="shared" si="33"/>
        <v>29.379111387212895</v>
      </c>
      <c r="F298" s="20">
        <f t="shared" si="34"/>
        <v>15.119388542277232</v>
      </c>
      <c r="G298" s="20">
        <f t="shared" si="35"/>
        <v>84.99608567998601</v>
      </c>
      <c r="H298" s="20">
        <f t="shared" si="36"/>
        <v>35.357940126489737</v>
      </c>
      <c r="I298" s="20">
        <f t="shared" si="37"/>
        <v>-42.969431147936987</v>
      </c>
      <c r="J298" s="20">
        <f t="shared" si="38"/>
        <v>34.937128201279435</v>
      </c>
      <c r="K298" s="20">
        <f t="shared" si="39"/>
        <v>-42.998170881454996</v>
      </c>
    </row>
    <row r="299" spans="1:11">
      <c r="A299" s="18">
        <v>297</v>
      </c>
      <c r="B299" s="20">
        <v>352</v>
      </c>
      <c r="C299" s="20">
        <v>162</v>
      </c>
      <c r="D299" s="20">
        <f t="shared" si="32"/>
        <v>110.22398284386728</v>
      </c>
      <c r="E299" s="20">
        <f t="shared" si="33"/>
        <v>29.379111387212895</v>
      </c>
      <c r="F299" s="20">
        <f t="shared" si="34"/>
        <v>15.119388542277232</v>
      </c>
      <c r="G299" s="20">
        <f t="shared" si="35"/>
        <v>84.99608567998601</v>
      </c>
      <c r="H299" s="20">
        <f t="shared" si="36"/>
        <v>35.357940126489737</v>
      </c>
      <c r="I299" s="20">
        <f t="shared" si="37"/>
        <v>-42.969431147936987</v>
      </c>
      <c r="J299" s="20">
        <f t="shared" si="38"/>
        <v>34.937128201279435</v>
      </c>
      <c r="K299" s="20">
        <f t="shared" si="39"/>
        <v>-42.998170881454996</v>
      </c>
    </row>
    <row r="300" spans="1:11">
      <c r="A300" s="18">
        <v>298</v>
      </c>
      <c r="B300" s="20">
        <v>351</v>
      </c>
      <c r="C300" s="20">
        <v>163</v>
      </c>
      <c r="D300" s="20">
        <f t="shared" si="32"/>
        <v>109.79848352041121</v>
      </c>
      <c r="E300" s="20">
        <f t="shared" si="33"/>
        <v>29.804610710668971</v>
      </c>
      <c r="F300" s="20">
        <f t="shared" si="34"/>
        <v>15.468287815022983</v>
      </c>
      <c r="G300" s="20">
        <f t="shared" si="35"/>
        <v>85.123152101100203</v>
      </c>
      <c r="H300" s="20">
        <f t="shared" si="36"/>
        <v>35.706839399235484</v>
      </c>
      <c r="I300" s="20">
        <f t="shared" si="37"/>
        <v>-42.842364726822794</v>
      </c>
      <c r="J300" s="20">
        <f t="shared" si="38"/>
        <v>35.286027474025182</v>
      </c>
      <c r="K300" s="20">
        <f t="shared" si="39"/>
        <v>-42.871104460340803</v>
      </c>
    </row>
    <row r="301" spans="1:11">
      <c r="A301" s="18">
        <v>299</v>
      </c>
      <c r="B301" s="20">
        <v>350</v>
      </c>
      <c r="C301" s="20">
        <v>163</v>
      </c>
      <c r="D301" s="20">
        <f t="shared" si="32"/>
        <v>109.37298419695513</v>
      </c>
      <c r="E301" s="20">
        <f t="shared" si="33"/>
        <v>29.804610710668971</v>
      </c>
      <c r="F301" s="20">
        <f t="shared" si="34"/>
        <v>16.100010987356644</v>
      </c>
      <c r="G301" s="20">
        <f t="shared" si="35"/>
        <v>85.005932720972027</v>
      </c>
      <c r="H301" s="20">
        <f t="shared" si="36"/>
        <v>36.338562571569142</v>
      </c>
      <c r="I301" s="20">
        <f t="shared" si="37"/>
        <v>-42.95958410695097</v>
      </c>
      <c r="J301" s="20">
        <f t="shared" si="38"/>
        <v>35.91775064635884</v>
      </c>
      <c r="K301" s="20">
        <f t="shared" si="39"/>
        <v>-42.988323840468979</v>
      </c>
    </row>
    <row r="302" spans="1:11">
      <c r="A302" s="18">
        <v>300</v>
      </c>
      <c r="B302" s="20">
        <v>349</v>
      </c>
      <c r="C302" s="20">
        <v>163</v>
      </c>
      <c r="D302" s="20">
        <f t="shared" si="32"/>
        <v>108.94748487349905</v>
      </c>
      <c r="E302" s="20">
        <f t="shared" si="33"/>
        <v>29.804610710668971</v>
      </c>
      <c r="F302" s="20">
        <f t="shared" si="34"/>
        <v>16.730846233922694</v>
      </c>
      <c r="G302" s="20">
        <f t="shared" si="35"/>
        <v>84.884025210002051</v>
      </c>
      <c r="H302" s="20">
        <f t="shared" si="36"/>
        <v>36.969397818135192</v>
      </c>
      <c r="I302" s="20">
        <f t="shared" si="37"/>
        <v>-43.081491617920946</v>
      </c>
      <c r="J302" s="20">
        <f t="shared" si="38"/>
        <v>36.548585892924891</v>
      </c>
      <c r="K302" s="20">
        <f t="shared" si="39"/>
        <v>-43.110231351438955</v>
      </c>
    </row>
    <row r="303" spans="1:11">
      <c r="A303" s="18">
        <v>301</v>
      </c>
      <c r="B303" s="20">
        <v>348</v>
      </c>
      <c r="C303" s="20">
        <v>164</v>
      </c>
      <c r="D303" s="20">
        <f t="shared" si="32"/>
        <v>108.52198555004298</v>
      </c>
      <c r="E303" s="20">
        <f t="shared" si="33"/>
        <v>30.230110034125047</v>
      </c>
      <c r="F303" s="20">
        <f t="shared" si="34"/>
        <v>17.082489611144723</v>
      </c>
      <c r="G303" s="20">
        <f t="shared" si="35"/>
        <v>85.003287581071675</v>
      </c>
      <c r="H303" s="20">
        <f t="shared" si="36"/>
        <v>37.321041195357225</v>
      </c>
      <c r="I303" s="20">
        <f t="shared" si="37"/>
        <v>-42.962229246851322</v>
      </c>
      <c r="J303" s="20">
        <f t="shared" si="38"/>
        <v>36.900229270146923</v>
      </c>
      <c r="K303" s="20">
        <f t="shared" si="39"/>
        <v>-42.990968980369331</v>
      </c>
    </row>
    <row r="304" spans="1:11">
      <c r="A304" s="18">
        <v>302</v>
      </c>
      <c r="B304" s="20">
        <v>347</v>
      </c>
      <c r="C304" s="20">
        <v>164</v>
      </c>
      <c r="D304" s="20">
        <f t="shared" si="32"/>
        <v>108.0964862265869</v>
      </c>
      <c r="E304" s="20">
        <f t="shared" si="33"/>
        <v>30.230110034125047</v>
      </c>
      <c r="F304" s="20">
        <f t="shared" si="34"/>
        <v>17.713278121961096</v>
      </c>
      <c r="G304" s="20">
        <f t="shared" si="35"/>
        <v>84.874083966068781</v>
      </c>
      <c r="H304" s="20">
        <f t="shared" si="36"/>
        <v>37.951829706173598</v>
      </c>
      <c r="I304" s="20">
        <f t="shared" si="37"/>
        <v>-43.091432861854216</v>
      </c>
      <c r="J304" s="20">
        <f t="shared" si="38"/>
        <v>37.531017780963296</v>
      </c>
      <c r="K304" s="20">
        <f t="shared" si="39"/>
        <v>-43.120172595372225</v>
      </c>
    </row>
    <row r="305" spans="1:11">
      <c r="A305" s="18">
        <v>303</v>
      </c>
      <c r="B305" s="20">
        <v>346</v>
      </c>
      <c r="C305" s="20">
        <v>165</v>
      </c>
      <c r="D305" s="20">
        <f t="shared" si="32"/>
        <v>107.67098690313082</v>
      </c>
      <c r="E305" s="20">
        <f t="shared" si="33"/>
        <v>30.65560935758112</v>
      </c>
      <c r="F305" s="20">
        <f t="shared" si="34"/>
        <v>18.066654019477912</v>
      </c>
      <c r="G305" s="20">
        <f t="shared" si="35"/>
        <v>84.98811051101103</v>
      </c>
      <c r="H305" s="20">
        <f t="shared" si="36"/>
        <v>38.30520560369041</v>
      </c>
      <c r="I305" s="20">
        <f t="shared" si="37"/>
        <v>-42.977406316911967</v>
      </c>
      <c r="J305" s="20">
        <f t="shared" si="38"/>
        <v>37.884393678480109</v>
      </c>
      <c r="K305" s="20">
        <f t="shared" si="39"/>
        <v>-43.006146050429976</v>
      </c>
    </row>
    <row r="306" spans="1:11">
      <c r="A306" s="18">
        <v>304</v>
      </c>
      <c r="B306" s="20">
        <v>345</v>
      </c>
      <c r="C306" s="20">
        <v>165</v>
      </c>
      <c r="D306" s="20">
        <f t="shared" si="32"/>
        <v>107.24548757967474</v>
      </c>
      <c r="E306" s="20">
        <f t="shared" si="33"/>
        <v>30.65560935758112</v>
      </c>
      <c r="F306" s="20">
        <f t="shared" si="34"/>
        <v>18.697302682236995</v>
      </c>
      <c r="G306" s="20">
        <f t="shared" si="35"/>
        <v>84.851598618412339</v>
      </c>
      <c r="H306" s="20">
        <f t="shared" si="36"/>
        <v>38.935854266449496</v>
      </c>
      <c r="I306" s="20">
        <f t="shared" si="37"/>
        <v>-43.113918209510658</v>
      </c>
      <c r="J306" s="20">
        <f t="shared" si="38"/>
        <v>38.515042341239194</v>
      </c>
      <c r="K306" s="20">
        <f t="shared" si="39"/>
        <v>-43.142657943028667</v>
      </c>
    </row>
    <row r="307" spans="1:11">
      <c r="A307" s="18">
        <v>305</v>
      </c>
      <c r="B307" s="20">
        <v>345</v>
      </c>
      <c r="C307" s="20">
        <v>166</v>
      </c>
      <c r="D307" s="20">
        <f t="shared" si="32"/>
        <v>107.24548757967474</v>
      </c>
      <c r="E307" s="20">
        <f t="shared" si="33"/>
        <v>31.081108681037197</v>
      </c>
      <c r="F307" s="20">
        <f t="shared" si="34"/>
        <v>18.420866967405786</v>
      </c>
      <c r="G307" s="20">
        <f t="shared" si="35"/>
        <v>85.099509637657235</v>
      </c>
      <c r="H307" s="20">
        <f t="shared" si="36"/>
        <v>38.659418551618288</v>
      </c>
      <c r="I307" s="20">
        <f t="shared" si="37"/>
        <v>-42.866007190265762</v>
      </c>
      <c r="J307" s="20">
        <f t="shared" si="38"/>
        <v>38.238606626407986</v>
      </c>
      <c r="K307" s="20">
        <f t="shared" si="39"/>
        <v>-42.894746923783771</v>
      </c>
    </row>
    <row r="308" spans="1:11">
      <c r="A308" s="18">
        <v>306</v>
      </c>
      <c r="B308" s="20">
        <v>344</v>
      </c>
      <c r="C308" s="20">
        <v>166</v>
      </c>
      <c r="D308" s="20">
        <f t="shared" si="32"/>
        <v>106.81998825621868</v>
      </c>
      <c r="E308" s="20">
        <f t="shared" si="33"/>
        <v>31.081108681037197</v>
      </c>
      <c r="F308" s="20">
        <f t="shared" si="34"/>
        <v>19.052333145508236</v>
      </c>
      <c r="G308" s="20">
        <f t="shared" si="35"/>
        <v>84.96036418303035</v>
      </c>
      <c r="H308" s="20">
        <f t="shared" si="36"/>
        <v>39.290884729720737</v>
      </c>
      <c r="I308" s="20">
        <f t="shared" si="37"/>
        <v>-43.005152644892647</v>
      </c>
      <c r="J308" s="20">
        <f t="shared" si="38"/>
        <v>38.870072804510436</v>
      </c>
      <c r="K308" s="20">
        <f t="shared" si="39"/>
        <v>-43.033892378410656</v>
      </c>
    </row>
    <row r="309" spans="1:11">
      <c r="A309" s="18">
        <v>307</v>
      </c>
      <c r="B309" s="20">
        <v>343</v>
      </c>
      <c r="C309" s="20">
        <v>167</v>
      </c>
      <c r="D309" s="20">
        <f t="shared" si="32"/>
        <v>106.3944889327626</v>
      </c>
      <c r="E309" s="20">
        <f t="shared" si="33"/>
        <v>31.506608004493273</v>
      </c>
      <c r="F309" s="20">
        <f t="shared" si="34"/>
        <v>19.408161543968774</v>
      </c>
      <c r="G309" s="20">
        <f t="shared" si="35"/>
        <v>85.066490187130597</v>
      </c>
      <c r="H309" s="20">
        <f t="shared" si="36"/>
        <v>39.646713128181275</v>
      </c>
      <c r="I309" s="20">
        <f t="shared" si="37"/>
        <v>-42.8990266407924</v>
      </c>
      <c r="J309" s="20">
        <f t="shared" si="38"/>
        <v>39.225901202970974</v>
      </c>
      <c r="K309" s="20">
        <f t="shared" si="39"/>
        <v>-42.927766374310409</v>
      </c>
    </row>
    <row r="310" spans="1:11">
      <c r="A310" s="18">
        <v>308</v>
      </c>
      <c r="B310" s="20">
        <v>342</v>
      </c>
      <c r="C310" s="20">
        <v>167</v>
      </c>
      <c r="D310" s="20">
        <f t="shared" si="32"/>
        <v>105.96898960930652</v>
      </c>
      <c r="E310" s="20">
        <f t="shared" si="33"/>
        <v>31.506608004493273</v>
      </c>
      <c r="F310" s="20">
        <f t="shared" si="34"/>
        <v>20.039355284901774</v>
      </c>
      <c r="G310" s="20">
        <f t="shared" si="35"/>
        <v>84.920013701361668</v>
      </c>
      <c r="H310" s="20">
        <f t="shared" si="36"/>
        <v>40.277906869114275</v>
      </c>
      <c r="I310" s="20">
        <f t="shared" si="37"/>
        <v>-43.045503126561329</v>
      </c>
      <c r="J310" s="20">
        <f t="shared" si="38"/>
        <v>39.857094943903974</v>
      </c>
      <c r="K310" s="20">
        <f t="shared" si="39"/>
        <v>-43.074242860079337</v>
      </c>
    </row>
    <row r="311" spans="1:11">
      <c r="A311" s="18">
        <v>309</v>
      </c>
      <c r="B311" s="20">
        <v>341</v>
      </c>
      <c r="C311" s="20">
        <v>168</v>
      </c>
      <c r="D311" s="20">
        <f t="shared" si="32"/>
        <v>105.54349028585045</v>
      </c>
      <c r="E311" s="20">
        <f t="shared" si="33"/>
        <v>31.93210732794935</v>
      </c>
      <c r="F311" s="20">
        <f t="shared" si="34"/>
        <v>20.396720638334209</v>
      </c>
      <c r="G311" s="20">
        <f t="shared" si="35"/>
        <v>85.02084317157437</v>
      </c>
      <c r="H311" s="20">
        <f t="shared" si="36"/>
        <v>40.63527222254671</v>
      </c>
      <c r="I311" s="20">
        <f t="shared" si="37"/>
        <v>-42.944673656348627</v>
      </c>
      <c r="J311" s="20">
        <f t="shared" si="38"/>
        <v>40.214460297336409</v>
      </c>
      <c r="K311" s="20">
        <f t="shared" si="39"/>
        <v>-42.973413389866636</v>
      </c>
    </row>
    <row r="312" spans="1:11">
      <c r="A312" s="18">
        <v>310</v>
      </c>
      <c r="B312" s="20">
        <v>340</v>
      </c>
      <c r="C312" s="20">
        <v>169</v>
      </c>
      <c r="D312" s="20">
        <f t="shared" si="32"/>
        <v>105.11799096239437</v>
      </c>
      <c r="E312" s="20">
        <f t="shared" si="33"/>
        <v>32.357606651405426</v>
      </c>
      <c r="F312" s="20">
        <f t="shared" si="34"/>
        <v>20.754824926785286</v>
      </c>
      <c r="G312" s="20">
        <f t="shared" si="35"/>
        <v>85.119015960524393</v>
      </c>
      <c r="H312" s="20">
        <f t="shared" si="36"/>
        <v>40.993376510997791</v>
      </c>
      <c r="I312" s="20">
        <f t="shared" si="37"/>
        <v>-42.846500867398603</v>
      </c>
      <c r="J312" s="20">
        <f t="shared" si="38"/>
        <v>40.572564585787489</v>
      </c>
      <c r="K312" s="20">
        <f t="shared" si="39"/>
        <v>-42.875240600916612</v>
      </c>
    </row>
    <row r="313" spans="1:11">
      <c r="A313" s="18">
        <v>311</v>
      </c>
      <c r="B313" s="20">
        <v>339</v>
      </c>
      <c r="C313" s="20">
        <v>169</v>
      </c>
      <c r="D313" s="20">
        <f t="shared" si="32"/>
        <v>104.69249163893829</v>
      </c>
      <c r="E313" s="20">
        <f t="shared" si="33"/>
        <v>32.357606651405426</v>
      </c>
      <c r="F313" s="20">
        <f t="shared" si="34"/>
        <v>21.386371604985978</v>
      </c>
      <c r="G313" s="20">
        <f t="shared" si="35"/>
        <v>84.962537305585244</v>
      </c>
      <c r="H313" s="20">
        <f t="shared" si="36"/>
        <v>41.624923189198483</v>
      </c>
      <c r="I313" s="20">
        <f t="shared" si="37"/>
        <v>-43.002979522337753</v>
      </c>
      <c r="J313" s="20">
        <f t="shared" si="38"/>
        <v>41.204111263988182</v>
      </c>
      <c r="K313" s="20">
        <f t="shared" si="39"/>
        <v>-43.031719255855762</v>
      </c>
    </row>
    <row r="314" spans="1:11">
      <c r="A314" s="18">
        <v>312</v>
      </c>
      <c r="B314" s="20">
        <v>338</v>
      </c>
      <c r="C314" s="20">
        <v>170</v>
      </c>
      <c r="D314" s="20">
        <f t="shared" si="32"/>
        <v>104.26699231548223</v>
      </c>
      <c r="E314" s="20">
        <f t="shared" si="33"/>
        <v>32.783105974861499</v>
      </c>
      <c r="F314" s="20">
        <f t="shared" si="34"/>
        <v>21.745894474778176</v>
      </c>
      <c r="G314" s="20">
        <f t="shared" si="35"/>
        <v>85.055380635952389</v>
      </c>
      <c r="H314" s="20">
        <f t="shared" si="36"/>
        <v>41.984446058990677</v>
      </c>
      <c r="I314" s="20">
        <f t="shared" si="37"/>
        <v>-42.910136191970608</v>
      </c>
      <c r="J314" s="20">
        <f t="shared" si="38"/>
        <v>41.563634133780376</v>
      </c>
      <c r="K314" s="20">
        <f t="shared" si="39"/>
        <v>-42.938875925488617</v>
      </c>
    </row>
    <row r="315" spans="1:11">
      <c r="A315" s="18">
        <v>313</v>
      </c>
      <c r="B315" s="20">
        <v>337</v>
      </c>
      <c r="C315" s="20">
        <v>170</v>
      </c>
      <c r="D315" s="20">
        <f t="shared" si="32"/>
        <v>103.84149299202615</v>
      </c>
      <c r="E315" s="20">
        <f t="shared" si="33"/>
        <v>32.783105974861499</v>
      </c>
      <c r="F315" s="20">
        <f t="shared" si="34"/>
        <v>22.376941249173498</v>
      </c>
      <c r="G315" s="20">
        <f t="shared" si="35"/>
        <v>84.891543760058767</v>
      </c>
      <c r="H315" s="20">
        <f t="shared" si="36"/>
        <v>42.615492833386</v>
      </c>
      <c r="I315" s="20">
        <f t="shared" si="37"/>
        <v>-43.07397306786423</v>
      </c>
      <c r="J315" s="20">
        <f t="shared" si="38"/>
        <v>42.194680908175698</v>
      </c>
      <c r="K315" s="20">
        <f t="shared" si="39"/>
        <v>-43.102712801382239</v>
      </c>
    </row>
    <row r="316" spans="1:11">
      <c r="A316" s="18">
        <v>314</v>
      </c>
      <c r="B316" s="20">
        <v>336</v>
      </c>
      <c r="C316" s="20">
        <v>171</v>
      </c>
      <c r="D316" s="20">
        <f t="shared" si="32"/>
        <v>103.41599366857007</v>
      </c>
      <c r="E316" s="20">
        <f t="shared" si="33"/>
        <v>33.208605298317579</v>
      </c>
      <c r="F316" s="20">
        <f t="shared" si="34"/>
        <v>22.737803389747597</v>
      </c>
      <c r="G316" s="20">
        <f t="shared" si="35"/>
        <v>84.97903715065236</v>
      </c>
      <c r="H316" s="20">
        <f t="shared" si="36"/>
        <v>42.976354973960099</v>
      </c>
      <c r="I316" s="20">
        <f t="shared" si="37"/>
        <v>-42.986479677270637</v>
      </c>
      <c r="J316" s="20">
        <f t="shared" si="38"/>
        <v>42.555543048749797</v>
      </c>
      <c r="K316" s="20">
        <f t="shared" si="39"/>
        <v>-43.015219410788646</v>
      </c>
    </row>
    <row r="317" spans="1:11">
      <c r="A317" s="18">
        <v>315</v>
      </c>
      <c r="B317" s="20">
        <v>335</v>
      </c>
      <c r="C317" s="20">
        <v>172</v>
      </c>
      <c r="D317" s="20">
        <f t="shared" si="32"/>
        <v>102.99049434511399</v>
      </c>
      <c r="E317" s="20">
        <f t="shared" si="33"/>
        <v>33.634104621773652</v>
      </c>
      <c r="F317" s="20">
        <f t="shared" si="34"/>
        <v>23.099305331241936</v>
      </c>
      <c r="G317" s="20">
        <f t="shared" si="35"/>
        <v>85.063848259553907</v>
      </c>
      <c r="H317" s="20">
        <f t="shared" si="36"/>
        <v>43.337856915454438</v>
      </c>
      <c r="I317" s="20">
        <f t="shared" si="37"/>
        <v>-42.901668568369089</v>
      </c>
      <c r="J317" s="20">
        <f t="shared" si="38"/>
        <v>42.917044990244136</v>
      </c>
      <c r="K317" s="20">
        <f t="shared" si="39"/>
        <v>-42.930408301887098</v>
      </c>
    </row>
    <row r="318" spans="1:11">
      <c r="A318" s="18">
        <v>316</v>
      </c>
      <c r="B318" s="20">
        <v>334</v>
      </c>
      <c r="C318" s="20">
        <v>172</v>
      </c>
      <c r="D318" s="20">
        <f t="shared" si="32"/>
        <v>102.56499502165792</v>
      </c>
      <c r="E318" s="20">
        <f t="shared" si="33"/>
        <v>33.634104621773652</v>
      </c>
      <c r="F318" s="20">
        <f t="shared" si="34"/>
        <v>23.730377667984186</v>
      </c>
      <c r="G318" s="20">
        <f t="shared" si="35"/>
        <v>84.889960320671548</v>
      </c>
      <c r="H318" s="20">
        <f t="shared" si="36"/>
        <v>43.968929252196688</v>
      </c>
      <c r="I318" s="20">
        <f t="shared" si="37"/>
        <v>-43.075556507251449</v>
      </c>
      <c r="J318" s="20">
        <f t="shared" si="38"/>
        <v>43.548117326986386</v>
      </c>
      <c r="K318" s="20">
        <f t="shared" si="39"/>
        <v>-43.104296240769457</v>
      </c>
    </row>
    <row r="319" spans="1:11">
      <c r="A319" s="18">
        <v>317</v>
      </c>
      <c r="B319" s="20">
        <v>333</v>
      </c>
      <c r="C319" s="20">
        <v>173</v>
      </c>
      <c r="D319" s="20">
        <f t="shared" si="32"/>
        <v>102.13949569820184</v>
      </c>
      <c r="E319" s="20">
        <f t="shared" si="33"/>
        <v>34.059603945229725</v>
      </c>
      <c r="F319" s="20">
        <f t="shared" si="34"/>
        <v>24.093099365952398</v>
      </c>
      <c r="G319" s="20">
        <f t="shared" si="35"/>
        <v>84.969392982217911</v>
      </c>
      <c r="H319" s="20">
        <f t="shared" si="36"/>
        <v>44.331650950164899</v>
      </c>
      <c r="I319" s="20">
        <f t="shared" si="37"/>
        <v>-42.996123845705085</v>
      </c>
      <c r="J319" s="20">
        <f t="shared" si="38"/>
        <v>43.910839024954598</v>
      </c>
      <c r="K319" s="20">
        <f t="shared" si="39"/>
        <v>-43.024863579223094</v>
      </c>
    </row>
    <row r="320" spans="1:11">
      <c r="A320" s="18">
        <v>318</v>
      </c>
      <c r="B320" s="20">
        <v>332</v>
      </c>
      <c r="C320" s="20">
        <v>174</v>
      </c>
      <c r="D320" s="20">
        <f t="shared" si="32"/>
        <v>101.71399637474576</v>
      </c>
      <c r="E320" s="20">
        <f t="shared" si="33"/>
        <v>34.485103268685805</v>
      </c>
      <c r="F320" s="20">
        <f t="shared" si="34"/>
        <v>24.456400952203918</v>
      </c>
      <c r="G320" s="20">
        <f t="shared" si="35"/>
        <v>85.046129774725927</v>
      </c>
      <c r="H320" s="20">
        <f t="shared" si="36"/>
        <v>44.694952536416423</v>
      </c>
      <c r="I320" s="20">
        <f t="shared" si="37"/>
        <v>-42.91938705319707</v>
      </c>
      <c r="J320" s="20">
        <f t="shared" si="38"/>
        <v>44.274140611206121</v>
      </c>
      <c r="K320" s="20">
        <f t="shared" si="39"/>
        <v>-42.948126786715079</v>
      </c>
    </row>
    <row r="321" spans="1:11">
      <c r="A321" s="18">
        <v>319</v>
      </c>
      <c r="B321" s="20">
        <v>331</v>
      </c>
      <c r="C321" s="20">
        <v>174</v>
      </c>
      <c r="D321" s="20">
        <f t="shared" si="32"/>
        <v>101.2884970512897</v>
      </c>
      <c r="E321" s="20">
        <f t="shared" si="33"/>
        <v>34.485103268685805</v>
      </c>
      <c r="F321" s="20">
        <f t="shared" si="34"/>
        <v>25.087304283894944</v>
      </c>
      <c r="G321" s="20">
        <f t="shared" si="35"/>
        <v>84.862164130793587</v>
      </c>
      <c r="H321" s="20">
        <f t="shared" si="36"/>
        <v>45.325855868107446</v>
      </c>
      <c r="I321" s="20">
        <f t="shared" si="37"/>
        <v>-43.103352697129409</v>
      </c>
      <c r="J321" s="20">
        <f t="shared" si="38"/>
        <v>44.905043942897144</v>
      </c>
      <c r="K321" s="20">
        <f t="shared" si="39"/>
        <v>-43.132092430647418</v>
      </c>
    </row>
    <row r="322" spans="1:11">
      <c r="A322" s="18">
        <v>320</v>
      </c>
      <c r="B322" s="20">
        <v>330</v>
      </c>
      <c r="C322" s="20">
        <v>175</v>
      </c>
      <c r="D322" s="20">
        <f t="shared" ref="D322:D361" si="40">(B322-92.9538)/2.35018</f>
        <v>100.86299772783362</v>
      </c>
      <c r="E322" s="20">
        <f t="shared" ref="E322:E361" si="41">(C322-92.9538)/2.35018</f>
        <v>34.910602592141878</v>
      </c>
      <c r="F322" s="20">
        <f t="shared" ref="F322:F361" si="42">50*COS(RADIANS(D322))+50*COS(RADIANS(D322+E322-90))</f>
        <v>25.451705506901533</v>
      </c>
      <c r="G322" s="20">
        <f t="shared" ref="G322:G361" si="43">50*SIN(RADIANS(D322))+50*SIN(RADIANS(D322+E322-90))</f>
        <v>84.933496637889547</v>
      </c>
      <c r="H322" s="20">
        <f t="shared" ref="H322:H361" si="44">F322+20.2385515842125</f>
        <v>45.690257091114034</v>
      </c>
      <c r="I322" s="20">
        <f t="shared" ref="I322:I361" si="45">G322+-127.965516827923</f>
        <v>-43.03202019003345</v>
      </c>
      <c r="J322" s="20">
        <f t="shared" ref="J322:J361" si="46">F322+19.8177396590022</f>
        <v>45.269445165903733</v>
      </c>
      <c r="K322" s="20">
        <f t="shared" ref="K322:K361" si="47">G322+-127.994256561441</f>
        <v>-43.060759923551458</v>
      </c>
    </row>
    <row r="323" spans="1:11">
      <c r="A323" s="18">
        <v>321</v>
      </c>
      <c r="B323" s="20">
        <v>329</v>
      </c>
      <c r="C323" s="20">
        <v>176</v>
      </c>
      <c r="D323" s="20">
        <f t="shared" si="40"/>
        <v>100.43749840437754</v>
      </c>
      <c r="E323" s="20">
        <f t="shared" si="41"/>
        <v>35.336101915597958</v>
      </c>
      <c r="F323" s="20">
        <f t="shared" si="42"/>
        <v>25.816626417734213</v>
      </c>
      <c r="G323" s="20">
        <f t="shared" si="43"/>
        <v>85.00212102666157</v>
      </c>
      <c r="H323" s="20">
        <f t="shared" si="44"/>
        <v>46.055178001946715</v>
      </c>
      <c r="I323" s="20">
        <f t="shared" si="45"/>
        <v>-42.963395801261427</v>
      </c>
      <c r="J323" s="20">
        <f t="shared" si="46"/>
        <v>45.634366076736413</v>
      </c>
      <c r="K323" s="20">
        <f t="shared" si="47"/>
        <v>-42.992135534779436</v>
      </c>
    </row>
    <row r="324" spans="1:11">
      <c r="A324" s="18">
        <v>322</v>
      </c>
      <c r="B324" s="20">
        <v>328</v>
      </c>
      <c r="C324" s="20">
        <v>176</v>
      </c>
      <c r="D324" s="20">
        <f t="shared" si="40"/>
        <v>100.01199908092147</v>
      </c>
      <c r="E324" s="20">
        <f t="shared" si="41"/>
        <v>35.336101915597958</v>
      </c>
      <c r="F324" s="20">
        <f t="shared" si="42"/>
        <v>26.447165418793549</v>
      </c>
      <c r="G324" s="20">
        <f t="shared" si="43"/>
        <v>84.808055159489683</v>
      </c>
      <c r="H324" s="20">
        <f t="shared" si="44"/>
        <v>46.685717003006047</v>
      </c>
      <c r="I324" s="20">
        <f t="shared" si="45"/>
        <v>-43.157461668433314</v>
      </c>
      <c r="J324" s="20">
        <f t="shared" si="46"/>
        <v>46.264905077795746</v>
      </c>
      <c r="K324" s="20">
        <f t="shared" si="47"/>
        <v>-43.186201401951323</v>
      </c>
    </row>
    <row r="325" spans="1:11">
      <c r="A325" s="18">
        <v>323</v>
      </c>
      <c r="B325" s="20">
        <v>327</v>
      </c>
      <c r="C325" s="20">
        <v>177</v>
      </c>
      <c r="D325" s="20">
        <f t="shared" si="40"/>
        <v>99.58649975746539</v>
      </c>
      <c r="E325" s="20">
        <f t="shared" si="41"/>
        <v>35.761601239054031</v>
      </c>
      <c r="F325" s="20">
        <f t="shared" si="42"/>
        <v>26.813065300871607</v>
      </c>
      <c r="G325" s="20">
        <f t="shared" si="43"/>
        <v>84.871252107141913</v>
      </c>
      <c r="H325" s="20">
        <f t="shared" si="44"/>
        <v>47.051616885084108</v>
      </c>
      <c r="I325" s="20">
        <f t="shared" si="45"/>
        <v>-43.094264720781084</v>
      </c>
      <c r="J325" s="20">
        <f t="shared" si="46"/>
        <v>46.630804959873807</v>
      </c>
      <c r="K325" s="20">
        <f t="shared" si="47"/>
        <v>-43.123004454299092</v>
      </c>
    </row>
    <row r="326" spans="1:11">
      <c r="A326" s="18">
        <v>324</v>
      </c>
      <c r="B326" s="20">
        <v>326</v>
      </c>
      <c r="C326" s="20">
        <v>178</v>
      </c>
      <c r="D326" s="20">
        <f t="shared" si="40"/>
        <v>99.16100043400931</v>
      </c>
      <c r="E326" s="20">
        <f t="shared" si="41"/>
        <v>36.187100562510103</v>
      </c>
      <c r="F326" s="20">
        <f t="shared" si="42"/>
        <v>27.179424412378033</v>
      </c>
      <c r="G326" s="20">
        <f t="shared" si="43"/>
        <v>84.931730031325117</v>
      </c>
      <c r="H326" s="20">
        <f t="shared" si="44"/>
        <v>47.417975996590535</v>
      </c>
      <c r="I326" s="20">
        <f t="shared" si="45"/>
        <v>-43.03378679659788</v>
      </c>
      <c r="J326" s="20">
        <f t="shared" si="46"/>
        <v>46.997164071380233</v>
      </c>
      <c r="K326" s="20">
        <f t="shared" si="47"/>
        <v>-43.062526530115889</v>
      </c>
    </row>
    <row r="327" spans="1:11">
      <c r="A327" s="18">
        <v>325</v>
      </c>
      <c r="B327" s="20">
        <v>325</v>
      </c>
      <c r="C327" s="20">
        <v>179</v>
      </c>
      <c r="D327" s="20">
        <f t="shared" si="40"/>
        <v>98.73550111055323</v>
      </c>
      <c r="E327" s="20">
        <f t="shared" si="41"/>
        <v>36.612599885966183</v>
      </c>
      <c r="F327" s="20">
        <f t="shared" si="42"/>
        <v>27.546222548376605</v>
      </c>
      <c r="G327" s="20">
        <f t="shared" si="43"/>
        <v>84.98948559664359</v>
      </c>
      <c r="H327" s="20">
        <f t="shared" si="44"/>
        <v>47.784774132589106</v>
      </c>
      <c r="I327" s="20">
        <f t="shared" si="45"/>
        <v>-42.976031231279407</v>
      </c>
      <c r="J327" s="20">
        <f t="shared" si="46"/>
        <v>47.363962207378805</v>
      </c>
      <c r="K327" s="20">
        <f t="shared" si="47"/>
        <v>-43.004770964797416</v>
      </c>
    </row>
    <row r="328" spans="1:11">
      <c r="A328" s="18">
        <v>326</v>
      </c>
      <c r="B328" s="20">
        <v>324</v>
      </c>
      <c r="C328" s="20">
        <v>179</v>
      </c>
      <c r="D328" s="20">
        <f t="shared" si="40"/>
        <v>98.310001787097164</v>
      </c>
      <c r="E328" s="20">
        <f t="shared" si="41"/>
        <v>36.612599885966183</v>
      </c>
      <c r="F328" s="20">
        <f t="shared" si="42"/>
        <v>28.176620020834701</v>
      </c>
      <c r="G328" s="20">
        <f t="shared" si="43"/>
        <v>84.78257558524794</v>
      </c>
      <c r="H328" s="20">
        <f t="shared" si="44"/>
        <v>48.415171605047206</v>
      </c>
      <c r="I328" s="20">
        <f t="shared" si="45"/>
        <v>-43.182941242675057</v>
      </c>
      <c r="J328" s="20">
        <f t="shared" si="46"/>
        <v>47.994359679836904</v>
      </c>
      <c r="K328" s="20">
        <f t="shared" si="47"/>
        <v>-43.211680976193065</v>
      </c>
    </row>
    <row r="329" spans="1:11">
      <c r="A329" s="18">
        <v>327</v>
      </c>
      <c r="B329" s="20">
        <v>323</v>
      </c>
      <c r="C329" s="20">
        <v>180</v>
      </c>
      <c r="D329" s="20">
        <f t="shared" si="40"/>
        <v>97.884502463641084</v>
      </c>
      <c r="E329" s="20">
        <f t="shared" si="41"/>
        <v>37.038099209422256</v>
      </c>
      <c r="F329" s="20">
        <f t="shared" si="42"/>
        <v>28.54423549527462</v>
      </c>
      <c r="G329" s="20">
        <f t="shared" si="43"/>
        <v>84.834877027384792</v>
      </c>
      <c r="H329" s="20">
        <f t="shared" si="44"/>
        <v>48.782787079487122</v>
      </c>
      <c r="I329" s="20">
        <f t="shared" si="45"/>
        <v>-43.130639800538205</v>
      </c>
      <c r="J329" s="20">
        <f t="shared" si="46"/>
        <v>48.36197515427682</v>
      </c>
      <c r="K329" s="20">
        <f t="shared" si="47"/>
        <v>-43.159379534056214</v>
      </c>
    </row>
    <row r="330" spans="1:11">
      <c r="A330" s="18">
        <v>328</v>
      </c>
      <c r="B330" s="20">
        <v>322</v>
      </c>
      <c r="C330" s="20">
        <v>181</v>
      </c>
      <c r="D330" s="20">
        <f t="shared" si="40"/>
        <v>97.459003140185004</v>
      </c>
      <c r="E330" s="20">
        <f t="shared" si="41"/>
        <v>37.463598532878336</v>
      </c>
      <c r="F330" s="20">
        <f t="shared" si="42"/>
        <v>28.912229238587013</v>
      </c>
      <c r="G330" s="20">
        <f t="shared" si="43"/>
        <v>84.8844470060031</v>
      </c>
      <c r="H330" s="20">
        <f t="shared" si="44"/>
        <v>49.150780822799518</v>
      </c>
      <c r="I330" s="20">
        <f t="shared" si="45"/>
        <v>-43.081069821919897</v>
      </c>
      <c r="J330" s="20">
        <f t="shared" si="46"/>
        <v>48.729968897589217</v>
      </c>
      <c r="K330" s="20">
        <f t="shared" si="47"/>
        <v>-43.109809555437906</v>
      </c>
    </row>
    <row r="331" spans="1:11">
      <c r="A331" s="18">
        <v>329</v>
      </c>
      <c r="B331" s="20">
        <v>321</v>
      </c>
      <c r="C331" s="20">
        <v>182</v>
      </c>
      <c r="D331" s="20">
        <f t="shared" si="40"/>
        <v>97.033503816728938</v>
      </c>
      <c r="E331" s="20">
        <f t="shared" si="41"/>
        <v>37.889097856334409</v>
      </c>
      <c r="F331" s="20">
        <f t="shared" si="42"/>
        <v>29.280580955684648</v>
      </c>
      <c r="G331" s="20">
        <f t="shared" si="43"/>
        <v>84.931282787287245</v>
      </c>
      <c r="H331" s="20">
        <f t="shared" si="44"/>
        <v>49.51913253989715</v>
      </c>
      <c r="I331" s="20">
        <f t="shared" si="45"/>
        <v>-43.034234040635752</v>
      </c>
      <c r="J331" s="20">
        <f t="shared" si="46"/>
        <v>49.098320614686848</v>
      </c>
      <c r="K331" s="20">
        <f t="shared" si="47"/>
        <v>-43.062973774153761</v>
      </c>
    </row>
    <row r="332" spans="1:11">
      <c r="A332" s="18">
        <v>330</v>
      </c>
      <c r="B332" s="20">
        <v>320</v>
      </c>
      <c r="C332" s="20">
        <v>183</v>
      </c>
      <c r="D332" s="20">
        <f t="shared" si="40"/>
        <v>96.608004493272858</v>
      </c>
      <c r="E332" s="20">
        <f t="shared" si="41"/>
        <v>38.314597179790482</v>
      </c>
      <c r="F332" s="20">
        <f t="shared" si="42"/>
        <v>29.649270331737871</v>
      </c>
      <c r="G332" s="20">
        <f t="shared" si="43"/>
        <v>84.975381788214335</v>
      </c>
      <c r="H332" s="20">
        <f t="shared" si="44"/>
        <v>49.887821915950369</v>
      </c>
      <c r="I332" s="20">
        <f t="shared" si="45"/>
        <v>-42.990135039708662</v>
      </c>
      <c r="J332" s="20">
        <f t="shared" si="46"/>
        <v>49.467009990740067</v>
      </c>
      <c r="K332" s="20">
        <f t="shared" si="47"/>
        <v>-43.018874773226671</v>
      </c>
    </row>
    <row r="333" spans="1:11">
      <c r="A333" s="18">
        <v>331</v>
      </c>
      <c r="B333" s="20">
        <v>319</v>
      </c>
      <c r="C333" s="20">
        <v>184</v>
      </c>
      <c r="D333" s="20">
        <f t="shared" si="40"/>
        <v>96.182505169816778</v>
      </c>
      <c r="E333" s="20">
        <f t="shared" si="41"/>
        <v>38.740096503246562</v>
      </c>
      <c r="F333" s="20">
        <f t="shared" si="42"/>
        <v>30.018277033294886</v>
      </c>
      <c r="G333" s="20">
        <f t="shared" si="43"/>
        <v>85.016741576696631</v>
      </c>
      <c r="H333" s="20">
        <f t="shared" si="44"/>
        <v>50.256828617507388</v>
      </c>
      <c r="I333" s="20">
        <f t="shared" si="45"/>
        <v>-42.948775251226365</v>
      </c>
      <c r="J333" s="20">
        <f t="shared" si="46"/>
        <v>49.836016692297086</v>
      </c>
      <c r="K333" s="20">
        <f t="shared" si="47"/>
        <v>-42.977514984744374</v>
      </c>
    </row>
    <row r="334" spans="1:11">
      <c r="A334" s="18">
        <v>332</v>
      </c>
      <c r="B334" s="20">
        <v>318</v>
      </c>
      <c r="C334" s="20">
        <v>185</v>
      </c>
      <c r="D334" s="20">
        <f t="shared" si="40"/>
        <v>95.757005846360713</v>
      </c>
      <c r="E334" s="20">
        <f t="shared" si="41"/>
        <v>39.165595826702635</v>
      </c>
      <c r="F334" s="20">
        <f t="shared" si="42"/>
        <v>30.387580709403174</v>
      </c>
      <c r="G334" s="20">
        <f t="shared" si="43"/>
        <v>85.055359871715694</v>
      </c>
      <c r="H334" s="20">
        <f t="shared" si="44"/>
        <v>50.626132293615676</v>
      </c>
      <c r="I334" s="20">
        <f t="shared" si="45"/>
        <v>-42.910156956207302</v>
      </c>
      <c r="J334" s="20">
        <f t="shared" si="46"/>
        <v>50.205320368405374</v>
      </c>
      <c r="K334" s="20">
        <f t="shared" si="47"/>
        <v>-42.938896689725311</v>
      </c>
    </row>
    <row r="335" spans="1:11">
      <c r="A335" s="18">
        <v>333</v>
      </c>
      <c r="B335" s="20">
        <v>317</v>
      </c>
      <c r="C335" s="20">
        <v>186</v>
      </c>
      <c r="D335" s="20">
        <f t="shared" si="40"/>
        <v>95.331506522904633</v>
      </c>
      <c r="E335" s="20">
        <f t="shared" si="41"/>
        <v>39.591095150158715</v>
      </c>
      <c r="F335" s="20">
        <f t="shared" si="42"/>
        <v>30.757160992731933</v>
      </c>
      <c r="G335" s="20">
        <f t="shared" si="43"/>
        <v>85.091234543448167</v>
      </c>
      <c r="H335" s="20">
        <f t="shared" si="44"/>
        <v>50.995712576944435</v>
      </c>
      <c r="I335" s="20">
        <f t="shared" si="45"/>
        <v>-42.87428228447483</v>
      </c>
      <c r="J335" s="20">
        <f t="shared" si="46"/>
        <v>50.574900651734133</v>
      </c>
      <c r="K335" s="20">
        <f t="shared" si="47"/>
        <v>-42.903022017992839</v>
      </c>
    </row>
    <row r="336" spans="1:11">
      <c r="A336" s="18">
        <v>334</v>
      </c>
      <c r="B336" s="20">
        <v>316</v>
      </c>
      <c r="C336" s="20">
        <v>186</v>
      </c>
      <c r="D336" s="20">
        <f t="shared" si="40"/>
        <v>94.906007199448553</v>
      </c>
      <c r="E336" s="20">
        <f t="shared" si="41"/>
        <v>39.591095150158715</v>
      </c>
      <c r="F336" s="20">
        <f t="shared" si="42"/>
        <v>31.388225540335419</v>
      </c>
      <c r="G336" s="20">
        <f t="shared" si="43"/>
        <v>84.860476347295943</v>
      </c>
      <c r="H336" s="20">
        <f t="shared" si="44"/>
        <v>51.626777124547921</v>
      </c>
      <c r="I336" s="20">
        <f t="shared" si="45"/>
        <v>-43.105040480627054</v>
      </c>
      <c r="J336" s="20">
        <f t="shared" si="46"/>
        <v>51.205965199337619</v>
      </c>
      <c r="K336" s="20">
        <f t="shared" si="47"/>
        <v>-43.133780214145062</v>
      </c>
    </row>
    <row r="337" spans="1:11">
      <c r="A337" s="18">
        <v>335</v>
      </c>
      <c r="B337" s="20">
        <v>315</v>
      </c>
      <c r="C337" s="20">
        <v>187</v>
      </c>
      <c r="D337" s="20">
        <f t="shared" si="40"/>
        <v>94.480507875992473</v>
      </c>
      <c r="E337" s="20">
        <f t="shared" si="41"/>
        <v>40.016594473614788</v>
      </c>
      <c r="F337" s="20">
        <f t="shared" si="42"/>
        <v>31.758297876216503</v>
      </c>
      <c r="G337" s="20">
        <f t="shared" si="43"/>
        <v>84.890857988344564</v>
      </c>
      <c r="H337" s="20">
        <f t="shared" si="44"/>
        <v>51.996849460429004</v>
      </c>
      <c r="I337" s="20">
        <f t="shared" si="45"/>
        <v>-43.074658839578433</v>
      </c>
      <c r="J337" s="20">
        <f t="shared" si="46"/>
        <v>51.576037535218703</v>
      </c>
      <c r="K337" s="20">
        <f t="shared" si="47"/>
        <v>-43.103398573096442</v>
      </c>
    </row>
    <row r="338" spans="1:11">
      <c r="A338" s="18">
        <v>336</v>
      </c>
      <c r="B338" s="20">
        <v>314</v>
      </c>
      <c r="C338" s="20">
        <v>188</v>
      </c>
      <c r="D338" s="20">
        <f t="shared" si="40"/>
        <v>94.055008552536407</v>
      </c>
      <c r="E338" s="20">
        <f t="shared" si="41"/>
        <v>40.442093797070861</v>
      </c>
      <c r="F338" s="20">
        <f t="shared" si="42"/>
        <v>32.128585630292392</v>
      </c>
      <c r="G338" s="20">
        <f t="shared" si="43"/>
        <v>84.91849052494004</v>
      </c>
      <c r="H338" s="20">
        <f t="shared" si="44"/>
        <v>52.367137214504893</v>
      </c>
      <c r="I338" s="20">
        <f t="shared" si="45"/>
        <v>-43.047026302982957</v>
      </c>
      <c r="J338" s="20">
        <f t="shared" si="46"/>
        <v>51.946325289294592</v>
      </c>
      <c r="K338" s="20">
        <f t="shared" si="47"/>
        <v>-43.075766036500966</v>
      </c>
    </row>
    <row r="339" spans="1:11">
      <c r="A339" s="18">
        <v>337</v>
      </c>
      <c r="B339" s="20">
        <v>313</v>
      </c>
      <c r="C339" s="20">
        <v>189</v>
      </c>
      <c r="D339" s="20">
        <f t="shared" si="40"/>
        <v>93.629509229080327</v>
      </c>
      <c r="E339" s="20">
        <f t="shared" si="41"/>
        <v>40.867593120526941</v>
      </c>
      <c r="F339" s="20">
        <f t="shared" si="42"/>
        <v>32.499068380959798</v>
      </c>
      <c r="G339" s="20">
        <f t="shared" si="43"/>
        <v>84.94337243313052</v>
      </c>
      <c r="H339" s="20">
        <f t="shared" si="44"/>
        <v>52.7376199651723</v>
      </c>
      <c r="I339" s="20">
        <f t="shared" si="45"/>
        <v>-43.022144394792477</v>
      </c>
      <c r="J339" s="20">
        <f t="shared" si="46"/>
        <v>52.316808039961998</v>
      </c>
      <c r="K339" s="20">
        <f t="shared" si="47"/>
        <v>-43.050884128310486</v>
      </c>
    </row>
    <row r="340" spans="1:11">
      <c r="A340" s="18">
        <v>338</v>
      </c>
      <c r="B340" s="20">
        <v>312</v>
      </c>
      <c r="C340" s="20">
        <v>190</v>
      </c>
      <c r="D340" s="20">
        <f t="shared" si="40"/>
        <v>93.204009905624247</v>
      </c>
      <c r="E340" s="20">
        <f t="shared" si="41"/>
        <v>41.293092443983014</v>
      </c>
      <c r="F340" s="20">
        <f t="shared" si="42"/>
        <v>32.869725695861163</v>
      </c>
      <c r="G340" s="20">
        <f t="shared" si="43"/>
        <v>84.965502340663036</v>
      </c>
      <c r="H340" s="20">
        <f t="shared" si="44"/>
        <v>53.108277280073665</v>
      </c>
      <c r="I340" s="20">
        <f t="shared" si="45"/>
        <v>-43.000014487259961</v>
      </c>
      <c r="J340" s="20">
        <f t="shared" si="46"/>
        <v>52.687465354863363</v>
      </c>
      <c r="K340" s="20">
        <f t="shared" si="47"/>
        <v>-43.028754220777969</v>
      </c>
    </row>
    <row r="341" spans="1:11">
      <c r="A341" s="18">
        <v>339</v>
      </c>
      <c r="B341" s="20">
        <v>311</v>
      </c>
      <c r="C341" s="20">
        <v>191</v>
      </c>
      <c r="D341" s="20">
        <f t="shared" si="40"/>
        <v>92.778510582168181</v>
      </c>
      <c r="E341" s="20">
        <f t="shared" si="41"/>
        <v>41.718591767439094</v>
      </c>
      <c r="F341" s="20">
        <f t="shared" si="42"/>
        <v>33.240537133011593</v>
      </c>
      <c r="G341" s="20">
        <f t="shared" si="43"/>
        <v>84.984879027059293</v>
      </c>
      <c r="H341" s="20">
        <f t="shared" si="44"/>
        <v>53.479088717224094</v>
      </c>
      <c r="I341" s="20">
        <f t="shared" si="45"/>
        <v>-42.980637800863704</v>
      </c>
      <c r="J341" s="20">
        <f t="shared" si="46"/>
        <v>53.058276792013793</v>
      </c>
      <c r="K341" s="20">
        <f t="shared" si="47"/>
        <v>-43.009377534381713</v>
      </c>
    </row>
    <row r="342" spans="1:11">
      <c r="A342" s="18">
        <v>340</v>
      </c>
      <c r="B342" s="20">
        <v>310</v>
      </c>
      <c r="C342" s="20">
        <v>192</v>
      </c>
      <c r="D342" s="20">
        <f t="shared" si="40"/>
        <v>92.353011258712101</v>
      </c>
      <c r="E342" s="20">
        <f t="shared" si="41"/>
        <v>42.144091090895166</v>
      </c>
      <c r="F342" s="20">
        <f t="shared" si="42"/>
        <v>33.611482241926353</v>
      </c>
      <c r="G342" s="20">
        <f t="shared" si="43"/>
        <v>85.001501423682726</v>
      </c>
      <c r="H342" s="20">
        <f t="shared" si="44"/>
        <v>53.850033826138855</v>
      </c>
      <c r="I342" s="20">
        <f t="shared" si="45"/>
        <v>-42.964015404240271</v>
      </c>
      <c r="J342" s="20">
        <f t="shared" si="46"/>
        <v>53.429221900928553</v>
      </c>
      <c r="K342" s="20">
        <f t="shared" si="47"/>
        <v>-42.99275513775828</v>
      </c>
    </row>
    <row r="343" spans="1:11">
      <c r="A343" s="18">
        <v>341</v>
      </c>
      <c r="B343" s="20">
        <v>308</v>
      </c>
      <c r="C343" s="20">
        <v>194</v>
      </c>
      <c r="D343" s="20">
        <f t="shared" si="40"/>
        <v>91.502012611799955</v>
      </c>
      <c r="E343" s="20">
        <f t="shared" si="41"/>
        <v>42.995089737807319</v>
      </c>
      <c r="F343" s="20">
        <f t="shared" si="42"/>
        <v>34.353691637377381</v>
      </c>
      <c r="G343" s="20">
        <f t="shared" si="43"/>
        <v>85.026479832619955</v>
      </c>
      <c r="H343" s="20">
        <f t="shared" si="44"/>
        <v>54.592243221589882</v>
      </c>
      <c r="I343" s="20">
        <f t="shared" si="45"/>
        <v>-42.939036995303042</v>
      </c>
      <c r="J343" s="20">
        <f t="shared" si="46"/>
        <v>54.171431296379581</v>
      </c>
      <c r="K343" s="20">
        <f t="shared" si="47"/>
        <v>-42.96777672882105</v>
      </c>
    </row>
    <row r="344" spans="1:11">
      <c r="A344" s="18">
        <v>342</v>
      </c>
      <c r="B344" s="20">
        <v>307</v>
      </c>
      <c r="C344" s="20">
        <v>195</v>
      </c>
      <c r="D344" s="20">
        <f t="shared" si="40"/>
        <v>91.076513288343875</v>
      </c>
      <c r="E344" s="20">
        <f t="shared" si="41"/>
        <v>43.420589061263392</v>
      </c>
      <c r="F344" s="20">
        <f t="shared" si="42"/>
        <v>34.724914990597071</v>
      </c>
      <c r="G344" s="20">
        <f t="shared" si="43"/>
        <v>85.034834467358735</v>
      </c>
      <c r="H344" s="20">
        <f t="shared" si="44"/>
        <v>54.963466574809573</v>
      </c>
      <c r="I344" s="20">
        <f t="shared" si="45"/>
        <v>-42.930682360564262</v>
      </c>
      <c r="J344" s="20">
        <f t="shared" si="46"/>
        <v>54.542654649599271</v>
      </c>
      <c r="K344" s="20">
        <f t="shared" si="47"/>
        <v>-42.959422094082271</v>
      </c>
    </row>
    <row r="345" spans="1:11">
      <c r="A345" s="18">
        <v>343</v>
      </c>
      <c r="B345" s="20">
        <v>306</v>
      </c>
      <c r="C345" s="20">
        <v>196</v>
      </c>
      <c r="D345" s="20">
        <f t="shared" si="40"/>
        <v>90.651013964887795</v>
      </c>
      <c r="E345" s="20">
        <f t="shared" si="41"/>
        <v>43.846088384719472</v>
      </c>
      <c r="F345" s="20">
        <f t="shared" si="42"/>
        <v>35.09619015120532</v>
      </c>
      <c r="G345" s="20">
        <f t="shared" si="43"/>
        <v>85.040432057250641</v>
      </c>
      <c r="H345" s="20">
        <f t="shared" si="44"/>
        <v>55.334741735417822</v>
      </c>
      <c r="I345" s="20">
        <f t="shared" si="45"/>
        <v>-42.925084770672356</v>
      </c>
      <c r="J345" s="20">
        <f t="shared" si="46"/>
        <v>54.91392981020752</v>
      </c>
      <c r="K345" s="20">
        <f t="shared" si="47"/>
        <v>-42.953824504190365</v>
      </c>
    </row>
    <row r="346" spans="1:11">
      <c r="A346" s="18">
        <v>344</v>
      </c>
      <c r="B346" s="20">
        <v>305</v>
      </c>
      <c r="C346" s="20">
        <v>198</v>
      </c>
      <c r="D346" s="20">
        <f t="shared" si="40"/>
        <v>90.225514641431715</v>
      </c>
      <c r="E346" s="20">
        <f t="shared" si="41"/>
        <v>44.697087031631618</v>
      </c>
      <c r="F346" s="20">
        <f t="shared" si="42"/>
        <v>35.206268603502579</v>
      </c>
      <c r="G346" s="20">
        <f t="shared" si="43"/>
        <v>85.307159559672414</v>
      </c>
      <c r="H346" s="20">
        <f t="shared" si="44"/>
        <v>55.444820187715081</v>
      </c>
      <c r="I346" s="20">
        <f t="shared" si="45"/>
        <v>-42.658357268250583</v>
      </c>
      <c r="J346" s="20">
        <f t="shared" si="46"/>
        <v>55.024008262504779</v>
      </c>
      <c r="K346" s="20">
        <f t="shared" si="47"/>
        <v>-42.687097001768592</v>
      </c>
    </row>
    <row r="347" spans="1:11">
      <c r="A347" s="18">
        <v>345</v>
      </c>
      <c r="B347" s="20">
        <v>303</v>
      </c>
      <c r="C347" s="20">
        <v>201</v>
      </c>
      <c r="D347" s="20">
        <f t="shared" si="40"/>
        <v>89.37451599451957</v>
      </c>
      <c r="E347" s="20">
        <f t="shared" si="41"/>
        <v>45.973585001999851</v>
      </c>
      <c r="F347" s="20">
        <f t="shared" si="42"/>
        <v>35.68571312850051</v>
      </c>
      <c r="G347" s="20">
        <f t="shared" si="43"/>
        <v>85.566507529777596</v>
      </c>
      <c r="H347" s="20">
        <f t="shared" si="44"/>
        <v>55.924264712713011</v>
      </c>
      <c r="I347" s="20">
        <f t="shared" si="45"/>
        <v>-42.399009298145401</v>
      </c>
      <c r="J347" s="20">
        <f t="shared" si="46"/>
        <v>55.503452787502709</v>
      </c>
      <c r="K347" s="20">
        <f t="shared" si="47"/>
        <v>-42.42774903166341</v>
      </c>
    </row>
    <row r="348" spans="1:11">
      <c r="A348" s="18">
        <v>346</v>
      </c>
      <c r="B348" s="20">
        <v>301</v>
      </c>
      <c r="C348" s="20">
        <v>203</v>
      </c>
      <c r="D348" s="20">
        <f t="shared" si="40"/>
        <v>88.523517347607424</v>
      </c>
      <c r="E348" s="20">
        <f t="shared" si="41"/>
        <v>46.824583648911997</v>
      </c>
      <c r="F348" s="20">
        <f t="shared" si="42"/>
        <v>36.428217785477266</v>
      </c>
      <c r="G348" s="20">
        <f t="shared" si="43"/>
        <v>85.552886150382108</v>
      </c>
      <c r="H348" s="20">
        <f t="shared" si="44"/>
        <v>56.666769369689767</v>
      </c>
      <c r="I348" s="20">
        <f t="shared" si="45"/>
        <v>-42.412630677540889</v>
      </c>
      <c r="J348" s="20">
        <f t="shared" si="46"/>
        <v>56.245957444479465</v>
      </c>
      <c r="K348" s="20">
        <f t="shared" si="47"/>
        <v>-42.441370411058898</v>
      </c>
    </row>
    <row r="349" spans="1:11">
      <c r="A349" s="18">
        <v>347</v>
      </c>
      <c r="B349" s="20">
        <v>300</v>
      </c>
      <c r="C349" s="20">
        <v>206</v>
      </c>
      <c r="D349" s="20">
        <f t="shared" si="40"/>
        <v>88.098018024151344</v>
      </c>
      <c r="E349" s="20">
        <f t="shared" si="41"/>
        <v>48.10108161928023</v>
      </c>
      <c r="F349" s="20">
        <f t="shared" si="42"/>
        <v>36.267213350731488</v>
      </c>
      <c r="G349" s="20">
        <f t="shared" si="43"/>
        <v>86.059920999099916</v>
      </c>
      <c r="H349" s="20">
        <f t="shared" si="44"/>
        <v>56.50576493494399</v>
      </c>
      <c r="I349" s="20">
        <f t="shared" si="45"/>
        <v>-41.905595828823081</v>
      </c>
      <c r="J349" s="20">
        <f t="shared" si="46"/>
        <v>56.084953009733688</v>
      </c>
      <c r="K349" s="20">
        <f t="shared" si="47"/>
        <v>-41.93433556234109</v>
      </c>
    </row>
    <row r="350" spans="1:11">
      <c r="A350" s="18">
        <v>348</v>
      </c>
      <c r="B350" s="20">
        <v>298</v>
      </c>
      <c r="C350" s="20">
        <v>209</v>
      </c>
      <c r="D350" s="20">
        <f t="shared" si="40"/>
        <v>87.247019377239198</v>
      </c>
      <c r="E350" s="20">
        <f t="shared" si="41"/>
        <v>49.377579589648455</v>
      </c>
      <c r="F350" s="20">
        <f t="shared" si="42"/>
        <v>36.740279763026599</v>
      </c>
      <c r="G350" s="20">
        <f t="shared" si="43"/>
        <v>86.285774127344439</v>
      </c>
      <c r="H350" s="20">
        <f t="shared" si="44"/>
        <v>56.978831347239101</v>
      </c>
      <c r="I350" s="20">
        <f t="shared" si="45"/>
        <v>-41.679742700578558</v>
      </c>
      <c r="J350" s="20">
        <f t="shared" si="46"/>
        <v>56.558019422028799</v>
      </c>
      <c r="K350" s="20">
        <f t="shared" si="47"/>
        <v>-41.708482434096567</v>
      </c>
    </row>
    <row r="351" spans="1:11">
      <c r="A351" s="18">
        <v>349</v>
      </c>
      <c r="B351" s="20">
        <v>296</v>
      </c>
      <c r="C351" s="20">
        <v>212</v>
      </c>
      <c r="D351" s="20">
        <f t="shared" si="40"/>
        <v>86.396020730327038</v>
      </c>
      <c r="E351" s="20">
        <f t="shared" si="41"/>
        <v>50.654077560016681</v>
      </c>
      <c r="F351" s="20">
        <f t="shared" si="42"/>
        <v>37.210922599539629</v>
      </c>
      <c r="G351" s="20">
        <f t="shared" si="43"/>
        <v>86.498605645406684</v>
      </c>
      <c r="H351" s="20">
        <f t="shared" si="44"/>
        <v>57.44947418375213</v>
      </c>
      <c r="I351" s="20">
        <f t="shared" si="45"/>
        <v>-41.466911182516313</v>
      </c>
      <c r="J351" s="20">
        <f t="shared" si="46"/>
        <v>57.028662258541829</v>
      </c>
      <c r="K351" s="20">
        <f t="shared" si="47"/>
        <v>-41.495650916034322</v>
      </c>
    </row>
    <row r="352" spans="1:11">
      <c r="A352" s="18">
        <v>350</v>
      </c>
      <c r="B352" s="20">
        <v>294</v>
      </c>
      <c r="C352" s="20">
        <v>216</v>
      </c>
      <c r="D352" s="20">
        <f t="shared" si="40"/>
        <v>85.545022083414892</v>
      </c>
      <c r="E352" s="20">
        <f t="shared" si="41"/>
        <v>52.356074853840987</v>
      </c>
      <c r="F352" s="20">
        <f t="shared" si="42"/>
        <v>37.404406194375689</v>
      </c>
      <c r="G352" s="20">
        <f t="shared" si="43"/>
        <v>86.948367704485207</v>
      </c>
      <c r="H352" s="20">
        <f t="shared" si="44"/>
        <v>57.64295777858819</v>
      </c>
      <c r="I352" s="20">
        <f t="shared" si="45"/>
        <v>-41.01714912343779</v>
      </c>
      <c r="J352" s="20">
        <f t="shared" si="46"/>
        <v>57.222145853377889</v>
      </c>
      <c r="K352" s="20">
        <f t="shared" si="47"/>
        <v>-41.045888856955798</v>
      </c>
    </row>
    <row r="353" spans="1:11">
      <c r="A353" s="18">
        <v>351</v>
      </c>
      <c r="B353" s="20">
        <v>292</v>
      </c>
      <c r="C353" s="20">
        <v>219</v>
      </c>
      <c r="D353" s="20">
        <f t="shared" si="40"/>
        <v>84.694023436502732</v>
      </c>
      <c r="E353" s="20">
        <f t="shared" si="41"/>
        <v>53.632572824209213</v>
      </c>
      <c r="F353" s="20">
        <f t="shared" si="42"/>
        <v>37.867907549156108</v>
      </c>
      <c r="G353" s="20">
        <f t="shared" si="43"/>
        <v>87.133097708991372</v>
      </c>
      <c r="H353" s="20">
        <f t="shared" si="44"/>
        <v>58.10645913336861</v>
      </c>
      <c r="I353" s="20">
        <f t="shared" si="45"/>
        <v>-40.832419118931625</v>
      </c>
      <c r="J353" s="20">
        <f t="shared" si="46"/>
        <v>57.685647208158308</v>
      </c>
      <c r="K353" s="20">
        <f t="shared" si="47"/>
        <v>-40.861158852449634</v>
      </c>
    </row>
    <row r="354" spans="1:11">
      <c r="A354" s="18">
        <v>352</v>
      </c>
      <c r="B354" s="20">
        <v>291</v>
      </c>
      <c r="C354" s="20">
        <v>223</v>
      </c>
      <c r="D354" s="20">
        <f t="shared" si="40"/>
        <v>84.268524113046666</v>
      </c>
      <c r="E354" s="20">
        <f t="shared" si="41"/>
        <v>55.334570118033511</v>
      </c>
      <c r="F354" s="20">
        <f t="shared" si="42"/>
        <v>37.397257496852014</v>
      </c>
      <c r="G354" s="20">
        <f t="shared" si="43"/>
        <v>87.828708277905832</v>
      </c>
      <c r="H354" s="20">
        <f t="shared" si="44"/>
        <v>57.635809081064515</v>
      </c>
      <c r="I354" s="20">
        <f t="shared" si="45"/>
        <v>-40.136808550017165</v>
      </c>
      <c r="J354" s="20">
        <f t="shared" si="46"/>
        <v>57.214997155854213</v>
      </c>
      <c r="K354" s="20">
        <f t="shared" si="47"/>
        <v>-40.165548283535173</v>
      </c>
    </row>
    <row r="355" spans="1:11">
      <c r="A355" s="18">
        <v>353</v>
      </c>
      <c r="B355" s="20">
        <v>290</v>
      </c>
      <c r="C355" s="20">
        <v>226</v>
      </c>
      <c r="D355" s="20">
        <f t="shared" si="40"/>
        <v>83.843024789590586</v>
      </c>
      <c r="E355" s="20">
        <f t="shared" si="41"/>
        <v>56.611068088401737</v>
      </c>
      <c r="F355" s="20">
        <f t="shared" si="42"/>
        <v>37.197452920356533</v>
      </c>
      <c r="G355" s="20">
        <f t="shared" si="43"/>
        <v>88.267323677049319</v>
      </c>
      <c r="H355" s="20">
        <f t="shared" si="44"/>
        <v>57.436004504569034</v>
      </c>
      <c r="I355" s="20">
        <f t="shared" si="45"/>
        <v>-39.698193150873678</v>
      </c>
      <c r="J355" s="20">
        <f t="shared" si="46"/>
        <v>57.015192579358732</v>
      </c>
      <c r="K355" s="20">
        <f t="shared" si="47"/>
        <v>-39.726932884391687</v>
      </c>
    </row>
    <row r="356" spans="1:11">
      <c r="A356" s="18">
        <v>354</v>
      </c>
      <c r="B356" s="20">
        <v>289</v>
      </c>
      <c r="C356" s="20">
        <v>228</v>
      </c>
      <c r="D356" s="20">
        <f t="shared" si="40"/>
        <v>83.417525466134506</v>
      </c>
      <c r="E356" s="20">
        <f t="shared" si="41"/>
        <v>57.46206673531389</v>
      </c>
      <c r="F356" s="20">
        <f t="shared" si="42"/>
        <v>37.279273866278835</v>
      </c>
      <c r="G356" s="20">
        <f t="shared" si="43"/>
        <v>88.461479871903549</v>
      </c>
      <c r="H356" s="20">
        <f t="shared" si="44"/>
        <v>57.517825450491337</v>
      </c>
      <c r="I356" s="20">
        <f t="shared" si="45"/>
        <v>-39.504036956019448</v>
      </c>
      <c r="J356" s="20">
        <f t="shared" si="46"/>
        <v>57.097013525281035</v>
      </c>
      <c r="K356" s="20">
        <f t="shared" si="47"/>
        <v>-39.532776689537457</v>
      </c>
    </row>
    <row r="357" spans="1:11">
      <c r="A357" s="18">
        <v>355</v>
      </c>
      <c r="B357" s="20">
        <v>289</v>
      </c>
      <c r="C357" s="20">
        <v>229</v>
      </c>
      <c r="D357" s="20">
        <f t="shared" si="40"/>
        <v>83.417525466134506</v>
      </c>
      <c r="E357" s="20">
        <f t="shared" si="41"/>
        <v>57.88756605876997</v>
      </c>
      <c r="F357" s="20">
        <f t="shared" si="42"/>
        <v>36.990329847551678</v>
      </c>
      <c r="G357" s="20">
        <f t="shared" si="43"/>
        <v>88.694692075570259</v>
      </c>
      <c r="H357" s="20">
        <f t="shared" si="44"/>
        <v>57.228881431764179</v>
      </c>
      <c r="I357" s="20">
        <f t="shared" si="45"/>
        <v>-39.270824752352738</v>
      </c>
      <c r="J357" s="20">
        <f t="shared" si="46"/>
        <v>56.808069506553878</v>
      </c>
      <c r="K357" s="20">
        <f t="shared" si="47"/>
        <v>-39.299564485870746</v>
      </c>
    </row>
    <row r="358" spans="1:11">
      <c r="A358" s="18">
        <v>356</v>
      </c>
      <c r="B358" s="20">
        <v>289</v>
      </c>
      <c r="C358" s="20">
        <v>231</v>
      </c>
      <c r="D358" s="20">
        <f t="shared" si="40"/>
        <v>83.417525466134506</v>
      </c>
      <c r="E358" s="20">
        <f t="shared" si="41"/>
        <v>58.738564705682116</v>
      </c>
      <c r="F358" s="20">
        <f t="shared" si="42"/>
        <v>36.407286035291797</v>
      </c>
      <c r="G358" s="20">
        <f t="shared" si="43"/>
        <v>89.154647095756275</v>
      </c>
      <c r="H358" s="20">
        <f t="shared" si="44"/>
        <v>56.645837619504299</v>
      </c>
      <c r="I358" s="20">
        <f t="shared" si="45"/>
        <v>-38.810869732166722</v>
      </c>
      <c r="J358" s="20">
        <f t="shared" si="46"/>
        <v>56.225025694293997</v>
      </c>
      <c r="K358" s="20">
        <f t="shared" si="47"/>
        <v>-38.839609465684731</v>
      </c>
    </row>
    <row r="359" spans="1:11">
      <c r="A359" s="18">
        <v>357</v>
      </c>
      <c r="B359" s="20">
        <v>289</v>
      </c>
      <c r="C359" s="20">
        <v>232</v>
      </c>
      <c r="D359" s="20">
        <f t="shared" si="40"/>
        <v>83.417525466134506</v>
      </c>
      <c r="E359" s="20">
        <f t="shared" si="41"/>
        <v>59.164064029138196</v>
      </c>
      <c r="F359" s="20">
        <f t="shared" si="42"/>
        <v>36.113218396993311</v>
      </c>
      <c r="G359" s="20">
        <f t="shared" si="43"/>
        <v>89.381364545465885</v>
      </c>
      <c r="H359" s="20">
        <f t="shared" si="44"/>
        <v>56.351769981205813</v>
      </c>
      <c r="I359" s="20">
        <f t="shared" si="45"/>
        <v>-38.584152282457111</v>
      </c>
      <c r="J359" s="20">
        <f t="shared" si="46"/>
        <v>55.930958055995511</v>
      </c>
      <c r="K359" s="20">
        <f t="shared" si="47"/>
        <v>-38.61289201597512</v>
      </c>
    </row>
    <row r="360" spans="1:11">
      <c r="A360" s="18">
        <v>358</v>
      </c>
      <c r="B360" s="20">
        <v>289</v>
      </c>
      <c r="C360" s="20">
        <v>233</v>
      </c>
      <c r="D360" s="20">
        <f t="shared" si="40"/>
        <v>83.417525466134506</v>
      </c>
      <c r="E360" s="20">
        <f t="shared" si="41"/>
        <v>59.589563352594269</v>
      </c>
      <c r="F360" s="20">
        <f t="shared" si="42"/>
        <v>35.817475196836021</v>
      </c>
      <c r="G360" s="20">
        <f t="shared" si="43"/>
        <v>89.605891910074334</v>
      </c>
      <c r="H360" s="20">
        <f t="shared" si="44"/>
        <v>56.056026781048523</v>
      </c>
      <c r="I360" s="20">
        <f t="shared" si="45"/>
        <v>-38.359624917848663</v>
      </c>
      <c r="J360" s="20">
        <f t="shared" si="46"/>
        <v>55.635214855838221</v>
      </c>
      <c r="K360" s="20">
        <f t="shared" si="47"/>
        <v>-38.388364651366672</v>
      </c>
    </row>
    <row r="361" spans="1:11">
      <c r="A361" s="19">
        <v>359</v>
      </c>
      <c r="B361" s="21">
        <v>290</v>
      </c>
      <c r="C361" s="21">
        <v>233</v>
      </c>
      <c r="D361" s="21">
        <f t="shared" si="40"/>
        <v>83.843024789590586</v>
      </c>
      <c r="E361" s="21">
        <f t="shared" si="41"/>
        <v>59.589563352594269</v>
      </c>
      <c r="F361" s="21">
        <f t="shared" si="42"/>
        <v>35.151047651148552</v>
      </c>
      <c r="G361" s="21">
        <f t="shared" si="43"/>
        <v>89.869412168449017</v>
      </c>
      <c r="H361" s="21">
        <f t="shared" si="44"/>
        <v>55.389599235361054</v>
      </c>
      <c r="I361" s="21">
        <f t="shared" si="45"/>
        <v>-38.09610465947398</v>
      </c>
      <c r="J361" s="21">
        <f t="shared" si="46"/>
        <v>54.968787310150752</v>
      </c>
      <c r="K361" s="21">
        <f t="shared" si="47"/>
        <v>-38.124844392991989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</vt:lpstr>
      <vt:lpstr>Raw Data</vt:lpstr>
      <vt:lpstr>Scaled Data</vt:lpstr>
      <vt:lpstr>Commanded 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Sweatman (ss24g25)</cp:lastModifiedBy>
  <dcterms:modified xsi:type="dcterms:W3CDTF">2026-08-31T14:51:50Z</dcterms:modified>
</cp:coreProperties>
</file>